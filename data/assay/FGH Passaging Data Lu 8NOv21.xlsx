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cott\Dropbox\R01 phage research\Data\FGH combos\Lu\"/>
    </mc:Choice>
  </mc:AlternateContent>
  <xr:revisionPtr revIDLastSave="0" documentId="8_{DC1F2AAF-4CDE-4E7B-A80D-257543DDB9A1}" xr6:coauthVersionLast="47" xr6:coauthVersionMax="47" xr10:uidLastSave="{00000000-0000-0000-0000-000000000000}"/>
  <bookViews>
    <workbookView xWindow="28680" yWindow="-120" windowWidth="29040" windowHeight="15840" firstSheet="20" activeTab="20" xr2:uid="{29DDCCC5-60BF-4408-B893-D4C15612E557}"/>
  </bookViews>
  <sheets>
    <sheet name="titers- orig.fitness" sheetId="1" r:id="rId1"/>
    <sheet name="Group1_Passage 1" sheetId="5" r:id="rId2"/>
    <sheet name="G1_P2" sheetId="15" r:id="rId3"/>
    <sheet name="G1_P3" sheetId="16" r:id="rId4"/>
    <sheet name="G1_P4" sheetId="17" r:id="rId5"/>
    <sheet name="G1_P5" sheetId="18" r:id="rId6"/>
    <sheet name="G2_P1" sheetId="19" r:id="rId7"/>
    <sheet name="G2_P2" sheetId="20" r:id="rId8"/>
    <sheet name="G2_P3" sheetId="21" r:id="rId9"/>
    <sheet name="G2_P4" sheetId="22" r:id="rId10"/>
    <sheet name="G2_P5" sheetId="23" r:id="rId11"/>
    <sheet name="G3_P1" sheetId="24" r:id="rId12"/>
    <sheet name="G3P2 G4P1" sheetId="25" r:id="rId13"/>
    <sheet name="G3P3 G4P2" sheetId="26" r:id="rId14"/>
    <sheet name="G3P4 G4P3" sheetId="27" r:id="rId15"/>
    <sheet name="G3P5 G4P4" sheetId="28" r:id="rId16"/>
    <sheet name="more G3P5 G4P5" sheetId="29" r:id="rId17"/>
    <sheet name="daily sheet" sheetId="14" r:id="rId18"/>
    <sheet name="Passaging Data" sheetId="2" r:id="rId19"/>
    <sheet name="SUMMARY" sheetId="13" r:id="rId20"/>
    <sheet name="Summary 2" sheetId="31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9" i="2" l="1"/>
  <c r="W29" i="2"/>
  <c r="V29" i="2"/>
  <c r="U29" i="2"/>
  <c r="X23" i="2"/>
  <c r="W23" i="2"/>
  <c r="V23" i="2"/>
  <c r="U23" i="2"/>
  <c r="X16" i="2"/>
  <c r="W16" i="2"/>
  <c r="V16" i="2"/>
  <c r="U16" i="2"/>
  <c r="X116" i="2" l="1"/>
  <c r="Z116" i="2" s="1"/>
  <c r="W116" i="2"/>
  <c r="V116" i="2"/>
  <c r="U116" i="2"/>
  <c r="X54" i="2"/>
  <c r="W54" i="2"/>
  <c r="Z54" i="2" s="1"/>
  <c r="V54" i="2"/>
  <c r="Y54" i="2" s="1"/>
  <c r="U54" i="2"/>
  <c r="X76" i="2"/>
  <c r="Z76" i="2" s="1"/>
  <c r="W76" i="2"/>
  <c r="V76" i="2"/>
  <c r="U76" i="2"/>
  <c r="Y76" i="2" s="1"/>
  <c r="Z29" i="2"/>
  <c r="Y29" i="2"/>
  <c r="X36" i="2"/>
  <c r="W36" i="2"/>
  <c r="V36" i="2"/>
  <c r="U36" i="2"/>
  <c r="X22" i="2"/>
  <c r="W22" i="2"/>
  <c r="Z22" i="2" s="1"/>
  <c r="V22" i="2"/>
  <c r="Y22" i="2" s="1"/>
  <c r="U22" i="2"/>
  <c r="X86" i="2"/>
  <c r="W86" i="2"/>
  <c r="V86" i="2"/>
  <c r="U86" i="2"/>
  <c r="Y86" i="2" s="1"/>
  <c r="X78" i="2"/>
  <c r="W78" i="2"/>
  <c r="Z78" i="2" s="1"/>
  <c r="V78" i="2"/>
  <c r="Y78" i="2" s="1"/>
  <c r="U78" i="2"/>
  <c r="X70" i="2"/>
  <c r="W70" i="2"/>
  <c r="V70" i="2"/>
  <c r="U70" i="2"/>
  <c r="X87" i="2"/>
  <c r="W87" i="2"/>
  <c r="Z87" i="2" s="1"/>
  <c r="V87" i="2"/>
  <c r="Y87" i="2" s="1"/>
  <c r="U87" i="2"/>
  <c r="X79" i="2"/>
  <c r="W79" i="2"/>
  <c r="Z79" i="2" s="1"/>
  <c r="V79" i="2"/>
  <c r="U79" i="2"/>
  <c r="X71" i="2"/>
  <c r="W71" i="2"/>
  <c r="V71" i="2"/>
  <c r="Y71" i="2" s="1"/>
  <c r="U71" i="2"/>
  <c r="X84" i="2"/>
  <c r="W84" i="2"/>
  <c r="Z84" i="2" s="1"/>
  <c r="V84" i="2"/>
  <c r="U84" i="2"/>
  <c r="X68" i="2"/>
  <c r="Z68" i="2" s="1"/>
  <c r="W68" i="2"/>
  <c r="V68" i="2"/>
  <c r="U68" i="2"/>
  <c r="Y68" i="2" s="1"/>
  <c r="X62" i="2"/>
  <c r="W62" i="2"/>
  <c r="V62" i="2"/>
  <c r="U62" i="2"/>
  <c r="X45" i="2"/>
  <c r="W45" i="2"/>
  <c r="Z45" i="2" s="1"/>
  <c r="V45" i="2"/>
  <c r="U45" i="2"/>
  <c r="X38" i="2"/>
  <c r="Z38" i="2" s="1"/>
  <c r="W38" i="2"/>
  <c r="V38" i="2"/>
  <c r="Y38" i="2" s="1"/>
  <c r="U38" i="2"/>
  <c r="X31" i="2"/>
  <c r="W31" i="2"/>
  <c r="V31" i="2"/>
  <c r="U31" i="2"/>
  <c r="Y31" i="2" s="1"/>
  <c r="X44" i="2"/>
  <c r="W44" i="2"/>
  <c r="Z44" i="2" s="1"/>
  <c r="V44" i="2"/>
  <c r="U44" i="2"/>
  <c r="Y44" i="2" s="1"/>
  <c r="X37" i="2"/>
  <c r="Z37" i="2" s="1"/>
  <c r="W37" i="2"/>
  <c r="V37" i="2"/>
  <c r="U37" i="2"/>
  <c r="Y37" i="2" s="1"/>
  <c r="X43" i="2"/>
  <c r="W43" i="2"/>
  <c r="Z43" i="2" s="1"/>
  <c r="V43" i="2"/>
  <c r="Y43" i="2" s="1"/>
  <c r="U43" i="2"/>
  <c r="X42" i="2"/>
  <c r="Z42" i="2" s="1"/>
  <c r="W42" i="2"/>
  <c r="V42" i="2"/>
  <c r="Y42" i="2" s="1"/>
  <c r="U42" i="2"/>
  <c r="X35" i="2"/>
  <c r="Z35" i="2" s="1"/>
  <c r="W35" i="2"/>
  <c r="V35" i="2"/>
  <c r="U35" i="2"/>
  <c r="Y35" i="2" s="1"/>
  <c r="X27" i="2"/>
  <c r="Z27" i="2" s="1"/>
  <c r="W27" i="2"/>
  <c r="V27" i="2"/>
  <c r="U27" i="2"/>
  <c r="Y27" i="2" s="1"/>
  <c r="X19" i="2"/>
  <c r="W19" i="2"/>
  <c r="Z19" i="2" s="1"/>
  <c r="V19" i="2"/>
  <c r="U19" i="2"/>
  <c r="Y19" i="2" s="1"/>
  <c r="Y13" i="2"/>
  <c r="Z13" i="2"/>
  <c r="Y14" i="2"/>
  <c r="Z14" i="2"/>
  <c r="Y15" i="2"/>
  <c r="Z15" i="2"/>
  <c r="Y16" i="2"/>
  <c r="Z16" i="2"/>
  <c r="Y17" i="2"/>
  <c r="Z17" i="2"/>
  <c r="Y18" i="2"/>
  <c r="Z18" i="2"/>
  <c r="Y20" i="2"/>
  <c r="Z20" i="2"/>
  <c r="Y21" i="2"/>
  <c r="Z21" i="2"/>
  <c r="Y23" i="2"/>
  <c r="Z23" i="2"/>
  <c r="Y24" i="2"/>
  <c r="Z24" i="2"/>
  <c r="Y25" i="2"/>
  <c r="Z25" i="2"/>
  <c r="Y26" i="2"/>
  <c r="Z26" i="2"/>
  <c r="Y28" i="2"/>
  <c r="Z28" i="2"/>
  <c r="Y30" i="2"/>
  <c r="Z30" i="2"/>
  <c r="Y32" i="2"/>
  <c r="Z32" i="2"/>
  <c r="Y33" i="2"/>
  <c r="Z33" i="2"/>
  <c r="Y34" i="2"/>
  <c r="Z34" i="2"/>
  <c r="Y36" i="2"/>
  <c r="Y39" i="2"/>
  <c r="Z39" i="2"/>
  <c r="Y40" i="2"/>
  <c r="Z40" i="2"/>
  <c r="Y41" i="2"/>
  <c r="Z41" i="2"/>
  <c r="Y46" i="2"/>
  <c r="Z46" i="2"/>
  <c r="Y47" i="2"/>
  <c r="Z47" i="2"/>
  <c r="Y48" i="2"/>
  <c r="Z48" i="2"/>
  <c r="Y49" i="2"/>
  <c r="Z49" i="2"/>
  <c r="Y50" i="2"/>
  <c r="Z50" i="2"/>
  <c r="Y51" i="2"/>
  <c r="Z51" i="2"/>
  <c r="Y52" i="2"/>
  <c r="Z52" i="2"/>
  <c r="Y53" i="2"/>
  <c r="Z53" i="2"/>
  <c r="Y55" i="2"/>
  <c r="Z55" i="2"/>
  <c r="Y56" i="2"/>
  <c r="Z56" i="2"/>
  <c r="Y57" i="2"/>
  <c r="Z57" i="2"/>
  <c r="Y58" i="2"/>
  <c r="Z58" i="2"/>
  <c r="Y59" i="2"/>
  <c r="Z59" i="2"/>
  <c r="Y60" i="2"/>
  <c r="Z60" i="2"/>
  <c r="Y61" i="2"/>
  <c r="Z61" i="2"/>
  <c r="Z62" i="2"/>
  <c r="Y63" i="2"/>
  <c r="Z63" i="2"/>
  <c r="Y64" i="2"/>
  <c r="Z64" i="2"/>
  <c r="Y65" i="2"/>
  <c r="Z65" i="2"/>
  <c r="Y66" i="2"/>
  <c r="Z66" i="2"/>
  <c r="Y67" i="2"/>
  <c r="Z67" i="2"/>
  <c r="Y69" i="2"/>
  <c r="Z69" i="2"/>
  <c r="Y70" i="2"/>
  <c r="Y72" i="2"/>
  <c r="Z72" i="2"/>
  <c r="Y73" i="2"/>
  <c r="Z73" i="2"/>
  <c r="Y74" i="2"/>
  <c r="Z74" i="2"/>
  <c r="Y75" i="2"/>
  <c r="Z75" i="2"/>
  <c r="Y77" i="2"/>
  <c r="Z77" i="2"/>
  <c r="Y80" i="2"/>
  <c r="Z80" i="2"/>
  <c r="Y81" i="2"/>
  <c r="Z81" i="2"/>
  <c r="Y82" i="2"/>
  <c r="Z82" i="2"/>
  <c r="Y83" i="2"/>
  <c r="Z83" i="2"/>
  <c r="Y84" i="2"/>
  <c r="Z86" i="2"/>
  <c r="Y88" i="2"/>
  <c r="Z88" i="2"/>
  <c r="Y89" i="2"/>
  <c r="Z89" i="2"/>
  <c r="Y90" i="2"/>
  <c r="Z90" i="2"/>
  <c r="Y91" i="2"/>
  <c r="Z91" i="2"/>
  <c r="Y92" i="2"/>
  <c r="Z92" i="2"/>
  <c r="Y93" i="2"/>
  <c r="Z93" i="2"/>
  <c r="Y94" i="2"/>
  <c r="Z94" i="2"/>
  <c r="Y95" i="2"/>
  <c r="Z95" i="2"/>
  <c r="Y96" i="2"/>
  <c r="Z96" i="2"/>
  <c r="X13" i="2"/>
  <c r="V13" i="2"/>
  <c r="W13" i="2"/>
  <c r="U13" i="2"/>
  <c r="X145" i="2"/>
  <c r="W145" i="2"/>
  <c r="Z145" i="2" s="1"/>
  <c r="V145" i="2"/>
  <c r="U145" i="2"/>
  <c r="Y145" i="2" s="1"/>
  <c r="X141" i="2"/>
  <c r="W141" i="2"/>
  <c r="V141" i="2"/>
  <c r="U141" i="2"/>
  <c r="Y141" i="2" s="1"/>
  <c r="X128" i="2"/>
  <c r="W128" i="2"/>
  <c r="V128" i="2"/>
  <c r="Y128" i="2" s="1"/>
  <c r="U128" i="2"/>
  <c r="X108" i="2"/>
  <c r="Z108" i="2" s="1"/>
  <c r="W108" i="2"/>
  <c r="V108" i="2"/>
  <c r="Y108" i="2" s="1"/>
  <c r="U108" i="2"/>
  <c r="W144" i="2"/>
  <c r="U144" i="2"/>
  <c r="X144" i="2"/>
  <c r="V144" i="2"/>
  <c r="X138" i="2"/>
  <c r="W138" i="2"/>
  <c r="V138" i="2"/>
  <c r="U138" i="2"/>
  <c r="Y138" i="2" s="1"/>
  <c r="X124" i="2"/>
  <c r="W124" i="2"/>
  <c r="Z124" i="2" s="1"/>
  <c r="V124" i="2"/>
  <c r="U124" i="2"/>
  <c r="Z147" i="2"/>
  <c r="Z148" i="2"/>
  <c r="Z149" i="2"/>
  <c r="Y147" i="2"/>
  <c r="Y148" i="2"/>
  <c r="Y149" i="2"/>
  <c r="X149" i="2"/>
  <c r="W149" i="2"/>
  <c r="V149" i="2"/>
  <c r="U149" i="2"/>
  <c r="X139" i="2"/>
  <c r="W139" i="2"/>
  <c r="Z139" i="2" s="1"/>
  <c r="V139" i="2"/>
  <c r="U139" i="2"/>
  <c r="Y139" i="2" s="1"/>
  <c r="X125" i="2"/>
  <c r="W125" i="2"/>
  <c r="V125" i="2"/>
  <c r="U125" i="2"/>
  <c r="X114" i="2"/>
  <c r="Z114" i="2" s="1"/>
  <c r="V114" i="2"/>
  <c r="Y114" i="2" s="1"/>
  <c r="U114" i="2"/>
  <c r="Z146" i="2"/>
  <c r="Y146" i="2"/>
  <c r="V146" i="2"/>
  <c r="X146" i="2"/>
  <c r="W146" i="2"/>
  <c r="U146" i="2"/>
  <c r="X136" i="2"/>
  <c r="W136" i="2"/>
  <c r="V136" i="2"/>
  <c r="U136" i="2"/>
  <c r="Y136" i="2" s="1"/>
  <c r="X118" i="2"/>
  <c r="Z118" i="2" s="1"/>
  <c r="W118" i="2"/>
  <c r="V118" i="2"/>
  <c r="U118" i="2"/>
  <c r="Y118" i="2" s="1"/>
  <c r="X106" i="2"/>
  <c r="W106" i="2"/>
  <c r="Z106" i="2" s="1"/>
  <c r="V106" i="2"/>
  <c r="U106" i="2"/>
  <c r="Z97" i="2"/>
  <c r="Z98" i="2"/>
  <c r="Z99" i="2"/>
  <c r="Z100" i="2"/>
  <c r="Y97" i="2"/>
  <c r="Y98" i="2"/>
  <c r="Y99" i="2"/>
  <c r="Y100" i="2"/>
  <c r="Y101" i="2"/>
  <c r="X97" i="2"/>
  <c r="V97" i="2"/>
  <c r="U97" i="2"/>
  <c r="Z135" i="2"/>
  <c r="Z136" i="2"/>
  <c r="Z137" i="2"/>
  <c r="Z138" i="2"/>
  <c r="Z140" i="2"/>
  <c r="Z141" i="2"/>
  <c r="Z142" i="2"/>
  <c r="Z143" i="2"/>
  <c r="Y135" i="2"/>
  <c r="Y137" i="2"/>
  <c r="Y140" i="2"/>
  <c r="Y142" i="2"/>
  <c r="Y143" i="2"/>
  <c r="X143" i="2"/>
  <c r="W143" i="2"/>
  <c r="V143" i="2"/>
  <c r="U143" i="2"/>
  <c r="Z112" i="2"/>
  <c r="Z113" i="2"/>
  <c r="Z115" i="2"/>
  <c r="Z117" i="2"/>
  <c r="Z119" i="2"/>
  <c r="Z120" i="2"/>
  <c r="Z121" i="2"/>
  <c r="Z122" i="2"/>
  <c r="Z123" i="2"/>
  <c r="Z125" i="2"/>
  <c r="Z126" i="2"/>
  <c r="Z127" i="2"/>
  <c r="Z129" i="2"/>
  <c r="Z130" i="2"/>
  <c r="Z131" i="2"/>
  <c r="Z134" i="2"/>
  <c r="Y112" i="2"/>
  <c r="Y113" i="2"/>
  <c r="Y115" i="2"/>
  <c r="Y116" i="2"/>
  <c r="Y117" i="2"/>
  <c r="Y119" i="2"/>
  <c r="Y120" i="2"/>
  <c r="Y121" i="2"/>
  <c r="Y122" i="2"/>
  <c r="Y123" i="2"/>
  <c r="Y124" i="2"/>
  <c r="Y126" i="2"/>
  <c r="Y127" i="2"/>
  <c r="Y129" i="2"/>
  <c r="Y130" i="2"/>
  <c r="Y131" i="2"/>
  <c r="Y134" i="2"/>
  <c r="X134" i="2"/>
  <c r="W134" i="2"/>
  <c r="V134" i="2"/>
  <c r="U134" i="2"/>
  <c r="Z102" i="2"/>
  <c r="Z103" i="2"/>
  <c r="Z104" i="2"/>
  <c r="Z105" i="2"/>
  <c r="Z107" i="2"/>
  <c r="Z109" i="2"/>
  <c r="Z110" i="2"/>
  <c r="Z111" i="2"/>
  <c r="Y102" i="2"/>
  <c r="Y103" i="2"/>
  <c r="Y104" i="2"/>
  <c r="Y105" i="2"/>
  <c r="Y106" i="2"/>
  <c r="Y107" i="2"/>
  <c r="Y109" i="2"/>
  <c r="Y110" i="2"/>
  <c r="Y111" i="2"/>
  <c r="X113" i="2"/>
  <c r="W113" i="2"/>
  <c r="V113" i="2"/>
  <c r="U113" i="2"/>
  <c r="Z101" i="2"/>
  <c r="X101" i="2"/>
  <c r="V101" i="2"/>
  <c r="U101" i="2"/>
  <c r="Q149" i="2"/>
  <c r="Q148" i="2"/>
  <c r="Q147" i="2"/>
  <c r="Q146" i="2"/>
  <c r="Q145" i="2"/>
  <c r="Q144" i="2"/>
  <c r="Q143" i="2"/>
  <c r="B46" i="29"/>
  <c r="B47" i="29" s="1"/>
  <c r="E92" i="29"/>
  <c r="B92" i="29"/>
  <c r="E85" i="29"/>
  <c r="B85" i="29"/>
  <c r="E82" i="29"/>
  <c r="E83" i="29" s="1"/>
  <c r="B82" i="29"/>
  <c r="B83" i="29" s="1"/>
  <c r="E74" i="29"/>
  <c r="B74" i="29"/>
  <c r="E67" i="29"/>
  <c r="B67" i="29"/>
  <c r="E64" i="29"/>
  <c r="E65" i="29" s="1"/>
  <c r="B64" i="29"/>
  <c r="B65" i="29" s="1"/>
  <c r="B56" i="29"/>
  <c r="B49" i="29"/>
  <c r="B38" i="29"/>
  <c r="B31" i="29"/>
  <c r="B28" i="29"/>
  <c r="B30" i="29" s="1"/>
  <c r="B32" i="29" s="1"/>
  <c r="B20" i="29"/>
  <c r="B13" i="29"/>
  <c r="B10" i="29"/>
  <c r="B12" i="29" s="1"/>
  <c r="Q120" i="2"/>
  <c r="Q129" i="2"/>
  <c r="Q141" i="2"/>
  <c r="Q140" i="2"/>
  <c r="Q139" i="2"/>
  <c r="Q138" i="2"/>
  <c r="Q137" i="2"/>
  <c r="Q136" i="2"/>
  <c r="Q135" i="2"/>
  <c r="Q134" i="2"/>
  <c r="Q133" i="2"/>
  <c r="H141" i="2"/>
  <c r="I141" i="2" s="1"/>
  <c r="H149" i="2"/>
  <c r="I149" i="2" s="1"/>
  <c r="H148" i="2"/>
  <c r="I148" i="2" s="1"/>
  <c r="H147" i="2"/>
  <c r="I147" i="2" s="1"/>
  <c r="H146" i="2"/>
  <c r="I146" i="2" s="1"/>
  <c r="H145" i="2"/>
  <c r="I145" i="2" s="1"/>
  <c r="H144" i="2"/>
  <c r="I144" i="2" s="1"/>
  <c r="H143" i="2"/>
  <c r="I143" i="2" s="1"/>
  <c r="H140" i="2"/>
  <c r="I140" i="2" s="1"/>
  <c r="H139" i="2"/>
  <c r="I139" i="2" s="1"/>
  <c r="H138" i="2"/>
  <c r="I138" i="2" s="1"/>
  <c r="H137" i="2"/>
  <c r="I137" i="2" s="1"/>
  <c r="H136" i="2"/>
  <c r="I136" i="2" s="1"/>
  <c r="H135" i="2"/>
  <c r="I135" i="2" s="1"/>
  <c r="H134" i="2"/>
  <c r="I134" i="2" s="1"/>
  <c r="H133" i="2"/>
  <c r="I133" i="2" s="1"/>
  <c r="Q128" i="2"/>
  <c r="Q127" i="2"/>
  <c r="Q126" i="2"/>
  <c r="Q125" i="2"/>
  <c r="E92" i="28"/>
  <c r="B92" i="28"/>
  <c r="E85" i="28"/>
  <c r="B85" i="28"/>
  <c r="E82" i="28"/>
  <c r="E84" i="28" s="1"/>
  <c r="E87" i="28" s="1"/>
  <c r="B82" i="28"/>
  <c r="B84" i="28" s="1"/>
  <c r="E74" i="28"/>
  <c r="B74" i="28"/>
  <c r="E67" i="28"/>
  <c r="B67" i="28"/>
  <c r="E64" i="28"/>
  <c r="E66" i="28" s="1"/>
  <c r="B64" i="28"/>
  <c r="B66" i="28" s="1"/>
  <c r="B69" i="28" s="1"/>
  <c r="E56" i="28"/>
  <c r="B56" i="28"/>
  <c r="E49" i="28"/>
  <c r="B49" i="28"/>
  <c r="B47" i="28"/>
  <c r="E46" i="28"/>
  <c r="E48" i="28" s="1"/>
  <c r="B46" i="28"/>
  <c r="B48" i="28" s="1"/>
  <c r="E38" i="28"/>
  <c r="B38" i="28"/>
  <c r="E31" i="28"/>
  <c r="B31" i="28"/>
  <c r="E29" i="28"/>
  <c r="E28" i="28"/>
  <c r="E30" i="28" s="1"/>
  <c r="E33" i="28" s="1"/>
  <c r="B28" i="28"/>
  <c r="B30" i="28" s="1"/>
  <c r="E20" i="28"/>
  <c r="B20" i="28"/>
  <c r="E13" i="28"/>
  <c r="B13" i="28"/>
  <c r="E11" i="28"/>
  <c r="E10" i="28"/>
  <c r="E12" i="28" s="1"/>
  <c r="E15" i="28" s="1"/>
  <c r="B10" i="28"/>
  <c r="B12" i="28" s="1"/>
  <c r="Q124" i="2"/>
  <c r="Q123" i="2"/>
  <c r="Q122" i="2"/>
  <c r="Q118" i="2"/>
  <c r="Q113" i="2"/>
  <c r="H129" i="2"/>
  <c r="I129" i="2" s="1"/>
  <c r="H128" i="2"/>
  <c r="I128" i="2" s="1"/>
  <c r="H127" i="2"/>
  <c r="I127" i="2" s="1"/>
  <c r="H126" i="2"/>
  <c r="I126" i="2" s="1"/>
  <c r="H125" i="2"/>
  <c r="I125" i="2" s="1"/>
  <c r="H124" i="2"/>
  <c r="I124" i="2" s="1"/>
  <c r="S124" i="2" s="1"/>
  <c r="H123" i="2"/>
  <c r="I123" i="2" s="1"/>
  <c r="H122" i="2"/>
  <c r="I122" i="2" s="1"/>
  <c r="E92" i="27"/>
  <c r="B92" i="27"/>
  <c r="E82" i="27"/>
  <c r="E84" i="27"/>
  <c r="E87" i="27"/>
  <c r="B82" i="27"/>
  <c r="B84" i="27"/>
  <c r="B87" i="27"/>
  <c r="E86" i="27"/>
  <c r="B86" i="27"/>
  <c r="E85" i="27"/>
  <c r="B85" i="27"/>
  <c r="E83" i="27"/>
  <c r="B83" i="27"/>
  <c r="E74" i="27"/>
  <c r="B74" i="27"/>
  <c r="E64" i="27"/>
  <c r="E66" i="27"/>
  <c r="E69" i="27"/>
  <c r="B64" i="27"/>
  <c r="B66" i="27"/>
  <c r="B69" i="27"/>
  <c r="E68" i="27"/>
  <c r="B68" i="27"/>
  <c r="E67" i="27"/>
  <c r="B67" i="27"/>
  <c r="E65" i="27"/>
  <c r="B65" i="27"/>
  <c r="E56" i="27"/>
  <c r="B56" i="27"/>
  <c r="E46" i="27"/>
  <c r="E48" i="27"/>
  <c r="E51" i="27"/>
  <c r="B46" i="27"/>
  <c r="B48" i="27"/>
  <c r="B51" i="27"/>
  <c r="E50" i="27"/>
  <c r="B50" i="27"/>
  <c r="E49" i="27"/>
  <c r="B49" i="27"/>
  <c r="E47" i="27"/>
  <c r="B47" i="27"/>
  <c r="E38" i="27"/>
  <c r="B38" i="27"/>
  <c r="E28" i="27"/>
  <c r="E30" i="27"/>
  <c r="E33" i="27"/>
  <c r="B28" i="27"/>
  <c r="B30" i="27"/>
  <c r="B33" i="27"/>
  <c r="E32" i="27"/>
  <c r="B32" i="27"/>
  <c r="E31" i="27"/>
  <c r="B31" i="27"/>
  <c r="E29" i="27"/>
  <c r="B29" i="27"/>
  <c r="E20" i="27"/>
  <c r="B20" i="27"/>
  <c r="E10" i="27"/>
  <c r="E12" i="27"/>
  <c r="E15" i="27"/>
  <c r="B10" i="27"/>
  <c r="B12" i="27"/>
  <c r="B15" i="27"/>
  <c r="E14" i="27"/>
  <c r="B14" i="27"/>
  <c r="E13" i="27"/>
  <c r="B13" i="27"/>
  <c r="E11" i="27"/>
  <c r="B11" i="27"/>
  <c r="Q119" i="2"/>
  <c r="Q117" i="2"/>
  <c r="Q116" i="2"/>
  <c r="Q115" i="2"/>
  <c r="Q114" i="2"/>
  <c r="Q112" i="2"/>
  <c r="Q111" i="2"/>
  <c r="H117" i="2"/>
  <c r="I117" i="2" s="1"/>
  <c r="S117" i="2" s="1"/>
  <c r="H118" i="2"/>
  <c r="I118" i="2" s="1"/>
  <c r="H119" i="2"/>
  <c r="I119" i="2" s="1"/>
  <c r="H120" i="2"/>
  <c r="I120" i="2" s="1"/>
  <c r="Q109" i="2"/>
  <c r="Q103" i="2"/>
  <c r="Q106" i="2"/>
  <c r="Q102" i="2"/>
  <c r="Q101" i="2"/>
  <c r="Q108" i="2"/>
  <c r="Q105" i="2"/>
  <c r="Q107" i="2"/>
  <c r="E92" i="26"/>
  <c r="B92" i="26"/>
  <c r="E82" i="26"/>
  <c r="E84" i="26"/>
  <c r="E87" i="26"/>
  <c r="B82" i="26"/>
  <c r="B84" i="26"/>
  <c r="B87" i="26"/>
  <c r="E86" i="26"/>
  <c r="B86" i="26"/>
  <c r="E85" i="26"/>
  <c r="B85" i="26"/>
  <c r="E83" i="26"/>
  <c r="B83" i="26"/>
  <c r="E74" i="26"/>
  <c r="B74" i="26"/>
  <c r="E64" i="26"/>
  <c r="E66" i="26"/>
  <c r="E69" i="26"/>
  <c r="B64" i="26"/>
  <c r="B66" i="26"/>
  <c r="B69" i="26"/>
  <c r="E68" i="26"/>
  <c r="B68" i="26"/>
  <c r="E67" i="26"/>
  <c r="B67" i="26"/>
  <c r="E65" i="26"/>
  <c r="B65" i="26"/>
  <c r="E56" i="26"/>
  <c r="B56" i="26"/>
  <c r="E46" i="26"/>
  <c r="E48" i="26"/>
  <c r="E51" i="26"/>
  <c r="B46" i="26"/>
  <c r="B48" i="26"/>
  <c r="B51" i="26"/>
  <c r="E50" i="26"/>
  <c r="B50" i="26"/>
  <c r="E49" i="26"/>
  <c r="B49" i="26"/>
  <c r="E47" i="26"/>
  <c r="B47" i="26"/>
  <c r="E38" i="26"/>
  <c r="B38" i="26"/>
  <c r="E28" i="26"/>
  <c r="E30" i="26"/>
  <c r="E33" i="26"/>
  <c r="B28" i="26"/>
  <c r="B30" i="26"/>
  <c r="B33" i="26"/>
  <c r="E32" i="26"/>
  <c r="B32" i="26"/>
  <c r="E31" i="26"/>
  <c r="B31" i="26"/>
  <c r="E29" i="26"/>
  <c r="B29" i="26"/>
  <c r="E20" i="26"/>
  <c r="B20" i="26"/>
  <c r="E10" i="26"/>
  <c r="E12" i="26"/>
  <c r="E15" i="26"/>
  <c r="B10" i="26"/>
  <c r="B12" i="26"/>
  <c r="B15" i="26"/>
  <c r="E14" i="26"/>
  <c r="B14" i="26"/>
  <c r="E13" i="26"/>
  <c r="B13" i="26"/>
  <c r="E11" i="26"/>
  <c r="B11" i="26"/>
  <c r="Q104" i="2"/>
  <c r="Q100" i="2"/>
  <c r="H106" i="2"/>
  <c r="I106" i="2" s="1"/>
  <c r="H107" i="2"/>
  <c r="I107" i="2" s="1"/>
  <c r="H108" i="2"/>
  <c r="I108" i="2" s="1"/>
  <c r="H109" i="2"/>
  <c r="I109" i="2" s="1"/>
  <c r="H116" i="2"/>
  <c r="I116" i="2" s="1"/>
  <c r="H115" i="2"/>
  <c r="I115" i="2" s="1"/>
  <c r="H114" i="2"/>
  <c r="I114" i="2" s="1"/>
  <c r="H113" i="2"/>
  <c r="I113" i="2" s="1"/>
  <c r="H112" i="2"/>
  <c r="I112" i="2" s="1"/>
  <c r="H111" i="2"/>
  <c r="I111" i="2" s="1"/>
  <c r="H105" i="2"/>
  <c r="I105" i="2" s="1"/>
  <c r="S105" i="2" s="1"/>
  <c r="H104" i="2"/>
  <c r="I104" i="2" s="1"/>
  <c r="H103" i="2"/>
  <c r="I103" i="2" s="1"/>
  <c r="H102" i="2"/>
  <c r="I102" i="2" s="1"/>
  <c r="S102" i="2" s="1"/>
  <c r="H101" i="2"/>
  <c r="I101" i="2"/>
  <c r="H100" i="2"/>
  <c r="I100" i="2" s="1"/>
  <c r="Q44" i="2"/>
  <c r="E92" i="25"/>
  <c r="B92" i="25"/>
  <c r="E82" i="25"/>
  <c r="E84" i="25"/>
  <c r="E87" i="25"/>
  <c r="B82" i="25"/>
  <c r="B84" i="25"/>
  <c r="B87" i="25"/>
  <c r="E86" i="25"/>
  <c r="B86" i="25"/>
  <c r="E85" i="25"/>
  <c r="B85" i="25"/>
  <c r="E83" i="25"/>
  <c r="B83" i="25"/>
  <c r="E74" i="25"/>
  <c r="B74" i="25"/>
  <c r="E64" i="25"/>
  <c r="E66" i="25"/>
  <c r="E69" i="25"/>
  <c r="B64" i="25"/>
  <c r="B66" i="25"/>
  <c r="B69" i="25"/>
  <c r="E68" i="25"/>
  <c r="B68" i="25"/>
  <c r="E67" i="25"/>
  <c r="B67" i="25"/>
  <c r="E65" i="25"/>
  <c r="B65" i="25"/>
  <c r="Q97" i="2"/>
  <c r="Q87" i="2"/>
  <c r="Q92" i="2"/>
  <c r="H92" i="2"/>
  <c r="I92" i="2" s="1"/>
  <c r="H97" i="2"/>
  <c r="I97" i="2" s="1"/>
  <c r="H94" i="2"/>
  <c r="H96" i="2"/>
  <c r="I96" i="2" s="1"/>
  <c r="H95" i="2"/>
  <c r="I95" i="2" s="1"/>
  <c r="E56" i="25"/>
  <c r="B56" i="25"/>
  <c r="E46" i="25"/>
  <c r="E48" i="25"/>
  <c r="E51" i="25"/>
  <c r="B46" i="25"/>
  <c r="B48" i="25"/>
  <c r="B51" i="25"/>
  <c r="E50" i="25"/>
  <c r="B50" i="25"/>
  <c r="E49" i="25"/>
  <c r="B49" i="25"/>
  <c r="E47" i="25"/>
  <c r="B47" i="25"/>
  <c r="E38" i="25"/>
  <c r="B38" i="25"/>
  <c r="E28" i="25"/>
  <c r="E30" i="25"/>
  <c r="E33" i="25"/>
  <c r="B28" i="25"/>
  <c r="B30" i="25"/>
  <c r="B33" i="25"/>
  <c r="E32" i="25"/>
  <c r="B32" i="25"/>
  <c r="E31" i="25"/>
  <c r="B31" i="25"/>
  <c r="E29" i="25"/>
  <c r="B29" i="25"/>
  <c r="E20" i="25"/>
  <c r="B20" i="25"/>
  <c r="E10" i="25"/>
  <c r="E12" i="25"/>
  <c r="E15" i="25"/>
  <c r="B10" i="25"/>
  <c r="B12" i="25"/>
  <c r="B15" i="25"/>
  <c r="E14" i="25"/>
  <c r="B14" i="25"/>
  <c r="E13" i="25"/>
  <c r="B13" i="25"/>
  <c r="E11" i="25"/>
  <c r="B11" i="25"/>
  <c r="Q95" i="2"/>
  <c r="Q93" i="2"/>
  <c r="H93" i="2"/>
  <c r="I93" i="2" s="1"/>
  <c r="Q94" i="2"/>
  <c r="Q96" i="2"/>
  <c r="I94" i="2"/>
  <c r="Q86" i="2"/>
  <c r="Q85" i="2"/>
  <c r="Q84" i="2"/>
  <c r="Q83" i="2"/>
  <c r="Q81" i="2"/>
  <c r="Q82" i="2"/>
  <c r="E46" i="24"/>
  <c r="E56" i="24"/>
  <c r="B56" i="24"/>
  <c r="E48" i="24"/>
  <c r="E51" i="24"/>
  <c r="B46" i="24"/>
  <c r="B48" i="24"/>
  <c r="B51" i="24"/>
  <c r="E50" i="24"/>
  <c r="B50" i="24"/>
  <c r="E49" i="24"/>
  <c r="B49" i="24"/>
  <c r="E47" i="24"/>
  <c r="B47" i="24"/>
  <c r="E38" i="24"/>
  <c r="B38" i="24"/>
  <c r="E28" i="24"/>
  <c r="E30" i="24"/>
  <c r="E33" i="24"/>
  <c r="B28" i="24"/>
  <c r="B30" i="24"/>
  <c r="B33" i="24"/>
  <c r="E32" i="24"/>
  <c r="B32" i="24"/>
  <c r="E31" i="24"/>
  <c r="B31" i="24"/>
  <c r="E29" i="24"/>
  <c r="B29" i="24"/>
  <c r="E20" i="24"/>
  <c r="B20" i="24"/>
  <c r="E10" i="24"/>
  <c r="E12" i="24"/>
  <c r="E15" i="24"/>
  <c r="B10" i="24"/>
  <c r="B12" i="24"/>
  <c r="B15" i="24"/>
  <c r="E14" i="24"/>
  <c r="B14" i="24"/>
  <c r="E13" i="24"/>
  <c r="B13" i="24"/>
  <c r="E11" i="24"/>
  <c r="B11" i="24"/>
  <c r="H87" i="2"/>
  <c r="I87" i="2" s="1"/>
  <c r="H86" i="2"/>
  <c r="I86" i="2" s="1"/>
  <c r="H85" i="2"/>
  <c r="I85" i="2" s="1"/>
  <c r="H84" i="2"/>
  <c r="I84" i="2" s="1"/>
  <c r="S84" i="2" s="1"/>
  <c r="H83" i="2"/>
  <c r="I83" i="2" s="1"/>
  <c r="H82" i="2"/>
  <c r="I82" i="2" s="1"/>
  <c r="H81" i="2"/>
  <c r="I81" i="2" s="1"/>
  <c r="Q79" i="2"/>
  <c r="H79" i="2"/>
  <c r="I79" i="2" s="1"/>
  <c r="B51" i="22"/>
  <c r="Q78" i="2"/>
  <c r="Q77" i="2"/>
  <c r="Q76" i="2"/>
  <c r="Q75" i="2"/>
  <c r="Q74" i="2"/>
  <c r="B74" i="23"/>
  <c r="B64" i="23"/>
  <c r="B66" i="23"/>
  <c r="B69" i="23"/>
  <c r="B68" i="23"/>
  <c r="B67" i="23"/>
  <c r="B65" i="23"/>
  <c r="E56" i="23"/>
  <c r="B56" i="23"/>
  <c r="E46" i="23"/>
  <c r="E48" i="23"/>
  <c r="E51" i="23"/>
  <c r="B46" i="23"/>
  <c r="B48" i="23"/>
  <c r="B51" i="23"/>
  <c r="E50" i="23"/>
  <c r="B50" i="23"/>
  <c r="E49" i="23"/>
  <c r="B49" i="23"/>
  <c r="E47" i="23"/>
  <c r="B47" i="23"/>
  <c r="E38" i="23"/>
  <c r="B38" i="23"/>
  <c r="E28" i="23"/>
  <c r="E30" i="23"/>
  <c r="E33" i="23"/>
  <c r="B28" i="23"/>
  <c r="B30" i="23"/>
  <c r="B33" i="23"/>
  <c r="E32" i="23"/>
  <c r="B32" i="23"/>
  <c r="E31" i="23"/>
  <c r="B31" i="23"/>
  <c r="E29" i="23"/>
  <c r="B29" i="23"/>
  <c r="E20" i="23"/>
  <c r="B20" i="23"/>
  <c r="E10" i="23"/>
  <c r="E12" i="23"/>
  <c r="E15" i="23"/>
  <c r="B10" i="23"/>
  <c r="B12" i="23"/>
  <c r="B15" i="23"/>
  <c r="E14" i="23"/>
  <c r="B14" i="23"/>
  <c r="E13" i="23"/>
  <c r="B13" i="23"/>
  <c r="E11" i="23"/>
  <c r="B11" i="23"/>
  <c r="Q73" i="2"/>
  <c r="B74" i="22"/>
  <c r="B64" i="22"/>
  <c r="B66" i="22"/>
  <c r="B69" i="22"/>
  <c r="B68" i="22"/>
  <c r="B67" i="22"/>
  <c r="B65" i="22"/>
  <c r="E56" i="22"/>
  <c r="B56" i="22"/>
  <c r="E46" i="22"/>
  <c r="E48" i="22"/>
  <c r="E51" i="22"/>
  <c r="B46" i="22"/>
  <c r="B48" i="22"/>
  <c r="E50" i="22"/>
  <c r="B50" i="22"/>
  <c r="E49" i="22"/>
  <c r="B49" i="22"/>
  <c r="E47" i="22"/>
  <c r="B47" i="22"/>
  <c r="E38" i="22"/>
  <c r="B38" i="22"/>
  <c r="E28" i="22"/>
  <c r="E30" i="22"/>
  <c r="E33" i="22"/>
  <c r="B28" i="22"/>
  <c r="B30" i="22"/>
  <c r="B33" i="22"/>
  <c r="E32" i="22"/>
  <c r="B32" i="22"/>
  <c r="E31" i="22"/>
  <c r="B31" i="22"/>
  <c r="E29" i="22"/>
  <c r="B29" i="22"/>
  <c r="E20" i="22"/>
  <c r="B20" i="22"/>
  <c r="E10" i="22"/>
  <c r="E12" i="22"/>
  <c r="E15" i="22"/>
  <c r="B10" i="22"/>
  <c r="B12" i="22"/>
  <c r="B15" i="22"/>
  <c r="E14" i="22"/>
  <c r="B14" i="22"/>
  <c r="E13" i="22"/>
  <c r="B13" i="22"/>
  <c r="E11" i="22"/>
  <c r="B11" i="22"/>
  <c r="H78" i="2"/>
  <c r="I78" i="2" s="1"/>
  <c r="H77" i="2"/>
  <c r="I77" i="2" s="1"/>
  <c r="H76" i="2"/>
  <c r="I76" i="2" s="1"/>
  <c r="H75" i="2"/>
  <c r="I75" i="2"/>
  <c r="H74" i="2"/>
  <c r="I74" i="2" s="1"/>
  <c r="H73" i="2"/>
  <c r="I73" i="2" s="1"/>
  <c r="Q71" i="2"/>
  <c r="Q70" i="2"/>
  <c r="Q69" i="2"/>
  <c r="H69" i="2"/>
  <c r="I69" i="2" s="1"/>
  <c r="H70" i="2"/>
  <c r="I70" i="2" s="1"/>
  <c r="H71" i="2"/>
  <c r="I71" i="2" s="1"/>
  <c r="Q68" i="2"/>
  <c r="Q67" i="2"/>
  <c r="Q66" i="2"/>
  <c r="Q65" i="2"/>
  <c r="H68" i="2"/>
  <c r="I68" i="2" s="1"/>
  <c r="H67" i="2"/>
  <c r="I67" i="2" s="1"/>
  <c r="H66" i="2"/>
  <c r="I66" i="2" s="1"/>
  <c r="H65" i="2"/>
  <c r="I65" i="2" s="1"/>
  <c r="S65" i="2" s="1"/>
  <c r="B74" i="21"/>
  <c r="B64" i="21"/>
  <c r="B66" i="21"/>
  <c r="B69" i="21"/>
  <c r="B68" i="21"/>
  <c r="B67" i="21"/>
  <c r="B65" i="21"/>
  <c r="E56" i="21"/>
  <c r="B56" i="21"/>
  <c r="E46" i="21"/>
  <c r="E48" i="21"/>
  <c r="E51" i="21"/>
  <c r="B46" i="21"/>
  <c r="B48" i="21"/>
  <c r="B51" i="21"/>
  <c r="E50" i="21"/>
  <c r="B50" i="21"/>
  <c r="E49" i="21"/>
  <c r="B49" i="21"/>
  <c r="E47" i="21"/>
  <c r="B47" i="21"/>
  <c r="E38" i="21"/>
  <c r="B38" i="21"/>
  <c r="E28" i="21"/>
  <c r="E30" i="21"/>
  <c r="E33" i="21"/>
  <c r="B28" i="21"/>
  <c r="B30" i="21"/>
  <c r="B33" i="21"/>
  <c r="E32" i="21"/>
  <c r="B32" i="21"/>
  <c r="E31" i="21"/>
  <c r="B31" i="21"/>
  <c r="E29" i="21"/>
  <c r="B29" i="21"/>
  <c r="E20" i="21"/>
  <c r="B20" i="21"/>
  <c r="E10" i="21"/>
  <c r="E12" i="21"/>
  <c r="E15" i="21"/>
  <c r="B10" i="21"/>
  <c r="B12" i="21"/>
  <c r="B15" i="21"/>
  <c r="E14" i="21"/>
  <c r="B14" i="21"/>
  <c r="E13" i="21"/>
  <c r="B13" i="21"/>
  <c r="E11" i="21"/>
  <c r="B11" i="21"/>
  <c r="Q63" i="2"/>
  <c r="Q62" i="2"/>
  <c r="Q61" i="2"/>
  <c r="Q60" i="2"/>
  <c r="Q59" i="2"/>
  <c r="Q58" i="2"/>
  <c r="Q57" i="2"/>
  <c r="H63" i="2"/>
  <c r="I63" i="2" s="1"/>
  <c r="H62" i="2"/>
  <c r="I62" i="2" s="1"/>
  <c r="H61" i="2"/>
  <c r="I61" i="2" s="1"/>
  <c r="S61" i="2" s="1"/>
  <c r="H60" i="2"/>
  <c r="I60" i="2" s="1"/>
  <c r="H59" i="2"/>
  <c r="I59" i="2" s="1"/>
  <c r="H58" i="2"/>
  <c r="I58" i="2" s="1"/>
  <c r="H57" i="2"/>
  <c r="I57" i="2" s="1"/>
  <c r="B74" i="20"/>
  <c r="B64" i="20"/>
  <c r="B66" i="20"/>
  <c r="B69" i="20"/>
  <c r="B68" i="20"/>
  <c r="B67" i="20"/>
  <c r="B65" i="20"/>
  <c r="E56" i="20"/>
  <c r="B56" i="20"/>
  <c r="E46" i="20"/>
  <c r="E48" i="20"/>
  <c r="E51" i="20"/>
  <c r="B46" i="20"/>
  <c r="B48" i="20"/>
  <c r="B51" i="20"/>
  <c r="E50" i="20"/>
  <c r="B50" i="20"/>
  <c r="E49" i="20"/>
  <c r="B49" i="20"/>
  <c r="E47" i="20"/>
  <c r="B47" i="20"/>
  <c r="E38" i="20"/>
  <c r="B38" i="20"/>
  <c r="E28" i="20"/>
  <c r="E30" i="20"/>
  <c r="E33" i="20"/>
  <c r="B28" i="20"/>
  <c r="B30" i="20"/>
  <c r="B33" i="20"/>
  <c r="E32" i="20"/>
  <c r="B32" i="20"/>
  <c r="E31" i="20"/>
  <c r="B31" i="20"/>
  <c r="E29" i="20"/>
  <c r="B29" i="20"/>
  <c r="E20" i="20"/>
  <c r="B20" i="20"/>
  <c r="E10" i="20"/>
  <c r="E12" i="20"/>
  <c r="E15" i="20"/>
  <c r="B10" i="20"/>
  <c r="B12" i="20"/>
  <c r="B15" i="20"/>
  <c r="E14" i="20"/>
  <c r="B14" i="20"/>
  <c r="E13" i="20"/>
  <c r="B13" i="20"/>
  <c r="E11" i="20"/>
  <c r="B11" i="20"/>
  <c r="Q55" i="2"/>
  <c r="Q54" i="2"/>
  <c r="Q53" i="2"/>
  <c r="Q52" i="2"/>
  <c r="Q51" i="2"/>
  <c r="Q50" i="2"/>
  <c r="Q49" i="2"/>
  <c r="H55" i="2"/>
  <c r="I55" i="2" s="1"/>
  <c r="H54" i="2"/>
  <c r="I54" i="2" s="1"/>
  <c r="H53" i="2"/>
  <c r="I53" i="2" s="1"/>
  <c r="H52" i="2"/>
  <c r="I52" i="2" s="1"/>
  <c r="H51" i="2"/>
  <c r="I51" i="2" s="1"/>
  <c r="H50" i="2"/>
  <c r="I50" i="2" s="1"/>
  <c r="H49" i="2"/>
  <c r="I49" i="2" s="1"/>
  <c r="Q45" i="2"/>
  <c r="B56" i="19"/>
  <c r="B74" i="19"/>
  <c r="E56" i="19"/>
  <c r="E38" i="19"/>
  <c r="E20" i="19"/>
  <c r="B38" i="19"/>
  <c r="B64" i="19"/>
  <c r="B66" i="19"/>
  <c r="B69" i="19"/>
  <c r="B68" i="19"/>
  <c r="B67" i="19"/>
  <c r="B65" i="19"/>
  <c r="E46" i="19"/>
  <c r="E48" i="19"/>
  <c r="E51" i="19"/>
  <c r="B46" i="19"/>
  <c r="B48" i="19"/>
  <c r="B51" i="19"/>
  <c r="E50" i="19"/>
  <c r="B50" i="19"/>
  <c r="E49" i="19"/>
  <c r="B49" i="19"/>
  <c r="E47" i="19"/>
  <c r="B47" i="19"/>
  <c r="E28" i="19"/>
  <c r="E30" i="19"/>
  <c r="E33" i="19"/>
  <c r="B28" i="19"/>
  <c r="B30" i="19"/>
  <c r="B33" i="19"/>
  <c r="E32" i="19"/>
  <c r="B32" i="19"/>
  <c r="E31" i="19"/>
  <c r="B31" i="19"/>
  <c r="E29" i="19"/>
  <c r="B29" i="19"/>
  <c r="B20" i="19"/>
  <c r="E10" i="19"/>
  <c r="E12" i="19"/>
  <c r="E15" i="19"/>
  <c r="B10" i="19"/>
  <c r="B12" i="19"/>
  <c r="B15" i="19"/>
  <c r="E14" i="19"/>
  <c r="B14" i="19"/>
  <c r="E13" i="19"/>
  <c r="B13" i="19"/>
  <c r="E11" i="19"/>
  <c r="B11" i="19"/>
  <c r="Q37" i="2"/>
  <c r="Q43" i="2"/>
  <c r="Q42" i="2"/>
  <c r="Q41" i="2"/>
  <c r="Q40" i="2"/>
  <c r="H36" i="2"/>
  <c r="I36" i="2" s="1"/>
  <c r="Q36" i="2"/>
  <c r="E45" i="18"/>
  <c r="E47" i="18"/>
  <c r="E50" i="18"/>
  <c r="B45" i="18"/>
  <c r="B47" i="18"/>
  <c r="B50" i="18"/>
  <c r="E49" i="18"/>
  <c r="B49" i="18"/>
  <c r="E48" i="18"/>
  <c r="B48" i="18"/>
  <c r="E46" i="18"/>
  <c r="B46" i="18"/>
  <c r="E27" i="18"/>
  <c r="E29" i="18"/>
  <c r="E32" i="18"/>
  <c r="B27" i="18"/>
  <c r="B29" i="18"/>
  <c r="B32" i="18"/>
  <c r="E31" i="18"/>
  <c r="B31" i="18"/>
  <c r="E30" i="18"/>
  <c r="B30" i="18"/>
  <c r="E28" i="18"/>
  <c r="B28" i="18"/>
  <c r="E9" i="18"/>
  <c r="E11" i="18"/>
  <c r="E14" i="18"/>
  <c r="B9" i="18"/>
  <c r="B11" i="18"/>
  <c r="B14" i="18"/>
  <c r="E13" i="18"/>
  <c r="B13" i="18"/>
  <c r="E12" i="18"/>
  <c r="B12" i="18"/>
  <c r="E10" i="18"/>
  <c r="B10" i="18"/>
  <c r="Q38" i="2"/>
  <c r="Q35" i="2"/>
  <c r="Q34" i="2"/>
  <c r="Q33" i="2"/>
  <c r="E45" i="17"/>
  <c r="E47" i="17"/>
  <c r="E50" i="17"/>
  <c r="B45" i="17"/>
  <c r="B47" i="17"/>
  <c r="B50" i="17"/>
  <c r="E49" i="17"/>
  <c r="B49" i="17"/>
  <c r="E48" i="17"/>
  <c r="B48" i="17"/>
  <c r="E46" i="17"/>
  <c r="B46" i="17"/>
  <c r="E27" i="17"/>
  <c r="E29" i="17"/>
  <c r="E32" i="17"/>
  <c r="B27" i="17"/>
  <c r="B29" i="17"/>
  <c r="B32" i="17"/>
  <c r="E31" i="17"/>
  <c r="B31" i="17"/>
  <c r="E30" i="17"/>
  <c r="B30" i="17"/>
  <c r="E28" i="17"/>
  <c r="B28" i="17"/>
  <c r="E9" i="17"/>
  <c r="E11" i="17"/>
  <c r="E14" i="17"/>
  <c r="B9" i="17"/>
  <c r="B11" i="17"/>
  <c r="B14" i="17"/>
  <c r="E13" i="17"/>
  <c r="B13" i="17"/>
  <c r="E12" i="17"/>
  <c r="B12" i="17"/>
  <c r="E10" i="17"/>
  <c r="B10" i="17"/>
  <c r="Q31" i="2"/>
  <c r="Q30" i="2"/>
  <c r="Q29" i="2"/>
  <c r="Q28" i="2"/>
  <c r="Q27" i="2"/>
  <c r="Q26" i="2"/>
  <c r="E45" i="16"/>
  <c r="E47" i="16"/>
  <c r="E50" i="16"/>
  <c r="B45" i="16"/>
  <c r="B47" i="16"/>
  <c r="B50" i="16"/>
  <c r="E49" i="16"/>
  <c r="B49" i="16"/>
  <c r="E48" i="16"/>
  <c r="B48" i="16"/>
  <c r="E46" i="16"/>
  <c r="B46" i="16"/>
  <c r="E27" i="16"/>
  <c r="E29" i="16"/>
  <c r="E32" i="16"/>
  <c r="B27" i="16"/>
  <c r="B29" i="16"/>
  <c r="B32" i="16"/>
  <c r="E31" i="16"/>
  <c r="B31" i="16"/>
  <c r="E30" i="16"/>
  <c r="B30" i="16"/>
  <c r="E28" i="16"/>
  <c r="B28" i="16"/>
  <c r="E9" i="16"/>
  <c r="E11" i="16"/>
  <c r="E14" i="16"/>
  <c r="B9" i="16"/>
  <c r="B11" i="16"/>
  <c r="B14" i="16"/>
  <c r="E13" i="16"/>
  <c r="B13" i="16"/>
  <c r="E12" i="16"/>
  <c r="B12" i="16"/>
  <c r="E10" i="16"/>
  <c r="B10" i="16"/>
  <c r="H45" i="2"/>
  <c r="I45" i="2" s="1"/>
  <c r="H44" i="2"/>
  <c r="I44" i="2" s="1"/>
  <c r="H43" i="2"/>
  <c r="I43" i="2" s="1"/>
  <c r="H42" i="2"/>
  <c r="I42" i="2" s="1"/>
  <c r="H41" i="2"/>
  <c r="I41" i="2" s="1"/>
  <c r="H40" i="2"/>
  <c r="I40" i="2" s="1"/>
  <c r="S40" i="2" s="1"/>
  <c r="H38" i="2"/>
  <c r="I38" i="2" s="1"/>
  <c r="S38" i="2" s="1"/>
  <c r="H37" i="2"/>
  <c r="I37" i="2" s="1"/>
  <c r="H35" i="2"/>
  <c r="I35" i="2"/>
  <c r="S35" i="2" s="1"/>
  <c r="H34" i="2"/>
  <c r="I34" i="2" s="1"/>
  <c r="H33" i="2"/>
  <c r="I33" i="2" s="1"/>
  <c r="H31" i="2"/>
  <c r="I31" i="2" s="1"/>
  <c r="H30" i="2"/>
  <c r="I30" i="2" s="1"/>
  <c r="S30" i="2" s="1"/>
  <c r="H29" i="2"/>
  <c r="I29" i="2" s="1"/>
  <c r="H28" i="2"/>
  <c r="I28" i="2" s="1"/>
  <c r="H27" i="2"/>
  <c r="I27" i="2" s="1"/>
  <c r="H26" i="2"/>
  <c r="I26" i="2" s="1"/>
  <c r="Q24" i="2"/>
  <c r="H24" i="2"/>
  <c r="I24" i="2" s="1"/>
  <c r="Q23" i="2"/>
  <c r="Q22" i="2"/>
  <c r="Q21" i="2"/>
  <c r="Q20" i="2"/>
  <c r="H17" i="2"/>
  <c r="I17" i="2" s="1"/>
  <c r="S17" i="2" s="1"/>
  <c r="H19" i="2"/>
  <c r="I19" i="2" s="1"/>
  <c r="H20" i="2"/>
  <c r="I20" i="2" s="1"/>
  <c r="H21" i="2"/>
  <c r="I21" i="2" s="1"/>
  <c r="H22" i="2"/>
  <c r="I22" i="2" s="1"/>
  <c r="H23" i="2"/>
  <c r="I23" i="2" s="1"/>
  <c r="Q19" i="2"/>
  <c r="E45" i="15"/>
  <c r="E47" i="15"/>
  <c r="E50" i="15"/>
  <c r="B45" i="15"/>
  <c r="B47" i="15"/>
  <c r="B50" i="15"/>
  <c r="E49" i="15"/>
  <c r="B49" i="15"/>
  <c r="E48" i="15"/>
  <c r="B48" i="15"/>
  <c r="E46" i="15"/>
  <c r="B46" i="15"/>
  <c r="E27" i="15"/>
  <c r="E29" i="15"/>
  <c r="E32" i="15"/>
  <c r="B27" i="15"/>
  <c r="B29" i="15"/>
  <c r="B32" i="15"/>
  <c r="E31" i="15"/>
  <c r="B31" i="15"/>
  <c r="E30" i="15"/>
  <c r="B30" i="15"/>
  <c r="E28" i="15"/>
  <c r="B28" i="15"/>
  <c r="E9" i="15"/>
  <c r="E11" i="15"/>
  <c r="E14" i="15"/>
  <c r="B9" i="15"/>
  <c r="B11" i="15"/>
  <c r="B14" i="15"/>
  <c r="E13" i="15"/>
  <c r="B13" i="15"/>
  <c r="E12" i="15"/>
  <c r="B12" i="15"/>
  <c r="E10" i="15"/>
  <c r="B10" i="15"/>
  <c r="Q17" i="2"/>
  <c r="Q16" i="2"/>
  <c r="Q15" i="2"/>
  <c r="Q14" i="2"/>
  <c r="Q13" i="2"/>
  <c r="H13" i="2"/>
  <c r="I13" i="2" s="1"/>
  <c r="H14" i="2"/>
  <c r="I14" i="2" s="1"/>
  <c r="H15" i="2"/>
  <c r="I15" i="2" s="1"/>
  <c r="H16" i="2"/>
  <c r="I16" i="2" s="1"/>
  <c r="H12" i="2"/>
  <c r="I12" i="2"/>
  <c r="Q12" i="2"/>
  <c r="B19" i="5"/>
  <c r="E45" i="5"/>
  <c r="E47" i="5"/>
  <c r="E50" i="5"/>
  <c r="B45" i="5"/>
  <c r="B47" i="5"/>
  <c r="B50" i="5"/>
  <c r="E49" i="5"/>
  <c r="B49" i="5"/>
  <c r="E48" i="5"/>
  <c r="B48" i="5"/>
  <c r="E46" i="5"/>
  <c r="B46" i="5"/>
  <c r="E27" i="5"/>
  <c r="E29" i="5"/>
  <c r="E32" i="5"/>
  <c r="E31" i="5"/>
  <c r="E30" i="5"/>
  <c r="E28" i="5"/>
  <c r="E9" i="5"/>
  <c r="E11" i="5"/>
  <c r="E14" i="5"/>
  <c r="E13" i="5"/>
  <c r="E12" i="5"/>
  <c r="E10" i="5"/>
  <c r="B27" i="5"/>
  <c r="B29" i="5"/>
  <c r="B32" i="5"/>
  <c r="B31" i="5"/>
  <c r="B30" i="5"/>
  <c r="B28" i="5"/>
  <c r="B12" i="5"/>
  <c r="B9" i="5"/>
  <c r="B10" i="5"/>
  <c r="B11" i="5"/>
  <c r="B14" i="5"/>
  <c r="B13" i="5"/>
  <c r="Z36" i="2" l="1"/>
  <c r="Z70" i="2"/>
  <c r="Y79" i="2"/>
  <c r="Z71" i="2"/>
  <c r="Y62" i="2"/>
  <c r="Y45" i="2"/>
  <c r="Z31" i="2"/>
  <c r="Z128" i="2"/>
  <c r="Z144" i="2"/>
  <c r="Y144" i="2"/>
  <c r="Y125" i="2"/>
  <c r="S111" i="2"/>
  <c r="S125" i="2"/>
  <c r="S70" i="2"/>
  <c r="S77" i="2"/>
  <c r="S53" i="2"/>
  <c r="S34" i="2"/>
  <c r="S81" i="2"/>
  <c r="B29" i="29"/>
  <c r="B48" i="29"/>
  <c r="B50" i="29" s="1"/>
  <c r="B84" i="29"/>
  <c r="B86" i="29" s="1"/>
  <c r="B33" i="29"/>
  <c r="B14" i="29"/>
  <c r="B15" i="29"/>
  <c r="E84" i="29"/>
  <c r="B66" i="29"/>
  <c r="E66" i="29"/>
  <c r="B11" i="29"/>
  <c r="S129" i="2"/>
  <c r="S141" i="2"/>
  <c r="S140" i="2"/>
  <c r="S50" i="2"/>
  <c r="S119" i="2"/>
  <c r="S78" i="2"/>
  <c r="S14" i="2"/>
  <c r="S96" i="2"/>
  <c r="S116" i="2"/>
  <c r="S95" i="2"/>
  <c r="S94" i="2"/>
  <c r="S109" i="2"/>
  <c r="S62" i="2"/>
  <c r="S21" i="2"/>
  <c r="S93" i="2"/>
  <c r="S22" i="2"/>
  <c r="S60" i="2"/>
  <c r="S29" i="2"/>
  <c r="S55" i="2"/>
  <c r="S97" i="2"/>
  <c r="S51" i="2"/>
  <c r="S37" i="2"/>
  <c r="S42" i="2"/>
  <c r="S85" i="2"/>
  <c r="S83" i="2"/>
  <c r="S103" i="2"/>
  <c r="S101" i="2"/>
  <c r="S12" i="2"/>
  <c r="S79" i="2"/>
  <c r="S26" i="2"/>
  <c r="S28" i="2"/>
  <c r="S33" i="2"/>
  <c r="S45" i="2"/>
  <c r="S75" i="2"/>
  <c r="S106" i="2"/>
  <c r="S59" i="2"/>
  <c r="S71" i="2"/>
  <c r="S68" i="2"/>
  <c r="S120" i="2"/>
  <c r="S13" i="2"/>
  <c r="S24" i="2"/>
  <c r="S27" i="2"/>
  <c r="S145" i="2"/>
  <c r="S36" i="2"/>
  <c r="S49" i="2"/>
  <c r="S58" i="2"/>
  <c r="S67" i="2"/>
  <c r="S143" i="2"/>
  <c r="S66" i="2"/>
  <c r="S76" i="2"/>
  <c r="S86" i="2"/>
  <c r="S146" i="2"/>
  <c r="S74" i="2"/>
  <c r="S148" i="2"/>
  <c r="S15" i="2"/>
  <c r="S31" i="2"/>
  <c r="S52" i="2"/>
  <c r="S63" i="2"/>
  <c r="S100" i="2"/>
  <c r="S107" i="2"/>
  <c r="S149" i="2"/>
  <c r="S44" i="2"/>
  <c r="S112" i="2"/>
  <c r="S144" i="2"/>
  <c r="S54" i="2"/>
  <c r="S69" i="2"/>
  <c r="S82" i="2"/>
  <c r="S108" i="2"/>
  <c r="S126" i="2"/>
  <c r="S147" i="2"/>
  <c r="S137" i="2"/>
  <c r="S135" i="2"/>
  <c r="S133" i="2"/>
  <c r="S139" i="2"/>
  <c r="S138" i="2"/>
  <c r="S134" i="2"/>
  <c r="S136" i="2"/>
  <c r="E83" i="28"/>
  <c r="E65" i="28"/>
  <c r="B65" i="28"/>
  <c r="S128" i="2"/>
  <c r="S127" i="2"/>
  <c r="B15" i="28"/>
  <c r="B14" i="28"/>
  <c r="B33" i="28"/>
  <c r="B32" i="28"/>
  <c r="B50" i="28"/>
  <c r="B51" i="28"/>
  <c r="E68" i="28"/>
  <c r="E69" i="28"/>
  <c r="B87" i="28"/>
  <c r="B86" i="28"/>
  <c r="E50" i="28"/>
  <c r="E51" i="28"/>
  <c r="E32" i="28"/>
  <c r="E47" i="28"/>
  <c r="B29" i="28"/>
  <c r="E14" i="28"/>
  <c r="E86" i="28"/>
  <c r="B11" i="28"/>
  <c r="B68" i="28"/>
  <c r="B83" i="28"/>
  <c r="S123" i="2"/>
  <c r="S118" i="2"/>
  <c r="S113" i="2"/>
  <c r="S16" i="2"/>
  <c r="S115" i="2"/>
  <c r="S20" i="2"/>
  <c r="S41" i="2"/>
  <c r="S73" i="2"/>
  <c r="S43" i="2"/>
  <c r="S57" i="2"/>
  <c r="S92" i="2"/>
  <c r="S104" i="2"/>
  <c r="S23" i="2"/>
  <c r="S87" i="2"/>
  <c r="S114" i="2"/>
  <c r="S19" i="2"/>
  <c r="S122" i="2"/>
  <c r="B51" i="29" l="1"/>
  <c r="B87" i="29"/>
  <c r="E87" i="29"/>
  <c r="E86" i="29"/>
  <c r="B69" i="29"/>
  <c r="B68" i="29"/>
  <c r="E68" i="29"/>
  <c r="E69" i="29"/>
</calcChain>
</file>

<file path=xl/sharedStrings.xml><?xml version="1.0" encoding="utf-8"?>
<sst xmlns="http://schemas.openxmlformats.org/spreadsheetml/2006/main" count="3444" uniqueCount="456">
  <si>
    <t>Number</t>
  </si>
  <si>
    <t>Construct</t>
  </si>
  <si>
    <t>Titer</t>
  </si>
  <si>
    <t>Fitness</t>
  </si>
  <si>
    <t>F treatment</t>
  </si>
  <si>
    <t>G treatment</t>
  </si>
  <si>
    <t>H treatment</t>
  </si>
  <si>
    <t>Passaging Complete?</t>
  </si>
  <si>
    <t>R110</t>
  </si>
  <si>
    <t>Rand-1 F</t>
  </si>
  <si>
    <t>F random 100% rep 1</t>
  </si>
  <si>
    <t>wt</t>
  </si>
  <si>
    <t>R125</t>
  </si>
  <si>
    <t>Rand-1 G</t>
  </si>
  <si>
    <t>G random 100% rep 1</t>
  </si>
  <si>
    <t>R140</t>
  </si>
  <si>
    <t>Rand-1 H</t>
  </si>
  <si>
    <t>H random 100% rep 1</t>
  </si>
  <si>
    <t>Rand-1 FG-1</t>
  </si>
  <si>
    <t>Rand-1 FGH</t>
  </si>
  <si>
    <t>no successful plqs in 1st assembly</t>
  </si>
  <si>
    <t>Rand-1 FH-1</t>
  </si>
  <si>
    <t>Rand-1 GH-1</t>
  </si>
  <si>
    <t>R113</t>
  </si>
  <si>
    <t>Rand-2 F</t>
  </si>
  <si>
    <t>F random max rep 1</t>
  </si>
  <si>
    <t>Rand-2 G</t>
  </si>
  <si>
    <t>G random max rep 2</t>
  </si>
  <si>
    <t>R144</t>
  </si>
  <si>
    <t>Rand-2 H</t>
  </si>
  <si>
    <t>H random max rep 2</t>
  </si>
  <si>
    <t>Rand-2 FG-1</t>
  </si>
  <si>
    <t>Rand-2 FGH</t>
  </si>
  <si>
    <t>Rand-2 FH-1</t>
  </si>
  <si>
    <t>Rand-2 GH-1</t>
  </si>
  <si>
    <t>R107</t>
  </si>
  <si>
    <t>Rand-3 F</t>
  </si>
  <si>
    <t>F random 75% rep 1</t>
  </si>
  <si>
    <t>x</t>
  </si>
  <si>
    <t>R122</t>
  </si>
  <si>
    <t>Rand-3 G</t>
  </si>
  <si>
    <t>G random 75% rep 1</t>
  </si>
  <si>
    <t>R139</t>
  </si>
  <si>
    <t>Rand-3 H</t>
  </si>
  <si>
    <t>H random 75% rep 3</t>
  </si>
  <si>
    <t>Rand-3 FG-1</t>
  </si>
  <si>
    <t>Rand-3 FGH-2</t>
  </si>
  <si>
    <t>Rand-3 FH-1</t>
  </si>
  <si>
    <t>Rand-3 GH-1</t>
  </si>
  <si>
    <t>R156</t>
  </si>
  <si>
    <t>Shuf-1 F</t>
  </si>
  <si>
    <t>F shuffle 100% rep 2</t>
  </si>
  <si>
    <t>Shuf-1 G</t>
  </si>
  <si>
    <t>G shuffle 100% rep 1</t>
  </si>
  <si>
    <t>Shuf-1 H</t>
  </si>
  <si>
    <t>H shuffle 100% rep 1</t>
  </si>
  <si>
    <t>Shuf-1 FG-1</t>
  </si>
  <si>
    <t>Shuf-1 FGH-1</t>
  </si>
  <si>
    <t>Shuf-1 FH-1</t>
  </si>
  <si>
    <t>Shuf-1 GH-1</t>
  </si>
  <si>
    <t>R152</t>
  </si>
  <si>
    <t>Shuf-2 F</t>
  </si>
  <si>
    <t>F shuffle 75% rep 1</t>
  </si>
  <si>
    <t>R164</t>
  </si>
  <si>
    <t>Shuf-2 G</t>
  </si>
  <si>
    <t>G shuffle 75% rep 1</t>
  </si>
  <si>
    <t>R178</t>
  </si>
  <si>
    <t>Shuf-2 H</t>
  </si>
  <si>
    <t>H shuffle 75% rep 3</t>
  </si>
  <si>
    <t>Shuf-2 FG-1</t>
  </si>
  <si>
    <t>Shuf-2 FGH-2</t>
  </si>
  <si>
    <t>Shuf-2 FH-1</t>
  </si>
  <si>
    <t>Shuf-2 GH-1</t>
  </si>
  <si>
    <t>Shuf-3 F</t>
  </si>
  <si>
    <t>F shuffle 100% rep 3</t>
  </si>
  <si>
    <t>R22</t>
  </si>
  <si>
    <t>Shuf-3 G</t>
  </si>
  <si>
    <t>G_0.5shuf_rep2</t>
  </si>
  <si>
    <t>R181</t>
  </si>
  <si>
    <t>Shuf-3 H</t>
  </si>
  <si>
    <t>H shuffle 100% rep 3</t>
  </si>
  <si>
    <t>Shuf-3 FG-1</t>
  </si>
  <si>
    <t>Shuf-3 FGH-1</t>
  </si>
  <si>
    <t>Shuf-3 FH-1</t>
  </si>
  <si>
    <t>Shuf-3 GH-1</t>
  </si>
  <si>
    <t xml:space="preserve"> </t>
  </si>
  <si>
    <t>Worst-1 F</t>
  </si>
  <si>
    <t>F_0.5worst_rep2</t>
  </si>
  <si>
    <t>Worst-1 G</t>
  </si>
  <si>
    <t>G_0.5worst_rep2</t>
  </si>
  <si>
    <t>R60</t>
  </si>
  <si>
    <t>Worst-1 H</t>
  </si>
  <si>
    <t>H_0.5worst_rep1</t>
  </si>
  <si>
    <t>Worst-1 FG-1</t>
  </si>
  <si>
    <t>Worst-1 FGH-2</t>
  </si>
  <si>
    <t>Worst-1 FH-1</t>
  </si>
  <si>
    <t>Worst-1 GH-1</t>
  </si>
  <si>
    <t>Worst-2 F</t>
  </si>
  <si>
    <t>F_0.75worst_rep3</t>
  </si>
  <si>
    <t>Worst-2 G</t>
  </si>
  <si>
    <t>G_0.5worst_rep3</t>
  </si>
  <si>
    <t>R66</t>
  </si>
  <si>
    <t>Worst-2 H</t>
  </si>
  <si>
    <t>H_1.0worst_rep1</t>
  </si>
  <si>
    <t>Worst-2 FG-1</t>
  </si>
  <si>
    <t>Worst-2 FGH-1</t>
  </si>
  <si>
    <t>no successful plqs in 2nd assembly</t>
  </si>
  <si>
    <t>Worst-2 FH-1</t>
  </si>
  <si>
    <t>Worst-2 GH-1</t>
  </si>
  <si>
    <t>Worst-3 F</t>
  </si>
  <si>
    <t>F_0.5worst_rep3</t>
  </si>
  <si>
    <t>Worst-3 G</t>
  </si>
  <si>
    <t>G_0.75worst_rep3</t>
  </si>
  <si>
    <t>R63</t>
  </si>
  <si>
    <t>Worst-3 H</t>
  </si>
  <si>
    <t>H_0.75worst_rep1</t>
  </si>
  <si>
    <t>Worst-3 FG-1</t>
  </si>
  <si>
    <t>Worst-3 FGH-1</t>
  </si>
  <si>
    <t>Worst-3 FH-1</t>
  </si>
  <si>
    <t>Worst-3 GH-1</t>
  </si>
  <si>
    <t>wt S2M-1</t>
  </si>
  <si>
    <t>F worst 75% rep 2</t>
  </si>
  <si>
    <t>R53</t>
  </si>
  <si>
    <t>G worst 75% rep 1</t>
  </si>
  <si>
    <t>R46</t>
  </si>
  <si>
    <t>F worst 100% rep 1</t>
  </si>
  <si>
    <t>R54</t>
  </si>
  <si>
    <t>G worst 75% rep 2</t>
  </si>
  <si>
    <t>Flask Passaging 8-26-21</t>
  </si>
  <si>
    <t>Construct #</t>
  </si>
  <si>
    <t>R51</t>
  </si>
  <si>
    <t>F 50% worst rep 2</t>
  </si>
  <si>
    <t>G 50% worst rep2</t>
  </si>
  <si>
    <t>Fitness of original construct</t>
  </si>
  <si>
    <t>Fitness from last passage</t>
  </si>
  <si>
    <t>Passage Number(s)</t>
  </si>
  <si>
    <t>Titer from previous passage</t>
  </si>
  <si>
    <t>Amt of previous passage to add (mL)</t>
  </si>
  <si>
    <t>Amt of previous passage to add (uL)</t>
  </si>
  <si>
    <t>4.6 of 1:10</t>
  </si>
  <si>
    <t>Titer of flask (T0)</t>
  </si>
  <si>
    <t>Approx. amt. to plate of previous passage ("T0")</t>
  </si>
  <si>
    <t>Approx. amt. to plate of this passage (T40)</t>
  </si>
  <si>
    <t>Time for passages with low titers (min)</t>
  </si>
  <si>
    <t>Actual time (hours)</t>
  </si>
  <si>
    <t>40'</t>
  </si>
  <si>
    <t>45'</t>
  </si>
  <si>
    <t>Time Started</t>
  </si>
  <si>
    <t>Time Sample Taken</t>
  </si>
  <si>
    <t>Flask Number (randomly generated)</t>
  </si>
  <si>
    <t>T0 plating</t>
  </si>
  <si>
    <t>H 50% worst rep1</t>
  </si>
  <si>
    <t>120'</t>
  </si>
  <si>
    <t>150'</t>
  </si>
  <si>
    <t>60'</t>
  </si>
  <si>
    <t>T40 plating dilutions</t>
  </si>
  <si>
    <t>Flask Passaging 9-10-21</t>
  </si>
  <si>
    <t>30'</t>
  </si>
  <si>
    <t>75'</t>
  </si>
  <si>
    <t>100'</t>
  </si>
  <si>
    <t>50'</t>
  </si>
  <si>
    <t>Worst Group 1 Passage 3_9-14-21</t>
  </si>
  <si>
    <t>17.0 of 1:100</t>
  </si>
  <si>
    <t>Worst Group 1 Passage 4_9-15-21</t>
  </si>
  <si>
    <t>46.0 of 1:100</t>
  </si>
  <si>
    <t>Worst Group 1  Passage 5 _9-16-21</t>
  </si>
  <si>
    <t>use 2.58 like P4</t>
  </si>
  <si>
    <t>Flask Passaging 9-21-21</t>
  </si>
  <si>
    <t>WORST GROUP 2 PASSAGE 1</t>
  </si>
  <si>
    <t>Worst-1_GH-1</t>
  </si>
  <si>
    <t>Worst-2_F</t>
  </si>
  <si>
    <t>Worst-2_G</t>
  </si>
  <si>
    <t>Worst-2_H</t>
  </si>
  <si>
    <t>Worst-2_FG-1</t>
  </si>
  <si>
    <t>Worst-2_FH-1</t>
  </si>
  <si>
    <t>Worst-2_GH-1</t>
  </si>
  <si>
    <t>Flask Passaging 9-22-21</t>
  </si>
  <si>
    <t>WORST GROUP 2 PASSAGE 2</t>
  </si>
  <si>
    <t>90'</t>
  </si>
  <si>
    <t>Flask Passaging 9-23-21</t>
  </si>
  <si>
    <t>WORST GROUP 2 PASSAGE 3</t>
  </si>
  <si>
    <t>Flask Passaging 10-11-21</t>
  </si>
  <si>
    <t>WORST GROUP 2 PASSAGE 4</t>
  </si>
  <si>
    <t>42 of 1:100</t>
  </si>
  <si>
    <t>24 of 1:100</t>
  </si>
  <si>
    <t>182 of 1:100</t>
  </si>
  <si>
    <t>3 of 1:100</t>
  </si>
  <si>
    <t>116 of 1:100</t>
  </si>
  <si>
    <t>Flask Passaging 10-13-21</t>
  </si>
  <si>
    <t>WORST GROUP 2 PASSAGE 5</t>
  </si>
  <si>
    <t>36.2 of -4</t>
  </si>
  <si>
    <t>Flask Passaging 10-14-21</t>
  </si>
  <si>
    <t>WORST GROUP 3 PASSAGE 1</t>
  </si>
  <si>
    <t>Worst-3_F 50%worst rep3</t>
  </si>
  <si>
    <t>Worst-3_G 75% worst rep 3</t>
  </si>
  <si>
    <t>59 of 1:100</t>
  </si>
  <si>
    <t>Worst-3_H 75% worst rep1</t>
  </si>
  <si>
    <t>Worst-3_FG-1</t>
  </si>
  <si>
    <t>165'</t>
  </si>
  <si>
    <t>Worst-3_FH-1</t>
  </si>
  <si>
    <t>Worst-3_GH-1</t>
  </si>
  <si>
    <t>105.2 is 1e4</t>
  </si>
  <si>
    <t>Flask Passaging 10-19-21</t>
  </si>
  <si>
    <t>WORST GROUP 3 PASSAGE 2</t>
  </si>
  <si>
    <t>6.4 of 1:100</t>
  </si>
  <si>
    <t>Worst F_75% rep2</t>
  </si>
  <si>
    <t>Worst G_75% rep1</t>
  </si>
  <si>
    <t>Worst F_100% rep1</t>
  </si>
  <si>
    <t>Worst G_75% rep2</t>
  </si>
  <si>
    <t>105'</t>
  </si>
  <si>
    <t>Flask Passaging 10-20-21</t>
  </si>
  <si>
    <t>WORST GROUP 3 PASSAGE  3 &amp; Group 4 Passage 2</t>
  </si>
  <si>
    <t>4.0 of 1:100</t>
  </si>
  <si>
    <t>161 of 1:100</t>
  </si>
  <si>
    <t>45 of 1:100</t>
  </si>
  <si>
    <t>56 of 1:100</t>
  </si>
  <si>
    <t>Flask Passaging 10-21-21</t>
  </si>
  <si>
    <t>WORST GROUP 3 PASSAGE  4 &amp; Group 4 Passage 3</t>
  </si>
  <si>
    <t>skip today - replating</t>
  </si>
  <si>
    <t>147 of 1:100</t>
  </si>
  <si>
    <t>192 of 1:100</t>
  </si>
  <si>
    <t>90 of 1:100</t>
  </si>
  <si>
    <t>149 of 1:100</t>
  </si>
  <si>
    <t>38 of 1:100</t>
  </si>
  <si>
    <t>Flask Passaging 10-22-21</t>
  </si>
  <si>
    <t>WORST GROUP 3 PASSAGE 4 or 5 &amp; Group 4 Passage 4</t>
  </si>
  <si>
    <t>6 of 1:100</t>
  </si>
  <si>
    <t>2.3 of 1:100</t>
  </si>
  <si>
    <t>skip today - replate</t>
  </si>
  <si>
    <t>164 of 1:100</t>
  </si>
  <si>
    <t>66 of 1:100</t>
  </si>
  <si>
    <t>9 of 1:100</t>
  </si>
  <si>
    <t>135'</t>
  </si>
  <si>
    <t>99 of 1:100</t>
  </si>
  <si>
    <t>123 of 1:100</t>
  </si>
  <si>
    <t>water bath location</t>
  </si>
  <si>
    <t>flask #</t>
  </si>
  <si>
    <t>Length of Passage</t>
  </si>
  <si>
    <t>Start Time</t>
  </si>
  <si>
    <t>Amt to add</t>
  </si>
  <si>
    <t>Sampling Time</t>
  </si>
  <si>
    <t>assay cells</t>
  </si>
  <si>
    <t>plating cells</t>
  </si>
  <si>
    <t>Time (min)</t>
  </si>
  <si>
    <t>OD/A600</t>
  </si>
  <si>
    <r>
      <t>One-Flask Passaging Assays @ 37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</t>
    </r>
  </si>
  <si>
    <r>
      <t>Grew 90 ul 50X C (Apr2021) in 10 ml phage LB + 2 mM CaCl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to O.D. ~0.300, then aliquoted 1.5 ml into flask w/ 8.5 mL phage LB + 2 mM CaCl2</t>
    </r>
  </si>
  <si>
    <r>
      <t>Added 10</t>
    </r>
    <r>
      <rPr>
        <vertAlign val="superscript"/>
        <sz val="11"/>
        <color theme="1"/>
        <rFont val="Times New Roman"/>
        <family val="1"/>
      </rPr>
      <t xml:space="preserve">5 </t>
    </r>
    <r>
      <rPr>
        <sz val="11"/>
        <color theme="1"/>
        <rFont val="Times New Roman"/>
        <family val="1"/>
      </rPr>
      <t>phage to each assay according to titers (unless noted for low titer phages, highlighted in yellow for 10^4)</t>
    </r>
  </si>
  <si>
    <t>At T=40', sampled ~3 mL, 1.25 mL into each of two tubes w/ 100 uL CHCl3; vortex 30", spin down max speed 5', remove 1 mL aqueous layer into eppendorf (fridge storage) &amp; screw top cap w/ 250 uL glycerol (freezer storage)</t>
  </si>
  <si>
    <t>freeze screw top cap w/ liquid N2, dilute from fridge storage tube to plate T=40'</t>
  </si>
  <si>
    <t>plate "T=0" from tube used to innoculate passage</t>
  </si>
  <si>
    <t>repeat for 5 passages</t>
  </si>
  <si>
    <t>WORST GROUP 1</t>
  </si>
  <si>
    <t>T0</t>
  </si>
  <si>
    <t>T40</t>
  </si>
  <si>
    <t>Date</t>
  </si>
  <si>
    <t>Flask #</t>
  </si>
  <si>
    <r>
      <t>for 10</t>
    </r>
    <r>
      <rPr>
        <b/>
        <vertAlign val="superscript"/>
        <sz val="11"/>
        <color theme="1"/>
        <rFont val="Times New Roman"/>
        <family val="1"/>
      </rPr>
      <t xml:space="preserve">5  </t>
    </r>
    <r>
      <rPr>
        <b/>
        <sz val="11"/>
        <color theme="1"/>
        <rFont val="Times New Roman"/>
        <family val="1"/>
      </rPr>
      <t>(mL)</t>
    </r>
  </si>
  <si>
    <t>counts</t>
  </si>
  <si>
    <t>dil</t>
  </si>
  <si>
    <t>approx. # of phage added to assay</t>
  </si>
  <si>
    <t>T0 titer</t>
  </si>
  <si>
    <t>T40 titer</t>
  </si>
  <si>
    <t>Passage Time (hr)</t>
  </si>
  <si>
    <t>fitness</t>
  </si>
  <si>
    <t>comment</t>
  </si>
  <si>
    <t>Lrg plq T0 titer</t>
  </si>
  <si>
    <t>Lrg plq T40 titer</t>
  </si>
  <si>
    <t>Sm plq T0 titer</t>
  </si>
  <si>
    <t>Sm plq T40 titer</t>
  </si>
  <si>
    <t>Fitness Lrg plqs</t>
  </si>
  <si>
    <t>Fitness Sm plqs</t>
  </si>
  <si>
    <t>9/8/2021    Group 1   Passage 1</t>
  </si>
  <si>
    <t>Worst1_F 50% worst rep 2</t>
  </si>
  <si>
    <t>N</t>
  </si>
  <si>
    <t>Worst1_H 50% worst rep1</t>
  </si>
  <si>
    <t xml:space="preserve"> one large plq on most concentrated passage plate</t>
  </si>
  <si>
    <t>Worst1_G 50% worst rep2</t>
  </si>
  <si>
    <t>Y 31 lg on P1</t>
  </si>
  <si>
    <t>9/10/2021  Group 1 Passage 2</t>
  </si>
  <si>
    <t>R60.1</t>
  </si>
  <si>
    <t xml:space="preserve">1 lg plq on T0 P1, 3 on T30 P2 </t>
  </si>
  <si>
    <t>R51.1</t>
  </si>
  <si>
    <t>12 lg plqs on T50 P2</t>
  </si>
  <si>
    <t>31 lg on P1; 98 lg on P2</t>
  </si>
  <si>
    <t>T0 P1 5 l lg plqs; T100 P2 25 lg plqs</t>
  </si>
  <si>
    <t>9/14/2021  Group1 Passage 3</t>
  </si>
  <si>
    <t>R60.2</t>
  </si>
  <si>
    <t>3 lg plqs on T0 P2,  27 on T40 P3</t>
  </si>
  <si>
    <t>R51.2</t>
  </si>
  <si>
    <t>98 lg on P2; 134 lg on P3</t>
  </si>
  <si>
    <t>no lg on T0 P2? 10 lg out of 31 on T60 P3 -6 plate replate</t>
  </si>
  <si>
    <t>20 lg on T0 P2; 64 lg on T75 35 (difficult)</t>
  </si>
  <si>
    <t>9/15/2021  Group1 Passage 4</t>
  </si>
  <si>
    <t>R51.3</t>
  </si>
  <si>
    <t>R60.3</t>
  </si>
  <si>
    <t>14 lg on T0 P3, 37 lg on T40 P4</t>
  </si>
  <si>
    <t>81 lg on T0 P3, 113 lg on T45 P4</t>
  </si>
  <si>
    <t xml:space="preserve">repeat plating 49 lg on T0.3, 102 on T60.4 </t>
  </si>
  <si>
    <t>62 lg on T0 3, 32 lg on T75 P4</t>
  </si>
  <si>
    <t>9/16/2021  Group1 Passage 5</t>
  </si>
  <si>
    <t>R51.4</t>
  </si>
  <si>
    <t>R60.4</t>
  </si>
  <si>
    <t>T0 P4 50 lg plqs; T40 P5 65 lg?</t>
  </si>
  <si>
    <t>T0 P4 50 lg; T45 P5 57 lg</t>
  </si>
  <si>
    <t>repeated plating; T0 P4 48 lg plqs; T60 P5 113 lg plqs</t>
  </si>
  <si>
    <t>repeated plating 17Sep21; 81 lg on T0.4, 77 lg on T60.5</t>
  </si>
  <si>
    <t>WORST GROUP 2</t>
  </si>
  <si>
    <t>9-21-21   Group 2  Passage 1</t>
  </si>
  <si>
    <t>Worst-2_G 50% worst rep 3</t>
  </si>
  <si>
    <t>Worst-2_F 75% wrost rep 3</t>
  </si>
  <si>
    <t>Worst-2_H 100% worst rep 1</t>
  </si>
  <si>
    <t>Y; 27 lg on T100 P1</t>
  </si>
  <si>
    <t>N fuzzy, tiny plqs - very hard to count</t>
  </si>
  <si>
    <t>9-22-21   Group 2  Passage 2</t>
  </si>
  <si>
    <t>R66.1</t>
  </si>
  <si>
    <t xml:space="preserve">P1 T0 25 lg plqs;86? on P2 T100 </t>
  </si>
  <si>
    <t>N very hard to count - try leaving in incubator longer</t>
  </si>
  <si>
    <t>9-23-21   Group 2  Passage 3</t>
  </si>
  <si>
    <t>R66.2</t>
  </si>
  <si>
    <t>T0 P2 55 lg plqs; T75 P3 189 lg</t>
  </si>
  <si>
    <t>T75 P3 2 lg plqs</t>
  </si>
  <si>
    <t>T150 P3 5 lg plqs</t>
  </si>
  <si>
    <t>10-11-21   Group 2   Passage 4</t>
  </si>
  <si>
    <t>R66.3</t>
  </si>
  <si>
    <t>57 lg T0 P3; 27 lg T60 P4 -6 plate  difficult</t>
  </si>
  <si>
    <t>P3 2 lg; P4 9 lg plqs</t>
  </si>
  <si>
    <t>P3 4 lg; P4 lots of lg ~175</t>
  </si>
  <si>
    <t>10-13-21    Group 2   Passage 5</t>
  </si>
  <si>
    <t>R66.4</t>
  </si>
  <si>
    <t>no lg</t>
  </si>
  <si>
    <t>T0 P4 40 lg?; T60 P5 48 lg - difficult to ascertain lg</t>
  </si>
  <si>
    <t>T0 P4 1 lg? not P5</t>
  </si>
  <si>
    <t xml:space="preserve">T0 P4 6 lg plqs; T60 P5 40 lg plqs </t>
  </si>
  <si>
    <t>repeat plating; T0 P4 39 lg plqs; T90 P5 182 lg</t>
  </si>
  <si>
    <t>WORST GROUPS 3 &amp; 4</t>
  </si>
  <si>
    <t>10-14-21   Group 3    Passage 1</t>
  </si>
  <si>
    <t>Worst-3_F 50% worst rep3</t>
  </si>
  <si>
    <t>tiny plqs!</t>
  </si>
  <si>
    <t>replate; T0 P0 tiny, fuzzy; T185 P1 31 lg plqs</t>
  </si>
  <si>
    <t>10-19-21 Group 3  Passage 2 Group 4 Passage 1</t>
  </si>
  <si>
    <t>Y    6 lg plqs on T45 P2</t>
  </si>
  <si>
    <t>R63.1</t>
  </si>
  <si>
    <t>R53.0</t>
  </si>
  <si>
    <t>Y  T0 P1 57 lg plqs; T90 P2 101 Lg plqs</t>
  </si>
  <si>
    <t>R46.0</t>
  </si>
  <si>
    <t>R54.0</t>
  </si>
  <si>
    <t>Y    6 lg plqs on T105 P1</t>
  </si>
  <si>
    <t>N    difficult to count</t>
  </si>
  <si>
    <t>10-20-21 Group 3  Passage 3 Group 4 Passage 2</t>
  </si>
  <si>
    <t>R63.2</t>
  </si>
  <si>
    <t>replated; 16 Lg plqs on T0 P1; 37 lg on T1 P2</t>
  </si>
  <si>
    <t>6 lg plqs on T60 P3 1e-5 plate - none on 5e-6 plate?</t>
  </si>
  <si>
    <t>R53.1</t>
  </si>
  <si>
    <t>T0 P2 1/10 est - plated 2e-5 instead of 2e-6   Yes, 11 lg plqs on P2</t>
  </si>
  <si>
    <t>R46.1</t>
  </si>
  <si>
    <t>replated; 56 lg on T0 P2; 32 lg on T90 P3</t>
  </si>
  <si>
    <t>R54.1</t>
  </si>
  <si>
    <t>2 lg plqs on T0 P1; T90 plate smeared &amp; est, replate</t>
  </si>
  <si>
    <t>very difficult to count - try incubating overnight</t>
  </si>
  <si>
    <t>10-21-21 Group 3  Passage 4 Group 4 Passage 3</t>
  </si>
  <si>
    <t>R63.3</t>
  </si>
  <si>
    <t>R53.2</t>
  </si>
  <si>
    <t>Y  11 lg on T0 P2; 21 lg on T45 P3</t>
  </si>
  <si>
    <t>Y  10 lg on T0 P3; 14 on T60 P4</t>
  </si>
  <si>
    <t>R46.2</t>
  </si>
  <si>
    <t>R54.2</t>
  </si>
  <si>
    <t>Y 74 lg on T0 P2; 51 lg on T60 P3</t>
  </si>
  <si>
    <t>10-22-21 some Group 3  Passage 5 Group 4 Passage 4</t>
  </si>
  <si>
    <t>Y; 99 lg on T0 P3; 65 lg on T40 P4</t>
  </si>
  <si>
    <t>R63.4</t>
  </si>
  <si>
    <t>Y; 213 lg on T0 P3; 37 lg T40 P4; 5 very large plqs on P0 plate - ck prev days &amp; make new dil</t>
  </si>
  <si>
    <t>R53.3</t>
  </si>
  <si>
    <t>Y; 63 lg on T0 P4; 67 lg on T45 P5; wrong dil written on T0 plate?</t>
  </si>
  <si>
    <t xml:space="preserve">Y; 14 lg on T0 P4; 21 lg on T60 P5 </t>
  </si>
  <si>
    <t>R46.3</t>
  </si>
  <si>
    <t>R54.3</t>
  </si>
  <si>
    <t xml:space="preserve">Y; 91 lg plqs on T0 P3; 71 lg on T60 P4 </t>
  </si>
  <si>
    <t>10-27-21 rest of Group 3  Passage 5 Group 4 Passage 5</t>
  </si>
  <si>
    <t xml:space="preserve">Y; T0 P4 57 lg; T40 P5 39 lg </t>
  </si>
  <si>
    <t>R53.4</t>
  </si>
  <si>
    <t>Y; 90 lg on T0 P4; 92 lg on T45 P5</t>
  </si>
  <si>
    <t>R54.4</t>
  </si>
  <si>
    <t>Y; 50 lg on T0 P4; 52 lg on T45 P5</t>
  </si>
  <si>
    <t>Y; 97 lg on T0 P4; 46 lg on T60 P5</t>
  </si>
  <si>
    <t>Y? 1 lg plq on T60 P5</t>
  </si>
  <si>
    <t>Y; 3 lg on T135 P5</t>
  </si>
  <si>
    <t xml:space="preserve">Sample # </t>
  </si>
  <si>
    <t>Original Fitness</t>
  </si>
  <si>
    <t>Passage #</t>
  </si>
  <si>
    <t>Passage Fitness</t>
  </si>
  <si>
    <t>T0 Titer</t>
  </si>
  <si>
    <t>T40 Titer</t>
  </si>
  <si>
    <t>Passage Time (hrs)</t>
  </si>
  <si>
    <t>Mutants (Y/N)</t>
  </si>
  <si>
    <t>Notes on Mutants</t>
  </si>
  <si>
    <t>Worst-1_F 50% worst rep2</t>
  </si>
  <si>
    <t>Worst-1_G 50% worst rep2</t>
  </si>
  <si>
    <t>Wosrt-1_H 50% worst rep1</t>
  </si>
  <si>
    <t>Y</t>
  </si>
  <si>
    <t>1 lg plq on T40</t>
  </si>
  <si>
    <t>1 lg plq on T0; 3 on T30</t>
  </si>
  <si>
    <t>2 lg plqs on T0; 27 on T40</t>
  </si>
  <si>
    <t>14 lg plqs on T0; 37 on T40</t>
  </si>
  <si>
    <t>Worst-1_FG-1</t>
  </si>
  <si>
    <t>30 lg plqs on P1</t>
  </si>
  <si>
    <t>81 lg plqs on T0; 113 on T45</t>
  </si>
  <si>
    <t>Worst-1_FH-1</t>
  </si>
  <si>
    <t>lg on P.2? 10 lg out of 31 on P.3 -6 plate  replate</t>
  </si>
  <si>
    <t>49 lg plqs on T0; 102 on T60</t>
  </si>
  <si>
    <t>T0 P4 48 lg plqs; T60 P5 113 lg plqs</t>
  </si>
  <si>
    <t>Worst-1_FGH-2</t>
  </si>
  <si>
    <t>20 lg on P.2; 64 lg on P.3</t>
  </si>
  <si>
    <t>81 lg plqs on T0; 77 on T60</t>
  </si>
  <si>
    <t>21 lg on T100 P1</t>
  </si>
  <si>
    <t xml:space="preserve">P1 T0 25 lg plqs; 86? on P2 T100 </t>
  </si>
  <si>
    <t>Worst-2_F 75% worst rep 3</t>
  </si>
  <si>
    <t>P4 39 lg; P5 182 lg</t>
  </si>
  <si>
    <t>Y?</t>
  </si>
  <si>
    <t>T0 P4 1 lg; no lg on P5</t>
  </si>
  <si>
    <t>Worst-3_F 50% worst Rep 3</t>
  </si>
  <si>
    <t>Worst-3_G 75% worst rep3</t>
  </si>
  <si>
    <t>6 lg plqs on T45 P2</t>
  </si>
  <si>
    <t>99 lg on T0 P3; 65 lg on T40 P4</t>
  </si>
  <si>
    <t xml:space="preserve">T0 P4 57 lg; T40 P5 39 lg </t>
  </si>
  <si>
    <t>T0 P0 tiny, fuzzy; T185 P1 31 lg plqs</t>
  </si>
  <si>
    <t xml:space="preserve"> T0 P1 57 lg plqs; T90 P2 101 Lg plqs</t>
  </si>
  <si>
    <t>56 lg on T0 P2; 32 lg on T90 P3</t>
  </si>
  <si>
    <t>213 lg on T0 P3; 37 lg T40 P4</t>
  </si>
  <si>
    <t>97 lg on T0 P4; 46 lg on T60 P5</t>
  </si>
  <si>
    <t>6 lg plqs on T60 P3</t>
  </si>
  <si>
    <t>10 lg on T0 P3; 14 on T60 P4</t>
  </si>
  <si>
    <t xml:space="preserve">14 lg on T0 P4; 21 lg on T60 P5 </t>
  </si>
  <si>
    <t>tiny plqs</t>
  </si>
  <si>
    <t>difficult to count</t>
  </si>
  <si>
    <t>difficult to count - try incubating O/N</t>
  </si>
  <si>
    <t>3 lg plqs on P5</t>
  </si>
  <si>
    <t>F_75% worst_rep2</t>
  </si>
  <si>
    <t>G_75% worst_rep 1</t>
  </si>
  <si>
    <t>11 lg plqs on T60 P2</t>
  </si>
  <si>
    <t>11 lg on T0 P2; 21 lg on T45 P3</t>
  </si>
  <si>
    <t>63 lg on T0 P4; 67 lg on T45 P5</t>
  </si>
  <si>
    <t xml:space="preserve"> 90 lg on T0 P4; 92 lg on T45 P5</t>
  </si>
  <si>
    <t>F_100% worst_rep 1</t>
  </si>
  <si>
    <t>F_75% worst_rep 2</t>
  </si>
  <si>
    <t>6 lg plqs on T105 P1</t>
  </si>
  <si>
    <t>74 lg on T0 P2; 51 lg on T60 P3</t>
  </si>
  <si>
    <t xml:space="preserve">91 lg plqs on T0 P3; 71 lg on T60 P4 </t>
  </si>
  <si>
    <t>50 lg on T0 P4; 52 lg on T45 P5</t>
  </si>
  <si>
    <t>Passaging Complete</t>
  </si>
  <si>
    <t>Starting Fitness</t>
  </si>
  <si>
    <t>5th passage fitness</t>
  </si>
  <si>
    <t>Fitness Increase</t>
  </si>
  <si>
    <t>Larger plqs</t>
  </si>
  <si>
    <t>Passage of 1st appearance of lg plqs</t>
  </si>
  <si>
    <t>Photos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</si>
</sst>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E+00"/>
    <numFmt numFmtId="165" formatCode="0.000"/>
    <numFmt numFmtId="166" formatCode="0.0000"/>
    <numFmt numFmtId="167" formatCode="0.000000"/>
    <numFmt numFmtId="168" formatCode="0.0"/>
  </numFmts>
  <fonts count="1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4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11" fontId="0" fillId="0" borderId="0" xfId="0" applyNumberFormat="1" applyBorder="1" applyAlignment="1">
      <alignment horizontal="center"/>
    </xf>
    <xf numFmtId="11" fontId="0" fillId="0" borderId="0" xfId="0" applyNumberFormat="1" applyBorder="1"/>
    <xf numFmtId="0" fontId="0" fillId="0" borderId="0" xfId="0" applyFill="1" applyBorder="1"/>
    <xf numFmtId="14" fontId="0" fillId="0" borderId="0" xfId="0" applyNumberFormat="1" applyFill="1" applyBorder="1"/>
    <xf numFmtId="0" fontId="0" fillId="0" borderId="0" xfId="0" applyFill="1" applyBorder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Fill="1" applyBorder="1"/>
    <xf numFmtId="11" fontId="0" fillId="0" borderId="0" xfId="0" applyNumberFormat="1" applyFill="1" applyBorder="1"/>
    <xf numFmtId="0" fontId="0" fillId="0" borderId="0" xfId="0" applyFill="1" applyBorder="1" applyAlignment="1">
      <alignment horizontal="right"/>
    </xf>
    <xf numFmtId="164" fontId="0" fillId="0" borderId="0" xfId="0" applyNumberFormat="1" applyFill="1" applyBorder="1"/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/>
    <xf numFmtId="0" fontId="6" fillId="0" borderId="0" xfId="0" applyNumberFormat="1" applyFont="1" applyFill="1" applyBorder="1"/>
    <xf numFmtId="11" fontId="6" fillId="0" borderId="0" xfId="0" applyNumberFormat="1" applyFont="1" applyFill="1" applyBorder="1"/>
    <xf numFmtId="14" fontId="6" fillId="0" borderId="0" xfId="0" applyNumberFormat="1" applyFont="1" applyFill="1" applyBorder="1"/>
    <xf numFmtId="0" fontId="11" fillId="0" borderId="0" xfId="0" applyFont="1" applyFill="1" applyBorder="1" applyAlignment="1">
      <alignment horizontal="right"/>
    </xf>
    <xf numFmtId="0" fontId="2" fillId="0" borderId="0" xfId="0" applyFont="1" applyFill="1" applyBorder="1"/>
    <xf numFmtId="2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2" fontId="0" fillId="0" borderId="0" xfId="0" applyNumberFormat="1" applyFill="1" applyBorder="1" applyAlignment="1">
      <alignment horizontal="left"/>
    </xf>
    <xf numFmtId="2" fontId="0" fillId="0" borderId="0" xfId="0" applyNumberFormat="1" applyFill="1" applyBorder="1"/>
    <xf numFmtId="0" fontId="0" fillId="0" borderId="0" xfId="0" applyFill="1" applyBorder="1" applyAlignment="1"/>
    <xf numFmtId="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0" fontId="0" fillId="3" borderId="0" xfId="0" applyFill="1" applyBorder="1" applyAlignment="1">
      <alignment horizontal="left"/>
    </xf>
    <xf numFmtId="11" fontId="0" fillId="0" borderId="0" xfId="0" applyNumberFormat="1" applyBorder="1" applyAlignment="1">
      <alignment horizontal="left"/>
    </xf>
    <xf numFmtId="2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1" fillId="0" borderId="0" xfId="0" applyFont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11" fontId="0" fillId="3" borderId="0" xfId="0" applyNumberFormat="1" applyFill="1" applyBorder="1" applyAlignment="1">
      <alignment horizontal="left"/>
    </xf>
    <xf numFmtId="2" fontId="0" fillId="3" borderId="0" xfId="0" applyNumberFormat="1" applyFill="1" applyBorder="1" applyAlignment="1">
      <alignment horizontal="left"/>
    </xf>
    <xf numFmtId="0" fontId="0" fillId="3" borderId="0" xfId="0" applyFill="1" applyBorder="1" applyAlignment="1">
      <alignment horizontal="left" vertical="center"/>
    </xf>
    <xf numFmtId="11" fontId="0" fillId="2" borderId="1" xfId="0" applyNumberFormat="1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2" xfId="0" applyBorder="1"/>
    <xf numFmtId="2" fontId="0" fillId="0" borderId="1" xfId="0" applyNumberFormat="1" applyBorder="1" applyAlignment="1">
      <alignment horizontal="left"/>
    </xf>
    <xf numFmtId="11" fontId="0" fillId="0" borderId="3" xfId="0" applyNumberFormat="1" applyBorder="1"/>
    <xf numFmtId="11" fontId="2" fillId="0" borderId="3" xfId="0" applyNumberFormat="1" applyFont="1" applyBorder="1"/>
    <xf numFmtId="11" fontId="0" fillId="0" borderId="1" xfId="0" applyNumberFormat="1" applyBorder="1" applyAlignment="1">
      <alignment horizontal="left"/>
    </xf>
    <xf numFmtId="11" fontId="0" fillId="0" borderId="4" xfId="0" applyNumberFormat="1" applyBorder="1"/>
    <xf numFmtId="2" fontId="0" fillId="2" borderId="1" xfId="0" applyNumberFormat="1" applyFill="1" applyBorder="1"/>
    <xf numFmtId="11" fontId="0" fillId="0" borderId="1" xfId="0" applyNumberFormat="1" applyBorder="1"/>
    <xf numFmtId="0" fontId="0" fillId="0" borderId="5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21" fontId="0" fillId="0" borderId="1" xfId="0" applyNumberFormat="1" applyBorder="1"/>
    <xf numFmtId="2" fontId="0" fillId="0" borderId="1" xfId="0" applyNumberFormat="1" applyBorder="1"/>
    <xf numFmtId="0" fontId="6" fillId="0" borderId="0" xfId="0" applyFont="1" applyAlignment="1">
      <alignment horizontal="right"/>
    </xf>
    <xf numFmtId="0" fontId="6" fillId="0" borderId="0" xfId="0" applyFont="1"/>
    <xf numFmtId="11" fontId="6" fillId="0" borderId="0" xfId="0" applyNumberFormat="1" applyFont="1"/>
    <xf numFmtId="14" fontId="6" fillId="0" borderId="0" xfId="0" applyNumberFormat="1" applyFont="1"/>
    <xf numFmtId="49" fontId="6" fillId="0" borderId="0" xfId="0" applyNumberFormat="1" applyFont="1" applyAlignment="1">
      <alignment horizontal="center"/>
    </xf>
    <xf numFmtId="14" fontId="9" fillId="0" borderId="0" xfId="0" applyNumberFormat="1" applyFont="1"/>
    <xf numFmtId="0" fontId="9" fillId="0" borderId="0" xfId="0" applyFont="1" applyAlignment="1">
      <alignment horizontal="center" wrapText="1"/>
    </xf>
    <xf numFmtId="11" fontId="2" fillId="0" borderId="0" xfId="0" applyNumberFormat="1" applyFont="1" applyBorder="1"/>
    <xf numFmtId="0" fontId="0" fillId="0" borderId="1" xfId="0" applyBorder="1" applyAlignment="1">
      <alignment horizontal="right"/>
    </xf>
    <xf numFmtId="14" fontId="0" fillId="0" borderId="1" xfId="0" applyNumberFormat="1" applyBorder="1"/>
    <xf numFmtId="0" fontId="0" fillId="0" borderId="3" xfId="0" applyFill="1" applyBorder="1"/>
    <xf numFmtId="1" fontId="6" fillId="0" borderId="1" xfId="0" applyNumberFormat="1" applyFont="1" applyBorder="1" applyAlignment="1">
      <alignment horizontal="center"/>
    </xf>
    <xf numFmtId="11" fontId="6" fillId="0" borderId="1" xfId="0" applyNumberFormat="1" applyFont="1" applyBorder="1"/>
    <xf numFmtId="0" fontId="6" fillId="0" borderId="1" xfId="0" applyFont="1" applyBorder="1"/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/>
    <xf numFmtId="11" fontId="6" fillId="0" borderId="1" xfId="0" applyNumberFormat="1" applyFont="1" applyFill="1" applyBorder="1"/>
    <xf numFmtId="20" fontId="0" fillId="0" borderId="0" xfId="0" applyNumberFormat="1"/>
    <xf numFmtId="20" fontId="0" fillId="0" borderId="0" xfId="0" applyNumberFormat="1" applyAlignment="1">
      <alignment horizontal="left"/>
    </xf>
    <xf numFmtId="0" fontId="0" fillId="0" borderId="1" xfId="0" applyFill="1" applyBorder="1"/>
    <xf numFmtId="0" fontId="6" fillId="4" borderId="1" xfId="0" applyFont="1" applyFill="1" applyBorder="1"/>
    <xf numFmtId="0" fontId="12" fillId="0" borderId="0" xfId="0" applyFont="1"/>
    <xf numFmtId="11" fontId="0" fillId="4" borderId="1" xfId="0" applyNumberFormat="1" applyFill="1" applyBorder="1" applyAlignment="1">
      <alignment horizontal="left"/>
    </xf>
    <xf numFmtId="0" fontId="6" fillId="0" borderId="6" xfId="0" applyFont="1" applyBorder="1"/>
    <xf numFmtId="0" fontId="6" fillId="0" borderId="6" xfId="0" applyFont="1" applyFill="1" applyBorder="1"/>
    <xf numFmtId="0" fontId="6" fillId="0" borderId="1" xfId="0" applyFont="1" applyFill="1" applyBorder="1" applyAlignment="1">
      <alignment vertical="center"/>
    </xf>
    <xf numFmtId="11" fontId="0" fillId="0" borderId="1" xfId="0" applyNumberFormat="1" applyFill="1" applyBorder="1"/>
    <xf numFmtId="0" fontId="2" fillId="0" borderId="1" xfId="0" applyFont="1" applyFill="1" applyBorder="1" applyAlignment="1">
      <alignment horizontal="center"/>
    </xf>
    <xf numFmtId="14" fontId="2" fillId="0" borderId="1" xfId="0" applyNumberFormat="1" applyFont="1" applyFill="1" applyBorder="1"/>
    <xf numFmtId="2" fontId="2" fillId="0" borderId="1" xfId="0" applyNumberFormat="1" applyFont="1" applyFill="1" applyBorder="1" applyAlignment="1">
      <alignment horizontal="center"/>
    </xf>
    <xf numFmtId="11" fontId="2" fillId="0" borderId="1" xfId="0" applyNumberFormat="1" applyFont="1" applyFill="1" applyBorder="1"/>
    <xf numFmtId="0" fontId="2" fillId="0" borderId="1" xfId="0" applyFont="1" applyFill="1" applyBorder="1"/>
    <xf numFmtId="14" fontId="0" fillId="0" borderId="1" xfId="0" applyNumberFormat="1" applyFill="1" applyBorder="1"/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11" fontId="4" fillId="0" borderId="1" xfId="0" applyNumberFormat="1" applyFont="1" applyFill="1" applyBorder="1"/>
    <xf numFmtId="0" fontId="0" fillId="0" borderId="1" xfId="0" applyFill="1" applyBorder="1" applyAlignment="1"/>
    <xf numFmtId="0" fontId="0" fillId="4" borderId="1" xfId="0" applyFill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  <xf numFmtId="11" fontId="6" fillId="4" borderId="1" xfId="0" applyNumberFormat="1" applyFont="1" applyFill="1" applyBorder="1"/>
    <xf numFmtId="11" fontId="6" fillId="0" borderId="1" xfId="0" applyNumberFormat="1" applyFont="1" applyFill="1" applyBorder="1" applyAlignment="1">
      <alignment horizontal="right"/>
    </xf>
    <xf numFmtId="2" fontId="0" fillId="0" borderId="1" xfId="0" applyNumberFormat="1" applyFill="1" applyBorder="1" applyAlignment="1">
      <alignment horizontal="left"/>
    </xf>
    <xf numFmtId="166" fontId="0" fillId="2" borderId="1" xfId="0" applyNumberFormat="1" applyFill="1" applyBorder="1"/>
    <xf numFmtId="167" fontId="0" fillId="2" borderId="1" xfId="0" applyNumberFormat="1" applyFill="1" applyBorder="1"/>
    <xf numFmtId="0" fontId="0" fillId="4" borderId="0" xfId="0" applyFill="1"/>
    <xf numFmtId="0" fontId="0" fillId="0" borderId="0" xfId="0" applyFill="1"/>
    <xf numFmtId="2" fontId="6" fillId="0" borderId="6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left" vertical="center"/>
    </xf>
    <xf numFmtId="168" fontId="6" fillId="0" borderId="1" xfId="0" applyNumberFormat="1" applyFont="1" applyFill="1" applyBorder="1" applyAlignment="1">
      <alignment horizontal="center"/>
    </xf>
    <xf numFmtId="14" fontId="6" fillId="0" borderId="0" xfId="0" applyNumberFormat="1" applyFont="1" applyFill="1" applyBorder="1" applyAlignment="1">
      <alignment horizontal="center" vertical="center" wrapText="1"/>
    </xf>
    <xf numFmtId="1" fontId="6" fillId="0" borderId="0" xfId="0" applyNumberFormat="1" applyFont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2" fontId="6" fillId="0" borderId="1" xfId="0" applyNumberFormat="1" applyFont="1" applyBorder="1"/>
    <xf numFmtId="0" fontId="0" fillId="0" borderId="6" xfId="0" applyFill="1" applyBorder="1" applyAlignment="1">
      <alignment vertical="top"/>
    </xf>
    <xf numFmtId="0" fontId="0" fillId="0" borderId="6" xfId="0" applyFill="1" applyBorder="1"/>
    <xf numFmtId="0" fontId="2" fillId="0" borderId="6" xfId="0" applyFont="1" applyFill="1" applyBorder="1"/>
    <xf numFmtId="0" fontId="6" fillId="4" borderId="6" xfId="0" applyFont="1" applyFill="1" applyBorder="1"/>
    <xf numFmtId="0" fontId="0" fillId="0" borderId="6" xfId="0" applyFill="1" applyBorder="1" applyAlignment="1">
      <alignment horizontal="left"/>
    </xf>
    <xf numFmtId="0" fontId="0" fillId="0" borderId="6" xfId="0" applyFill="1" applyBorder="1" applyAlignment="1"/>
    <xf numFmtId="0" fontId="5" fillId="0" borderId="6" xfId="1" applyFill="1" applyBorder="1" applyAlignment="1">
      <alignment horizontal="left"/>
    </xf>
    <xf numFmtId="11" fontId="2" fillId="0" borderId="1" xfId="0" applyNumberFormat="1" applyFont="1" applyBorder="1"/>
    <xf numFmtId="0" fontId="2" fillId="0" borderId="1" xfId="0" applyFont="1" applyBorder="1"/>
    <xf numFmtId="11" fontId="6" fillId="0" borderId="6" xfId="0" applyNumberFormat="1" applyFont="1" applyBorder="1"/>
    <xf numFmtId="11" fontId="6" fillId="0" borderId="6" xfId="0" applyNumberFormat="1" applyFont="1" applyFill="1" applyBorder="1"/>
    <xf numFmtId="0" fontId="9" fillId="0" borderId="1" xfId="0" applyFont="1" applyBorder="1" applyAlignment="1">
      <alignment horizontal="center" wrapText="1"/>
    </xf>
    <xf numFmtId="11" fontId="9" fillId="0" borderId="1" xfId="0" applyNumberFormat="1" applyFont="1" applyBorder="1" applyAlignment="1">
      <alignment horizontal="center"/>
    </xf>
    <xf numFmtId="0" fontId="6" fillId="0" borderId="1" xfId="0" applyNumberFormat="1" applyFont="1" applyFill="1" applyBorder="1"/>
    <xf numFmtId="0" fontId="11" fillId="0" borderId="1" xfId="0" applyFont="1" applyFill="1" applyBorder="1"/>
    <xf numFmtId="11" fontId="11" fillId="0" borderId="1" xfId="0" applyNumberFormat="1" applyFont="1" applyFill="1" applyBorder="1"/>
    <xf numFmtId="165" fontId="6" fillId="0" borderId="1" xfId="0" applyNumberFormat="1" applyFont="1" applyBorder="1"/>
    <xf numFmtId="2" fontId="6" fillId="0" borderId="1" xfId="0" applyNumberFormat="1" applyFont="1" applyFill="1" applyBorder="1"/>
    <xf numFmtId="2" fontId="0" fillId="0" borderId="1" xfId="0" applyNumberFormat="1" applyFill="1" applyBorder="1"/>
    <xf numFmtId="2" fontId="0" fillId="4" borderId="1" xfId="0" applyNumberFormat="1" applyFill="1" applyBorder="1" applyAlignment="1">
      <alignment horizontal="center"/>
    </xf>
    <xf numFmtId="11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6" fillId="0" borderId="0" xfId="0" applyNumberFormat="1" applyFont="1" applyAlignment="1">
      <alignment horizontal="left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14" fontId="13" fillId="0" borderId="0" xfId="0" applyNumberFormat="1" applyFont="1" applyAlignment="1">
      <alignment horizontal="center"/>
    </xf>
    <xf numFmtId="0" fontId="9" fillId="0" borderId="1" xfId="0" applyFont="1" applyBorder="1" applyAlignment="1">
      <alignment horizontal="center"/>
    </xf>
    <xf numFmtId="14" fontId="6" fillId="0" borderId="2" xfId="0" applyNumberFormat="1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14" fontId="6" fillId="0" borderId="4" xfId="0" applyNumberFormat="1" applyFont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4" fontId="6" fillId="0" borderId="0" xfId="0" applyNumberFormat="1" applyFont="1" applyAlignment="1">
      <alignment horizontal="left"/>
    </xf>
    <xf numFmtId="14" fontId="6" fillId="0" borderId="2" xfId="0" applyNumberFormat="1" applyFont="1" applyFill="1" applyBorder="1" applyAlignment="1">
      <alignment horizontal="center" vertical="center" wrapText="1"/>
    </xf>
    <xf numFmtId="14" fontId="6" fillId="0" borderId="3" xfId="0" applyNumberFormat="1" applyFont="1" applyFill="1" applyBorder="1" applyAlignment="1">
      <alignment horizontal="center" vertical="center" wrapText="1"/>
    </xf>
    <xf numFmtId="14" fontId="6" fillId="0" borderId="4" xfId="0" applyNumberFormat="1" applyFont="1" applyFill="1" applyBorder="1" applyAlignment="1">
      <alignment horizontal="center" vertical="center" wrapText="1"/>
    </xf>
    <xf numFmtId="14" fontId="6" fillId="0" borderId="7" xfId="0" applyNumberFormat="1" applyFont="1" applyFill="1" applyBorder="1" applyAlignment="1">
      <alignment horizontal="center" vertical="center" wrapText="1"/>
    </xf>
    <xf numFmtId="14" fontId="6" fillId="0" borderId="5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2" fontId="0" fillId="0" borderId="8" xfId="0" applyNumberFormat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2" fontId="0" fillId="0" borderId="9" xfId="0" applyNumberFormat="1" applyFill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8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00"/>
      <color rgb="FFFF531D"/>
      <color rgb="FFDAAAD2"/>
      <color rgb="FFD86694"/>
      <color rgb="FFFF9725"/>
      <color rgb="FFFF481D"/>
      <color rgb="FFFC8420"/>
      <color rgb="FFD866A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AA28-AC0A-42F6-8B4B-A4B4685409D1}">
  <sheetPr>
    <pageSetUpPr fitToPage="1"/>
  </sheetPr>
  <dimension ref="A1:I70"/>
  <sheetViews>
    <sheetView topLeftCell="A57" workbookViewId="0">
      <selection activeCell="D44" sqref="D44:D70"/>
    </sheetView>
  </sheetViews>
  <sheetFormatPr defaultRowHeight="14.45"/>
  <cols>
    <col min="2" max="2" width="18.7109375" customWidth="1"/>
    <col min="3" max="3" width="32.140625" style="2" bestFit="1" customWidth="1"/>
    <col min="4" max="4" width="7.28515625" style="10" bestFit="1" customWidth="1"/>
    <col min="5" max="5" width="19.42578125" style="2" bestFit="1" customWidth="1"/>
    <col min="6" max="7" width="19.7109375" style="2" bestFit="1" customWidth="1"/>
    <col min="8" max="8" width="20" style="2" bestFit="1" customWidth="1"/>
  </cols>
  <sheetData>
    <row r="1" spans="1:9">
      <c r="A1" s="29" t="s">
        <v>0</v>
      </c>
      <c r="B1" s="29" t="s">
        <v>1</v>
      </c>
      <c r="C1" s="29" t="s">
        <v>2</v>
      </c>
      <c r="D1" s="28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/>
    </row>
    <row r="2" spans="1:9">
      <c r="A2" s="29" t="s">
        <v>8</v>
      </c>
      <c r="B2" s="29" t="s">
        <v>9</v>
      </c>
      <c r="C2" s="31">
        <v>11900000</v>
      </c>
      <c r="D2" s="32">
        <v>14.7</v>
      </c>
      <c r="E2" s="33" t="s">
        <v>10</v>
      </c>
      <c r="F2" s="29" t="s">
        <v>11</v>
      </c>
      <c r="G2" s="29" t="s">
        <v>11</v>
      </c>
      <c r="H2" s="3"/>
      <c r="I2" s="4"/>
    </row>
    <row r="3" spans="1:9">
      <c r="A3" s="29" t="s">
        <v>12</v>
      </c>
      <c r="B3" s="29" t="s">
        <v>13</v>
      </c>
      <c r="C3" s="31">
        <v>600000</v>
      </c>
      <c r="D3" s="32">
        <v>15.71</v>
      </c>
      <c r="E3" s="29" t="s">
        <v>11</v>
      </c>
      <c r="F3" s="33" t="s">
        <v>14</v>
      </c>
      <c r="G3" s="29" t="s">
        <v>11</v>
      </c>
      <c r="H3" s="3"/>
      <c r="I3" s="4"/>
    </row>
    <row r="4" spans="1:9">
      <c r="A4" s="29" t="s">
        <v>15</v>
      </c>
      <c r="B4" s="29" t="s">
        <v>16</v>
      </c>
      <c r="C4" s="31">
        <v>460000</v>
      </c>
      <c r="D4" s="32">
        <v>17.03</v>
      </c>
      <c r="E4" s="29" t="s">
        <v>11</v>
      </c>
      <c r="F4" s="29" t="s">
        <v>11</v>
      </c>
      <c r="G4" s="33" t="s">
        <v>17</v>
      </c>
      <c r="H4" s="3"/>
      <c r="I4" s="4"/>
    </row>
    <row r="5" spans="1:9" ht="15.6">
      <c r="A5" s="29">
        <v>201</v>
      </c>
      <c r="B5" s="34" t="s">
        <v>18</v>
      </c>
      <c r="C5" s="31">
        <v>1080000</v>
      </c>
      <c r="D5" s="32">
        <v>4.47</v>
      </c>
      <c r="E5" s="33" t="s">
        <v>10</v>
      </c>
      <c r="F5" s="33" t="s">
        <v>14</v>
      </c>
      <c r="G5" s="29" t="s">
        <v>11</v>
      </c>
      <c r="H5" s="3"/>
      <c r="I5" s="4"/>
    </row>
    <row r="6" spans="1:9" ht="15.6">
      <c r="A6" s="30">
        <v>227</v>
      </c>
      <c r="B6" s="35" t="s">
        <v>19</v>
      </c>
      <c r="C6" s="36" t="s">
        <v>20</v>
      </c>
      <c r="D6" s="37"/>
      <c r="E6" s="38" t="s">
        <v>10</v>
      </c>
      <c r="F6" s="38" t="s">
        <v>14</v>
      </c>
      <c r="G6" s="38" t="s">
        <v>17</v>
      </c>
      <c r="H6" s="5"/>
      <c r="I6" s="4"/>
    </row>
    <row r="7" spans="1:9" ht="15.6">
      <c r="A7" s="29">
        <v>204</v>
      </c>
      <c r="B7" s="34" t="s">
        <v>21</v>
      </c>
      <c r="C7" s="31">
        <v>290000</v>
      </c>
      <c r="D7" s="32">
        <v>8.2666666666666675</v>
      </c>
      <c r="E7" s="33" t="s">
        <v>10</v>
      </c>
      <c r="F7" s="29" t="s">
        <v>11</v>
      </c>
      <c r="G7" s="33" t="s">
        <v>17</v>
      </c>
      <c r="H7" s="5"/>
      <c r="I7" s="4"/>
    </row>
    <row r="8" spans="1:9" ht="15.6">
      <c r="A8" s="29">
        <v>225</v>
      </c>
      <c r="B8" s="34" t="s">
        <v>22</v>
      </c>
      <c r="C8" s="31">
        <v>690909.09090909094</v>
      </c>
      <c r="D8" s="32">
        <v>8.7433333333333323</v>
      </c>
      <c r="E8" s="29" t="s">
        <v>11</v>
      </c>
      <c r="F8" s="33" t="s">
        <v>14</v>
      </c>
      <c r="G8" s="33" t="s">
        <v>17</v>
      </c>
      <c r="H8" s="5"/>
      <c r="I8" s="4"/>
    </row>
    <row r="9" spans="1:9" ht="15.6">
      <c r="A9" s="29" t="s">
        <v>23</v>
      </c>
      <c r="B9" s="34" t="s">
        <v>24</v>
      </c>
      <c r="C9" s="31">
        <v>814000</v>
      </c>
      <c r="D9" s="32">
        <v>15.83</v>
      </c>
      <c r="E9" s="33" t="s">
        <v>25</v>
      </c>
      <c r="F9" s="29" t="s">
        <v>11</v>
      </c>
      <c r="G9" s="29" t="s">
        <v>11</v>
      </c>
      <c r="H9" s="5"/>
      <c r="I9" s="4"/>
    </row>
    <row r="10" spans="1:9" ht="15.6">
      <c r="A10" s="29">
        <v>129</v>
      </c>
      <c r="B10" s="34" t="s">
        <v>26</v>
      </c>
      <c r="C10" s="31">
        <v>15000000</v>
      </c>
      <c r="D10" s="32">
        <v>16.920000000000002</v>
      </c>
      <c r="E10" s="29" t="s">
        <v>11</v>
      </c>
      <c r="F10" s="33" t="s">
        <v>27</v>
      </c>
      <c r="G10" s="29" t="s">
        <v>11</v>
      </c>
      <c r="H10" s="5"/>
      <c r="I10" s="4"/>
    </row>
    <row r="11" spans="1:9" ht="15.6">
      <c r="A11" s="29" t="s">
        <v>28</v>
      </c>
      <c r="B11" s="34" t="s">
        <v>29</v>
      </c>
      <c r="C11" s="31">
        <v>25000</v>
      </c>
      <c r="D11" s="32">
        <v>16.14</v>
      </c>
      <c r="E11" s="29" t="s">
        <v>11</v>
      </c>
      <c r="F11" s="29" t="s">
        <v>11</v>
      </c>
      <c r="G11" s="29" t="s">
        <v>30</v>
      </c>
      <c r="H11" s="5"/>
      <c r="I11" s="4"/>
    </row>
    <row r="12" spans="1:9" ht="15.6">
      <c r="A12" s="29">
        <v>202</v>
      </c>
      <c r="B12" s="34" t="s">
        <v>31</v>
      </c>
      <c r="C12" s="31">
        <v>420000</v>
      </c>
      <c r="D12" s="32">
        <v>6.9266666666666667</v>
      </c>
      <c r="E12" s="33" t="s">
        <v>25</v>
      </c>
      <c r="F12" s="33" t="s">
        <v>27</v>
      </c>
      <c r="G12" s="29" t="s">
        <v>11</v>
      </c>
      <c r="H12" s="5"/>
      <c r="I12" s="4"/>
    </row>
    <row r="13" spans="1:9" ht="15.6">
      <c r="A13" s="30">
        <v>228</v>
      </c>
      <c r="B13" s="35" t="s">
        <v>32</v>
      </c>
      <c r="C13" s="36" t="s">
        <v>20</v>
      </c>
      <c r="D13" s="37"/>
      <c r="E13" s="38" t="s">
        <v>25</v>
      </c>
      <c r="F13" s="38" t="s">
        <v>27</v>
      </c>
      <c r="G13" s="30" t="s">
        <v>30</v>
      </c>
      <c r="H13" s="5"/>
      <c r="I13" s="4"/>
    </row>
    <row r="14" spans="1:9" ht="15.6">
      <c r="A14" s="29">
        <v>205</v>
      </c>
      <c r="B14" s="34" t="s">
        <v>33</v>
      </c>
      <c r="C14" s="31">
        <v>540000</v>
      </c>
      <c r="D14" s="32">
        <v>7.3433333333333337</v>
      </c>
      <c r="E14" s="33" t="s">
        <v>25</v>
      </c>
      <c r="F14" s="29" t="s">
        <v>11</v>
      </c>
      <c r="G14" s="29" t="s">
        <v>30</v>
      </c>
      <c r="H14" s="5"/>
      <c r="I14" s="4"/>
    </row>
    <row r="15" spans="1:9" ht="15.6">
      <c r="A15" s="29">
        <v>226</v>
      </c>
      <c r="B15" s="34" t="s">
        <v>34</v>
      </c>
      <c r="C15" s="31">
        <v>36936.936936936931</v>
      </c>
      <c r="D15" s="32">
        <v>5.6099999999999994</v>
      </c>
      <c r="E15" s="29" t="s">
        <v>11</v>
      </c>
      <c r="F15" s="33" t="s">
        <v>27</v>
      </c>
      <c r="G15" s="29" t="s">
        <v>30</v>
      </c>
      <c r="H15" s="5"/>
      <c r="I15" s="4"/>
    </row>
    <row r="16" spans="1:9" ht="15.6">
      <c r="A16" s="29" t="s">
        <v>35</v>
      </c>
      <c r="B16" s="34" t="s">
        <v>36</v>
      </c>
      <c r="C16" s="31">
        <v>9200000</v>
      </c>
      <c r="D16" s="32">
        <v>15.26</v>
      </c>
      <c r="E16" s="29" t="s">
        <v>37</v>
      </c>
      <c r="F16" s="29" t="s">
        <v>11</v>
      </c>
      <c r="G16" s="29" t="s">
        <v>11</v>
      </c>
      <c r="H16" s="5" t="s">
        <v>38</v>
      </c>
      <c r="I16" s="4"/>
    </row>
    <row r="17" spans="1:9" ht="15.6">
      <c r="A17" s="29" t="s">
        <v>39</v>
      </c>
      <c r="B17" s="34" t="s">
        <v>40</v>
      </c>
      <c r="C17" s="31">
        <v>10800000</v>
      </c>
      <c r="D17" s="32">
        <v>14.39</v>
      </c>
      <c r="E17" s="29" t="s">
        <v>11</v>
      </c>
      <c r="F17" s="29" t="s">
        <v>41</v>
      </c>
      <c r="G17" s="29" t="s">
        <v>11</v>
      </c>
      <c r="H17" s="5" t="s">
        <v>38</v>
      </c>
      <c r="I17" s="4"/>
    </row>
    <row r="18" spans="1:9" ht="15.6">
      <c r="A18" s="29" t="s">
        <v>42</v>
      </c>
      <c r="B18" s="34" t="s">
        <v>43</v>
      </c>
      <c r="C18" s="31">
        <v>5200000</v>
      </c>
      <c r="D18" s="32">
        <v>18.11</v>
      </c>
      <c r="E18" s="29" t="s">
        <v>11</v>
      </c>
      <c r="F18" s="29" t="s">
        <v>11</v>
      </c>
      <c r="G18" s="29" t="s">
        <v>44</v>
      </c>
      <c r="H18" s="5" t="s">
        <v>38</v>
      </c>
      <c r="I18" s="4"/>
    </row>
    <row r="19" spans="1:9" ht="15.6">
      <c r="A19" s="29">
        <v>203</v>
      </c>
      <c r="B19" s="34" t="s">
        <v>45</v>
      </c>
      <c r="C19" s="31">
        <v>660000</v>
      </c>
      <c r="D19" s="32">
        <v>5.4333333333333336</v>
      </c>
      <c r="E19" s="29" t="s">
        <v>37</v>
      </c>
      <c r="F19" s="29" t="s">
        <v>41</v>
      </c>
      <c r="G19" s="29" t="s">
        <v>11</v>
      </c>
      <c r="H19" s="5" t="s">
        <v>38</v>
      </c>
      <c r="I19" s="4"/>
    </row>
    <row r="20" spans="1:9" ht="15.6">
      <c r="A20" s="29">
        <v>224</v>
      </c>
      <c r="B20" s="34" t="s">
        <v>46</v>
      </c>
      <c r="C20" s="31">
        <v>15545.454545454546</v>
      </c>
      <c r="D20" s="32">
        <v>2.0433333333333334</v>
      </c>
      <c r="E20" s="29" t="s">
        <v>37</v>
      </c>
      <c r="F20" s="29" t="s">
        <v>41</v>
      </c>
      <c r="G20" s="29" t="s">
        <v>44</v>
      </c>
      <c r="H20" s="5" t="s">
        <v>38</v>
      </c>
      <c r="I20" s="4"/>
    </row>
    <row r="21" spans="1:9" ht="15.6">
      <c r="A21" s="29">
        <v>206</v>
      </c>
      <c r="B21" s="34" t="s">
        <v>47</v>
      </c>
      <c r="C21" s="31">
        <v>22500000</v>
      </c>
      <c r="D21" s="32">
        <v>10.436666666666666</v>
      </c>
      <c r="E21" s="29" t="s">
        <v>37</v>
      </c>
      <c r="F21" s="29" t="s">
        <v>11</v>
      </c>
      <c r="G21" s="29" t="s">
        <v>44</v>
      </c>
      <c r="H21" s="5" t="s">
        <v>38</v>
      </c>
      <c r="I21" s="4"/>
    </row>
    <row r="22" spans="1:9" ht="15.6">
      <c r="A22" s="29">
        <v>223</v>
      </c>
      <c r="B22" s="34" t="s">
        <v>48</v>
      </c>
      <c r="C22" s="31">
        <v>3400000</v>
      </c>
      <c r="D22" s="32">
        <v>9.2200000000000006</v>
      </c>
      <c r="E22" s="29" t="s">
        <v>11</v>
      </c>
      <c r="F22" s="29" t="s">
        <v>41</v>
      </c>
      <c r="G22" s="29" t="s">
        <v>44</v>
      </c>
      <c r="H22" s="5" t="s">
        <v>38</v>
      </c>
      <c r="I22" s="4"/>
    </row>
    <row r="23" spans="1:9" ht="15.6">
      <c r="A23" s="29" t="s">
        <v>49</v>
      </c>
      <c r="B23" s="34" t="s">
        <v>50</v>
      </c>
      <c r="C23" s="31">
        <v>2800000</v>
      </c>
      <c r="D23" s="32">
        <v>16.3</v>
      </c>
      <c r="E23" s="29" t="s">
        <v>51</v>
      </c>
      <c r="F23" s="29" t="s">
        <v>11</v>
      </c>
      <c r="G23" s="29" t="s">
        <v>11</v>
      </c>
      <c r="H23" s="5"/>
      <c r="I23" s="4"/>
    </row>
    <row r="24" spans="1:9" ht="15.6">
      <c r="A24" s="29">
        <v>167</v>
      </c>
      <c r="B24" s="34" t="s">
        <v>52</v>
      </c>
      <c r="C24" s="31">
        <v>8250000</v>
      </c>
      <c r="D24" s="32">
        <v>11.85</v>
      </c>
      <c r="E24" s="29" t="s">
        <v>11</v>
      </c>
      <c r="F24" s="29" t="s">
        <v>53</v>
      </c>
      <c r="G24" s="29" t="s">
        <v>11</v>
      </c>
      <c r="H24" s="5"/>
      <c r="I24" s="4"/>
    </row>
    <row r="25" spans="1:9" ht="15.6">
      <c r="A25" s="29">
        <v>179</v>
      </c>
      <c r="B25" s="34" t="s">
        <v>54</v>
      </c>
      <c r="C25" s="31">
        <v>98000000</v>
      </c>
      <c r="D25" s="32">
        <v>19.89</v>
      </c>
      <c r="E25" s="29" t="s">
        <v>11</v>
      </c>
      <c r="F25" s="29" t="s">
        <v>11</v>
      </c>
      <c r="G25" s="29" t="s">
        <v>55</v>
      </c>
      <c r="H25" s="5"/>
      <c r="I25" s="4"/>
    </row>
    <row r="26" spans="1:9" ht="15.6">
      <c r="A26" s="29">
        <v>207</v>
      </c>
      <c r="B26" s="34" t="s">
        <v>56</v>
      </c>
      <c r="C26" s="31">
        <v>3199999.9999999995</v>
      </c>
      <c r="D26" s="32">
        <v>4.9933333333333332</v>
      </c>
      <c r="E26" s="29" t="s">
        <v>51</v>
      </c>
      <c r="F26" s="29" t="s">
        <v>53</v>
      </c>
      <c r="G26" s="29" t="s">
        <v>11</v>
      </c>
      <c r="H26" s="5"/>
      <c r="I26" s="4"/>
    </row>
    <row r="27" spans="1:9" ht="15.6">
      <c r="A27" s="29">
        <v>231</v>
      </c>
      <c r="B27" s="34" t="s">
        <v>57</v>
      </c>
      <c r="C27" s="31">
        <v>105454.54545454544</v>
      </c>
      <c r="D27" s="32">
        <v>3.6599999999999997</v>
      </c>
      <c r="E27" s="29" t="s">
        <v>51</v>
      </c>
      <c r="F27" s="29" t="s">
        <v>53</v>
      </c>
      <c r="G27" s="29" t="s">
        <v>55</v>
      </c>
      <c r="H27" s="5"/>
      <c r="I27" s="4"/>
    </row>
    <row r="28" spans="1:9" ht="15.6">
      <c r="A28" s="29">
        <v>210</v>
      </c>
      <c r="B28" s="34" t="s">
        <v>58</v>
      </c>
      <c r="C28" s="31">
        <v>22899999.999999996</v>
      </c>
      <c r="D28" s="32">
        <v>15.323333333333332</v>
      </c>
      <c r="E28" s="29" t="s">
        <v>51</v>
      </c>
      <c r="F28" s="29" t="s">
        <v>11</v>
      </c>
      <c r="G28" s="29" t="s">
        <v>55</v>
      </c>
      <c r="H28" s="5"/>
      <c r="I28" s="4"/>
    </row>
    <row r="29" spans="1:9" ht="15.6">
      <c r="A29" s="29">
        <v>229</v>
      </c>
      <c r="B29" s="34" t="s">
        <v>59</v>
      </c>
      <c r="C29" s="31">
        <v>5999999.9999999991</v>
      </c>
      <c r="D29" s="32">
        <v>9.9933333333333341</v>
      </c>
      <c r="E29" s="29" t="s">
        <v>11</v>
      </c>
      <c r="F29" s="29" t="s">
        <v>53</v>
      </c>
      <c r="G29" s="29" t="s">
        <v>55</v>
      </c>
      <c r="H29" s="5"/>
      <c r="I29" s="4"/>
    </row>
    <row r="30" spans="1:9" ht="15.6">
      <c r="A30" s="29" t="s">
        <v>60</v>
      </c>
      <c r="B30" s="34" t="s">
        <v>61</v>
      </c>
      <c r="C30" s="31">
        <v>3670000</v>
      </c>
      <c r="D30" s="32">
        <v>17.86</v>
      </c>
      <c r="E30" s="29" t="s">
        <v>62</v>
      </c>
      <c r="F30" s="29" t="s">
        <v>11</v>
      </c>
      <c r="G30" s="29" t="s">
        <v>11</v>
      </c>
      <c r="H30" s="5"/>
      <c r="I30" s="4"/>
    </row>
    <row r="31" spans="1:9" ht="15.6">
      <c r="A31" s="29" t="s">
        <v>63</v>
      </c>
      <c r="B31" s="34" t="s">
        <v>64</v>
      </c>
      <c r="C31" s="31">
        <v>2250000</v>
      </c>
      <c r="D31" s="32">
        <v>9.73</v>
      </c>
      <c r="E31" s="29" t="s">
        <v>11</v>
      </c>
      <c r="F31" s="29" t="s">
        <v>65</v>
      </c>
      <c r="G31" s="29" t="s">
        <v>11</v>
      </c>
      <c r="H31" s="5"/>
      <c r="I31" s="4"/>
    </row>
    <row r="32" spans="1:9" ht="15.6">
      <c r="A32" s="29" t="s">
        <v>66</v>
      </c>
      <c r="B32" s="34" t="s">
        <v>67</v>
      </c>
      <c r="C32" s="31">
        <v>23500000</v>
      </c>
      <c r="D32" s="32">
        <v>20.03</v>
      </c>
      <c r="E32" s="29" t="s">
        <v>11</v>
      </c>
      <c r="F32" s="29" t="s">
        <v>11</v>
      </c>
      <c r="G32" s="29" t="s">
        <v>68</v>
      </c>
      <c r="H32" s="5"/>
      <c r="I32" s="4"/>
    </row>
    <row r="33" spans="1:9" ht="15.6">
      <c r="A33" s="29">
        <v>208</v>
      </c>
      <c r="B33" s="34" t="s">
        <v>69</v>
      </c>
      <c r="C33" s="31">
        <v>2999999.9999999995</v>
      </c>
      <c r="D33" s="32">
        <v>4.5</v>
      </c>
      <c r="E33" s="29" t="s">
        <v>62</v>
      </c>
      <c r="F33" s="29" t="s">
        <v>65</v>
      </c>
      <c r="G33" s="29" t="s">
        <v>11</v>
      </c>
      <c r="H33" s="5"/>
      <c r="I33" s="4"/>
    </row>
    <row r="34" spans="1:9" ht="15.6">
      <c r="A34" s="29">
        <v>232</v>
      </c>
      <c r="B34" s="34" t="s">
        <v>70</v>
      </c>
      <c r="C34" s="31">
        <v>590000</v>
      </c>
      <c r="D34" s="32">
        <v>2.7966666666666669</v>
      </c>
      <c r="E34" s="29" t="s">
        <v>62</v>
      </c>
      <c r="F34" s="29" t="s">
        <v>65</v>
      </c>
      <c r="G34" s="29" t="s">
        <v>68</v>
      </c>
      <c r="H34" s="5"/>
      <c r="I34" s="4"/>
    </row>
    <row r="35" spans="1:9" ht="15.6">
      <c r="A35" s="29">
        <v>211</v>
      </c>
      <c r="B35" s="34" t="s">
        <v>71</v>
      </c>
      <c r="C35" s="31">
        <v>35500000</v>
      </c>
      <c r="D35" s="32">
        <v>16.653333333333332</v>
      </c>
      <c r="E35" s="29" t="s">
        <v>62</v>
      </c>
      <c r="F35" s="29" t="s">
        <v>11</v>
      </c>
      <c r="G35" s="29" t="s">
        <v>68</v>
      </c>
      <c r="H35" s="5"/>
      <c r="I35" s="4"/>
    </row>
    <row r="36" spans="1:9" ht="15.6">
      <c r="A36" s="29">
        <v>230</v>
      </c>
      <c r="B36" s="34" t="s">
        <v>72</v>
      </c>
      <c r="C36" s="31">
        <v>490909.09090909088</v>
      </c>
      <c r="D36" s="32">
        <v>8.0666666666666647</v>
      </c>
      <c r="E36" s="29" t="s">
        <v>11</v>
      </c>
      <c r="F36" s="29" t="s">
        <v>65</v>
      </c>
      <c r="G36" s="29" t="s">
        <v>68</v>
      </c>
      <c r="H36" s="5"/>
      <c r="I36" s="4"/>
    </row>
    <row r="37" spans="1:9" ht="15.6">
      <c r="A37" s="29">
        <v>157</v>
      </c>
      <c r="B37" s="34" t="s">
        <v>73</v>
      </c>
      <c r="C37" s="31">
        <v>178000000</v>
      </c>
      <c r="D37" s="32">
        <v>14.14</v>
      </c>
      <c r="E37" s="29" t="s">
        <v>74</v>
      </c>
      <c r="F37" s="29" t="s">
        <v>11</v>
      </c>
      <c r="G37" s="29" t="s">
        <v>11</v>
      </c>
      <c r="H37" s="5" t="s">
        <v>38</v>
      </c>
      <c r="I37" s="4"/>
    </row>
    <row r="38" spans="1:9" ht="15.6">
      <c r="A38" s="29" t="s">
        <v>75</v>
      </c>
      <c r="B38" s="34" t="s">
        <v>76</v>
      </c>
      <c r="C38" s="31">
        <v>21300000</v>
      </c>
      <c r="D38" s="32">
        <v>15.87</v>
      </c>
      <c r="E38" s="29" t="s">
        <v>11</v>
      </c>
      <c r="F38" s="29" t="s">
        <v>77</v>
      </c>
      <c r="G38" s="29" t="s">
        <v>11</v>
      </c>
      <c r="H38" s="5" t="s">
        <v>38</v>
      </c>
      <c r="I38" s="4"/>
    </row>
    <row r="39" spans="1:9" ht="15.6">
      <c r="A39" s="29" t="s">
        <v>78</v>
      </c>
      <c r="B39" s="34" t="s">
        <v>79</v>
      </c>
      <c r="C39" s="31">
        <v>4000000</v>
      </c>
      <c r="D39" s="32">
        <v>17.73</v>
      </c>
      <c r="E39" s="29" t="s">
        <v>11</v>
      </c>
      <c r="F39" s="29" t="s">
        <v>11</v>
      </c>
      <c r="G39" s="29" t="s">
        <v>80</v>
      </c>
      <c r="H39" s="5" t="s">
        <v>38</v>
      </c>
      <c r="I39" s="4"/>
    </row>
    <row r="40" spans="1:9" ht="15.6">
      <c r="A40" s="29">
        <v>209</v>
      </c>
      <c r="B40" s="34" t="s">
        <v>81</v>
      </c>
      <c r="C40" s="31">
        <v>360000</v>
      </c>
      <c r="D40" s="32">
        <v>4.54</v>
      </c>
      <c r="E40" s="29" t="s">
        <v>74</v>
      </c>
      <c r="F40" s="29" t="s">
        <v>77</v>
      </c>
      <c r="G40" s="29" t="s">
        <v>11</v>
      </c>
      <c r="H40" s="5" t="s">
        <v>38</v>
      </c>
      <c r="I40" s="4"/>
    </row>
    <row r="41" spans="1:9" ht="15.6">
      <c r="A41" s="29">
        <v>222</v>
      </c>
      <c r="B41" s="34" t="s">
        <v>82</v>
      </c>
      <c r="C41" s="31">
        <v>1050000</v>
      </c>
      <c r="D41" s="32">
        <v>5.6499999999999995</v>
      </c>
      <c r="E41" s="29" t="s">
        <v>74</v>
      </c>
      <c r="F41" s="29" t="s">
        <v>77</v>
      </c>
      <c r="G41" s="29" t="s">
        <v>80</v>
      </c>
      <c r="H41" s="3" t="s">
        <v>38</v>
      </c>
      <c r="I41" s="4"/>
    </row>
    <row r="42" spans="1:9" ht="15.6">
      <c r="A42" s="29">
        <v>212</v>
      </c>
      <c r="B42" s="34" t="s">
        <v>83</v>
      </c>
      <c r="C42" s="31">
        <v>6399999.9999999991</v>
      </c>
      <c r="D42" s="32">
        <v>8.6533333333333342</v>
      </c>
      <c r="E42" s="29" t="s">
        <v>74</v>
      </c>
      <c r="F42" s="29" t="s">
        <v>11</v>
      </c>
      <c r="G42" s="29" t="s">
        <v>80</v>
      </c>
      <c r="H42" s="11" t="s">
        <v>38</v>
      </c>
    </row>
    <row r="43" spans="1:9" ht="15.6">
      <c r="A43" s="29">
        <v>221</v>
      </c>
      <c r="B43" s="34" t="s">
        <v>84</v>
      </c>
      <c r="C43" s="31">
        <v>5600000</v>
      </c>
      <c r="D43" s="32">
        <v>9.7100000000000009</v>
      </c>
      <c r="E43" s="29" t="s">
        <v>85</v>
      </c>
      <c r="F43" s="29" t="s">
        <v>77</v>
      </c>
      <c r="G43" s="29" t="s">
        <v>80</v>
      </c>
      <c r="H43" s="11" t="s">
        <v>38</v>
      </c>
    </row>
    <row r="44" spans="1:9" ht="15.6">
      <c r="A44" s="29">
        <v>41</v>
      </c>
      <c r="B44" s="34" t="s">
        <v>86</v>
      </c>
      <c r="C44" s="31">
        <v>218000000</v>
      </c>
      <c r="D44" s="32">
        <v>16.62</v>
      </c>
      <c r="E44" s="29" t="s">
        <v>87</v>
      </c>
      <c r="F44" s="29" t="s">
        <v>11</v>
      </c>
      <c r="G44" s="29" t="s">
        <v>11</v>
      </c>
      <c r="H44" s="11" t="s">
        <v>38</v>
      </c>
    </row>
    <row r="45" spans="1:9" ht="15.6">
      <c r="A45" s="29">
        <v>51</v>
      </c>
      <c r="B45" s="34" t="s">
        <v>88</v>
      </c>
      <c r="C45" s="31">
        <v>148000000</v>
      </c>
      <c r="D45" s="32">
        <v>14.47</v>
      </c>
      <c r="E45" s="29" t="s">
        <v>11</v>
      </c>
      <c r="F45" s="29" t="s">
        <v>89</v>
      </c>
      <c r="G45" s="29" t="s">
        <v>11</v>
      </c>
      <c r="H45" s="11" t="s">
        <v>38</v>
      </c>
    </row>
    <row r="46" spans="1:9" ht="15.6">
      <c r="A46" s="29" t="s">
        <v>90</v>
      </c>
      <c r="B46" s="34" t="s">
        <v>91</v>
      </c>
      <c r="C46" s="31">
        <v>1590000</v>
      </c>
      <c r="D46" s="32">
        <v>16.43</v>
      </c>
      <c r="E46" s="29" t="s">
        <v>11</v>
      </c>
      <c r="F46" s="29" t="s">
        <v>11</v>
      </c>
      <c r="G46" s="29" t="s">
        <v>92</v>
      </c>
      <c r="H46" s="11" t="s">
        <v>38</v>
      </c>
    </row>
    <row r="47" spans="1:9" ht="15.6">
      <c r="A47" s="29">
        <v>213</v>
      </c>
      <c r="B47" s="34" t="s">
        <v>93</v>
      </c>
      <c r="C47" s="31">
        <v>10300000</v>
      </c>
      <c r="D47" s="32">
        <v>5.080000000000001</v>
      </c>
      <c r="E47" s="29" t="s">
        <v>87</v>
      </c>
      <c r="F47" s="29" t="s">
        <v>89</v>
      </c>
      <c r="G47" s="29" t="s">
        <v>11</v>
      </c>
      <c r="H47" s="11" t="s">
        <v>38</v>
      </c>
    </row>
    <row r="48" spans="1:9" ht="15.6">
      <c r="A48" s="29">
        <v>236</v>
      </c>
      <c r="B48" s="34" t="s">
        <v>94</v>
      </c>
      <c r="C48" s="31">
        <v>820000</v>
      </c>
      <c r="D48" s="32">
        <v>3.9899999999999998</v>
      </c>
      <c r="E48" s="29" t="s">
        <v>87</v>
      </c>
      <c r="F48" s="29" t="s">
        <v>89</v>
      </c>
      <c r="G48" s="29" t="s">
        <v>92</v>
      </c>
      <c r="H48" s="11" t="s">
        <v>38</v>
      </c>
    </row>
    <row r="49" spans="1:8" ht="15.6">
      <c r="A49" s="29">
        <v>216</v>
      </c>
      <c r="B49" s="34" t="s">
        <v>95</v>
      </c>
      <c r="C49" s="31">
        <v>16399999.999999998</v>
      </c>
      <c r="D49" s="32">
        <v>9.2733333333333334</v>
      </c>
      <c r="E49" s="29" t="s">
        <v>87</v>
      </c>
      <c r="F49" s="29" t="s">
        <v>11</v>
      </c>
      <c r="G49" s="29" t="s">
        <v>92</v>
      </c>
      <c r="H49" s="11" t="s">
        <v>38</v>
      </c>
    </row>
    <row r="50" spans="1:8" ht="15.6">
      <c r="A50" s="29">
        <v>233</v>
      </c>
      <c r="B50" s="34" t="s">
        <v>96</v>
      </c>
      <c r="C50" s="31">
        <v>1660000</v>
      </c>
      <c r="D50" s="32">
        <v>6.1433333333333335</v>
      </c>
      <c r="E50" s="29" t="s">
        <v>11</v>
      </c>
      <c r="F50" s="29" t="s">
        <v>89</v>
      </c>
      <c r="G50" s="29" t="s">
        <v>92</v>
      </c>
      <c r="H50" s="11" t="s">
        <v>38</v>
      </c>
    </row>
    <row r="51" spans="1:8" ht="15.6">
      <c r="A51" s="29">
        <v>45</v>
      </c>
      <c r="B51" s="34" t="s">
        <v>97</v>
      </c>
      <c r="C51" s="31">
        <v>135000000</v>
      </c>
      <c r="D51" s="32">
        <v>13.66</v>
      </c>
      <c r="E51" s="29" t="s">
        <v>98</v>
      </c>
      <c r="F51" s="29" t="s">
        <v>11</v>
      </c>
      <c r="G51" s="29" t="s">
        <v>11</v>
      </c>
      <c r="H51" s="11" t="s">
        <v>38</v>
      </c>
    </row>
    <row r="52" spans="1:8" ht="15.6">
      <c r="A52" s="29">
        <v>52</v>
      </c>
      <c r="B52" s="34" t="s">
        <v>99</v>
      </c>
      <c r="C52" s="31">
        <v>74400000</v>
      </c>
      <c r="D52" s="32">
        <v>15.64</v>
      </c>
      <c r="E52" s="29" t="s">
        <v>11</v>
      </c>
      <c r="F52" s="29" t="s">
        <v>100</v>
      </c>
      <c r="G52" s="29" t="s">
        <v>11</v>
      </c>
      <c r="H52" s="11" t="s">
        <v>38</v>
      </c>
    </row>
    <row r="53" spans="1:8" ht="15.6">
      <c r="A53" s="29" t="s">
        <v>101</v>
      </c>
      <c r="B53" s="34" t="s">
        <v>102</v>
      </c>
      <c r="C53" s="31">
        <v>2110000</v>
      </c>
      <c r="D53" s="32">
        <v>18.170000000000002</v>
      </c>
      <c r="E53" s="29" t="s">
        <v>11</v>
      </c>
      <c r="F53" s="29" t="s">
        <v>11</v>
      </c>
      <c r="G53" s="29" t="s">
        <v>103</v>
      </c>
      <c r="H53" s="11" t="s">
        <v>38</v>
      </c>
    </row>
    <row r="54" spans="1:8" ht="15.6">
      <c r="A54" s="29">
        <v>214</v>
      </c>
      <c r="B54" s="34" t="s">
        <v>104</v>
      </c>
      <c r="C54" s="31">
        <v>4500000</v>
      </c>
      <c r="D54" s="32">
        <v>4.2233333333333336</v>
      </c>
      <c r="E54" s="29" t="s">
        <v>98</v>
      </c>
      <c r="F54" s="29" t="s">
        <v>100</v>
      </c>
      <c r="G54" s="29" t="s">
        <v>11</v>
      </c>
      <c r="H54" s="11" t="s">
        <v>38</v>
      </c>
    </row>
    <row r="55" spans="1:8" ht="15.6">
      <c r="A55" s="30">
        <v>237</v>
      </c>
      <c r="B55" s="35" t="s">
        <v>105</v>
      </c>
      <c r="C55" s="36" t="s">
        <v>106</v>
      </c>
      <c r="D55" s="37"/>
      <c r="E55" s="30" t="s">
        <v>98</v>
      </c>
      <c r="F55" s="30" t="s">
        <v>100</v>
      </c>
      <c r="G55" s="30" t="s">
        <v>103</v>
      </c>
      <c r="H55" s="11"/>
    </row>
    <row r="56" spans="1:8" ht="15.6">
      <c r="A56" s="29">
        <v>217</v>
      </c>
      <c r="B56" s="34" t="s">
        <v>107</v>
      </c>
      <c r="C56" s="31">
        <v>17300000</v>
      </c>
      <c r="D56" s="32">
        <v>7.9333333333333336</v>
      </c>
      <c r="E56" s="29" t="s">
        <v>98</v>
      </c>
      <c r="F56" s="29" t="s">
        <v>11</v>
      </c>
      <c r="G56" s="29" t="s">
        <v>103</v>
      </c>
      <c r="H56" s="11" t="s">
        <v>38</v>
      </c>
    </row>
    <row r="57" spans="1:8" ht="15.6">
      <c r="A57" s="29">
        <v>234</v>
      </c>
      <c r="B57" s="34" t="s">
        <v>108</v>
      </c>
      <c r="C57" s="31">
        <v>2710000</v>
      </c>
      <c r="D57" s="32">
        <v>8.2900000000000009</v>
      </c>
      <c r="E57" s="29" t="s">
        <v>11</v>
      </c>
      <c r="F57" s="29" t="s">
        <v>100</v>
      </c>
      <c r="G57" s="29" t="s">
        <v>103</v>
      </c>
      <c r="H57" s="11" t="s">
        <v>38</v>
      </c>
    </row>
    <row r="58" spans="1:8" ht="15.6">
      <c r="A58" s="29">
        <v>42</v>
      </c>
      <c r="B58" s="34" t="s">
        <v>109</v>
      </c>
      <c r="C58" s="31">
        <v>170000000</v>
      </c>
      <c r="D58" s="32">
        <v>16.989999999999998</v>
      </c>
      <c r="E58" s="29" t="s">
        <v>110</v>
      </c>
      <c r="F58" s="29" t="s">
        <v>11</v>
      </c>
      <c r="G58" s="29" t="s">
        <v>11</v>
      </c>
      <c r="H58" s="11"/>
    </row>
    <row r="59" spans="1:8" ht="15.6">
      <c r="A59" s="29">
        <v>55</v>
      </c>
      <c r="B59" s="34" t="s">
        <v>111</v>
      </c>
      <c r="C59" s="31">
        <v>11600000</v>
      </c>
      <c r="D59" s="32">
        <v>12.07</v>
      </c>
      <c r="E59" s="29" t="s">
        <v>11</v>
      </c>
      <c r="F59" s="29" t="s">
        <v>112</v>
      </c>
      <c r="G59" s="29" t="s">
        <v>11</v>
      </c>
      <c r="H59" s="11"/>
    </row>
    <row r="60" spans="1:8" ht="15.6">
      <c r="A60" s="29" t="s">
        <v>113</v>
      </c>
      <c r="B60" s="34" t="s">
        <v>114</v>
      </c>
      <c r="C60" s="31">
        <v>3730000</v>
      </c>
      <c r="D60" s="32">
        <v>16.7</v>
      </c>
      <c r="E60" s="29" t="s">
        <v>11</v>
      </c>
      <c r="F60" s="29" t="s">
        <v>11</v>
      </c>
      <c r="G60" s="29" t="s">
        <v>115</v>
      </c>
      <c r="H60" s="11"/>
    </row>
    <row r="61" spans="1:8" ht="15.6">
      <c r="A61" s="29">
        <v>215</v>
      </c>
      <c r="B61" s="34" t="s">
        <v>116</v>
      </c>
      <c r="C61" s="31">
        <v>5799999.9999999991</v>
      </c>
      <c r="D61" s="32">
        <v>3.77</v>
      </c>
      <c r="E61" s="29" t="s">
        <v>110</v>
      </c>
      <c r="F61" s="29" t="s">
        <v>112</v>
      </c>
      <c r="G61" s="29" t="s">
        <v>11</v>
      </c>
      <c r="H61" s="11"/>
    </row>
    <row r="62" spans="1:8" ht="15.6">
      <c r="A62" s="30">
        <v>238</v>
      </c>
      <c r="B62" s="35" t="s">
        <v>117</v>
      </c>
      <c r="C62" s="36" t="s">
        <v>106</v>
      </c>
      <c r="D62" s="37"/>
      <c r="E62" s="30" t="s">
        <v>110</v>
      </c>
      <c r="F62" s="30" t="s">
        <v>112</v>
      </c>
      <c r="G62" s="30" t="s">
        <v>115</v>
      </c>
      <c r="H62" s="11"/>
    </row>
    <row r="63" spans="1:8" ht="15.6">
      <c r="A63" s="29">
        <v>218</v>
      </c>
      <c r="B63" s="34" t="s">
        <v>118</v>
      </c>
      <c r="C63" s="31">
        <v>14999999.999999998</v>
      </c>
      <c r="D63" s="32">
        <v>7.9533333333333331</v>
      </c>
      <c r="E63" s="29" t="s">
        <v>110</v>
      </c>
      <c r="F63" s="29" t="s">
        <v>11</v>
      </c>
      <c r="G63" s="29" t="s">
        <v>115</v>
      </c>
      <c r="H63" s="11"/>
    </row>
    <row r="64" spans="1:8" ht="15.6">
      <c r="A64" s="29">
        <v>235</v>
      </c>
      <c r="B64" s="34" t="s">
        <v>119</v>
      </c>
      <c r="C64" s="31">
        <v>95000</v>
      </c>
      <c r="D64" s="32">
        <v>5.5</v>
      </c>
      <c r="E64" s="29" t="s">
        <v>11</v>
      </c>
      <c r="F64" s="29" t="s">
        <v>112</v>
      </c>
      <c r="G64" s="29" t="s">
        <v>115</v>
      </c>
      <c r="H64" s="11"/>
    </row>
    <row r="65" spans="1:8" ht="15.6">
      <c r="A65" s="29">
        <v>219</v>
      </c>
      <c r="B65" s="34" t="s">
        <v>120</v>
      </c>
      <c r="C65" s="31">
        <v>224000000</v>
      </c>
      <c r="D65" s="32">
        <v>20.146953989426343</v>
      </c>
      <c r="E65" s="29" t="s">
        <v>11</v>
      </c>
      <c r="F65" s="29" t="s">
        <v>11</v>
      </c>
      <c r="G65" s="29" t="s">
        <v>11</v>
      </c>
      <c r="H65" s="11"/>
    </row>
    <row r="66" spans="1:8">
      <c r="A66" s="4"/>
      <c r="B66" s="4"/>
      <c r="C66" s="3"/>
      <c r="D66" s="28"/>
      <c r="E66" s="3"/>
      <c r="F66" s="3"/>
      <c r="G66" s="3"/>
      <c r="H66" s="11"/>
    </row>
    <row r="67" spans="1:8">
      <c r="A67" s="29">
        <v>44</v>
      </c>
      <c r="B67" s="4" t="s">
        <v>121</v>
      </c>
      <c r="C67" s="31">
        <v>47000000</v>
      </c>
      <c r="D67" s="32">
        <v>9.9700000000000006</v>
      </c>
      <c r="E67" s="3"/>
      <c r="F67" s="3"/>
      <c r="G67" s="3"/>
      <c r="H67" s="3"/>
    </row>
    <row r="68" spans="1:8">
      <c r="A68" s="4" t="s">
        <v>122</v>
      </c>
      <c r="B68" s="4" t="s">
        <v>123</v>
      </c>
      <c r="C68" s="31">
        <v>2600000</v>
      </c>
      <c r="D68" s="32">
        <v>11.35</v>
      </c>
      <c r="E68" s="3"/>
      <c r="F68" s="3"/>
      <c r="G68" s="3"/>
      <c r="H68" s="3"/>
    </row>
    <row r="69" spans="1:8">
      <c r="A69" s="4" t="s">
        <v>124</v>
      </c>
      <c r="B69" s="4" t="s">
        <v>125</v>
      </c>
      <c r="C69" s="31">
        <v>1620000</v>
      </c>
      <c r="D69" s="32">
        <v>7.72</v>
      </c>
      <c r="E69" s="3"/>
      <c r="F69" s="3"/>
      <c r="G69" s="3"/>
      <c r="H69" s="3"/>
    </row>
    <row r="70" spans="1:8">
      <c r="A70" s="4" t="s">
        <v>126</v>
      </c>
      <c r="B70" s="4" t="s">
        <v>127</v>
      </c>
      <c r="C70" s="31">
        <v>3200000</v>
      </c>
      <c r="D70" s="32">
        <v>6.41</v>
      </c>
      <c r="E70" s="3"/>
      <c r="F70" s="3"/>
      <c r="G70" s="3"/>
      <c r="H70" s="3"/>
    </row>
  </sheetData>
  <sortState xmlns:xlrd2="http://schemas.microsoft.com/office/spreadsheetml/2017/richdata2" ref="A5:D65">
    <sortCondition ref="B1:B65"/>
  </sortState>
  <pageMargins left="0.7" right="0.7" top="0.75" bottom="0.75" header="0.3" footer="0.3"/>
  <pageSetup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D305-6B17-410D-BE34-BBBA6C42DA63}">
  <sheetPr>
    <pageSetUpPr fitToPage="1"/>
  </sheetPr>
  <dimension ref="A1:H115"/>
  <sheetViews>
    <sheetView topLeftCell="A50" workbookViewId="0">
      <selection activeCell="D83" sqref="D83"/>
    </sheetView>
  </sheetViews>
  <sheetFormatPr defaultRowHeight="14.45"/>
  <cols>
    <col min="1" max="1" width="44.28515625" bestFit="1" customWidth="1"/>
    <col min="2" max="2" width="19.42578125" bestFit="1" customWidth="1"/>
    <col min="3" max="3" width="10" customWidth="1"/>
    <col min="4" max="4" width="44.28515625" bestFit="1" customWidth="1"/>
    <col min="5" max="5" width="19.42578125" bestFit="1" customWidth="1"/>
    <col min="6" max="6" width="9.42578125" customWidth="1"/>
    <col min="7" max="7" width="14.140625" bestFit="1" customWidth="1"/>
  </cols>
  <sheetData>
    <row r="1" spans="1:6">
      <c r="A1" t="s">
        <v>128</v>
      </c>
    </row>
    <row r="3" spans="1:6">
      <c r="A3" s="1" t="s">
        <v>129</v>
      </c>
      <c r="B3" s="40">
        <v>41</v>
      </c>
      <c r="D3" s="1" t="s">
        <v>129</v>
      </c>
      <c r="E3" s="40" t="s">
        <v>130</v>
      </c>
    </row>
    <row r="4" spans="1:6">
      <c r="A4" s="1" t="s">
        <v>1</v>
      </c>
      <c r="B4" s="41" t="s">
        <v>131</v>
      </c>
      <c r="D4" s="1" t="s">
        <v>1</v>
      </c>
      <c r="E4" s="41" t="s">
        <v>132</v>
      </c>
    </row>
    <row r="5" spans="1:6">
      <c r="A5" s="1" t="s">
        <v>133</v>
      </c>
      <c r="B5" s="43">
        <v>16.62</v>
      </c>
      <c r="D5" s="1" t="s">
        <v>133</v>
      </c>
      <c r="E5" s="43">
        <v>14.47</v>
      </c>
    </row>
    <row r="6" spans="1:6">
      <c r="A6" s="1" t="s">
        <v>134</v>
      </c>
      <c r="B6" s="43">
        <v>16.62</v>
      </c>
      <c r="D6" s="1" t="s">
        <v>134</v>
      </c>
      <c r="E6" s="43">
        <v>14.47</v>
      </c>
    </row>
    <row r="7" spans="1:6">
      <c r="A7" s="1" t="s">
        <v>135</v>
      </c>
      <c r="B7" s="1">
        <v>1</v>
      </c>
      <c r="D7" s="1" t="s">
        <v>135</v>
      </c>
      <c r="E7" s="1">
        <v>1</v>
      </c>
    </row>
    <row r="8" spans="1:6">
      <c r="A8" s="1" t="s">
        <v>136</v>
      </c>
      <c r="B8" s="46">
        <v>218000000</v>
      </c>
      <c r="D8" s="1" t="s">
        <v>136</v>
      </c>
      <c r="E8" s="46">
        <v>23200000</v>
      </c>
    </row>
    <row r="9" spans="1:6">
      <c r="A9" s="1" t="s">
        <v>137</v>
      </c>
      <c r="B9" s="39">
        <f>(100000)/B8</f>
        <v>4.5871559633027525E-4</v>
      </c>
      <c r="D9" s="1" t="s">
        <v>137</v>
      </c>
      <c r="E9" s="39">
        <f>(100000)/E8</f>
        <v>4.3103448275862068E-3</v>
      </c>
    </row>
    <row r="10" spans="1:6">
      <c r="A10" s="1" t="s">
        <v>138</v>
      </c>
      <c r="B10" s="48">
        <f>B9*1000</f>
        <v>0.45871559633027525</v>
      </c>
      <c r="C10" t="s">
        <v>139</v>
      </c>
      <c r="D10" s="1" t="s">
        <v>138</v>
      </c>
      <c r="E10" s="48">
        <f>E9*1000</f>
        <v>4.3103448275862064</v>
      </c>
      <c r="F10" s="65"/>
    </row>
    <row r="11" spans="1:6">
      <c r="A11" s="1" t="s">
        <v>140</v>
      </c>
      <c r="B11" s="39">
        <f>(B9*B8)/10</f>
        <v>10000</v>
      </c>
      <c r="D11" s="1" t="s">
        <v>140</v>
      </c>
      <c r="E11" s="39">
        <f>(E9*E8)/10</f>
        <v>10000</v>
      </c>
    </row>
    <row r="12" spans="1:6">
      <c r="A12" s="1" t="s">
        <v>141</v>
      </c>
      <c r="B12" s="39">
        <f>(100)/B8</f>
        <v>4.5871559633027523E-7</v>
      </c>
      <c r="D12" s="1" t="s">
        <v>141</v>
      </c>
      <c r="E12" s="39">
        <f>(100)/E8</f>
        <v>4.3103448275862071E-6</v>
      </c>
    </row>
    <row r="13" spans="1:6">
      <c r="A13" s="1" t="s">
        <v>142</v>
      </c>
      <c r="B13" s="39">
        <f>100/EXP((B6*B15*LN(2))+LN(B11))</f>
        <v>9.9999999999999915E-3</v>
      </c>
      <c r="D13" s="1" t="s">
        <v>142</v>
      </c>
      <c r="E13" s="39">
        <f>100/EXP((E6*E15*LN(2))+LN(E11))</f>
        <v>5.4084394514305543E-6</v>
      </c>
    </row>
    <row r="14" spans="1:6">
      <c r="A14" s="1" t="s">
        <v>143</v>
      </c>
      <c r="B14" s="48">
        <f>((LN((10000000)/B11)/LN(2))/B6)</f>
        <v>0.59962600990746606</v>
      </c>
      <c r="D14" s="1" t="s">
        <v>143</v>
      </c>
      <c r="E14" s="48">
        <f>((LN((10000000)/E11)/LN(2))/E6)</f>
        <v>0.68872040668017187</v>
      </c>
    </row>
    <row r="15" spans="1:6">
      <c r="A15" s="1" t="s">
        <v>144</v>
      </c>
      <c r="B15" s="1">
        <v>0</v>
      </c>
      <c r="C15" t="s">
        <v>145</v>
      </c>
      <c r="D15" s="1" t="s">
        <v>144</v>
      </c>
      <c r="E15" s="1">
        <v>0.75</v>
      </c>
      <c r="F15" t="s">
        <v>146</v>
      </c>
    </row>
    <row r="16" spans="1:6">
      <c r="A16" s="1" t="s">
        <v>147</v>
      </c>
      <c r="B16" s="1"/>
      <c r="D16" s="1" t="s">
        <v>147</v>
      </c>
      <c r="E16" s="1"/>
    </row>
    <row r="17" spans="1:5">
      <c r="A17" s="1" t="s">
        <v>148</v>
      </c>
      <c r="B17" s="1"/>
      <c r="D17" s="1" t="s">
        <v>148</v>
      </c>
      <c r="E17" s="1"/>
    </row>
    <row r="18" spans="1:5">
      <c r="A18" s="1" t="s">
        <v>149</v>
      </c>
      <c r="B18" s="1">
        <v>4</v>
      </c>
      <c r="D18" s="1" t="s">
        <v>149</v>
      </c>
      <c r="E18" s="1">
        <v>4</v>
      </c>
    </row>
    <row r="19" spans="1:5">
      <c r="A19" s="65" t="s">
        <v>150</v>
      </c>
      <c r="B19" s="6">
        <f>100/B8</f>
        <v>4.5871559633027523E-7</v>
      </c>
      <c r="C19" s="62"/>
      <c r="D19" s="6"/>
      <c r="E19" s="4"/>
    </row>
    <row r="21" spans="1:5">
      <c r="A21" s="1" t="s">
        <v>129</v>
      </c>
      <c r="B21" s="40" t="s">
        <v>90</v>
      </c>
      <c r="D21" s="1" t="s">
        <v>129</v>
      </c>
      <c r="E21" s="40">
        <v>213</v>
      </c>
    </row>
    <row r="22" spans="1:5">
      <c r="A22" s="1" t="s">
        <v>1</v>
      </c>
      <c r="B22" s="41" t="s">
        <v>151</v>
      </c>
      <c r="D22" s="1" t="s">
        <v>1</v>
      </c>
      <c r="E22" s="41" t="s">
        <v>93</v>
      </c>
    </row>
    <row r="23" spans="1:5">
      <c r="A23" s="1" t="s">
        <v>133</v>
      </c>
      <c r="B23" s="43">
        <v>16.43</v>
      </c>
      <c r="D23" s="1" t="s">
        <v>133</v>
      </c>
      <c r="E23" s="43">
        <v>5.08</v>
      </c>
    </row>
    <row r="24" spans="1:5">
      <c r="A24" s="1" t="s">
        <v>134</v>
      </c>
      <c r="B24" s="43">
        <v>16.43</v>
      </c>
      <c r="D24" s="1" t="s">
        <v>134</v>
      </c>
      <c r="E24" s="43">
        <v>5.08</v>
      </c>
    </row>
    <row r="25" spans="1:5">
      <c r="A25" s="1" t="s">
        <v>135</v>
      </c>
      <c r="B25" s="1">
        <v>1</v>
      </c>
      <c r="D25" s="1" t="s">
        <v>135</v>
      </c>
      <c r="E25" s="1">
        <v>1</v>
      </c>
    </row>
    <row r="26" spans="1:5">
      <c r="A26" s="1" t="s">
        <v>136</v>
      </c>
      <c r="B26" s="46">
        <v>1590000</v>
      </c>
      <c r="D26" s="1" t="s">
        <v>136</v>
      </c>
      <c r="E26" s="46">
        <v>10300000</v>
      </c>
    </row>
    <row r="27" spans="1:5">
      <c r="A27" s="1" t="s">
        <v>137</v>
      </c>
      <c r="B27" s="39">
        <f>(100000)/B26</f>
        <v>6.2893081761006289E-2</v>
      </c>
      <c r="D27" s="1" t="s">
        <v>137</v>
      </c>
      <c r="E27" s="39">
        <f>(100000)/E26</f>
        <v>9.7087378640776691E-3</v>
      </c>
    </row>
    <row r="28" spans="1:5">
      <c r="A28" s="1" t="s">
        <v>138</v>
      </c>
      <c r="B28" s="48">
        <f>B27*1000</f>
        <v>62.893081761006286</v>
      </c>
      <c r="D28" s="1" t="s">
        <v>138</v>
      </c>
      <c r="E28" s="48">
        <f>E27*1000</f>
        <v>9.7087378640776691</v>
      </c>
    </row>
    <row r="29" spans="1:5">
      <c r="A29" s="1" t="s">
        <v>140</v>
      </c>
      <c r="B29" s="39">
        <f>(B27*B26)/10</f>
        <v>10000</v>
      </c>
      <c r="D29" s="1" t="s">
        <v>140</v>
      </c>
      <c r="E29" s="39">
        <f>(E27*E26)/10</f>
        <v>9999.9999999999982</v>
      </c>
    </row>
    <row r="30" spans="1:5">
      <c r="A30" s="1" t="s">
        <v>141</v>
      </c>
      <c r="B30" s="39">
        <f>(100)/B26</f>
        <v>6.2893081761006286E-5</v>
      </c>
      <c r="D30" s="1" t="s">
        <v>141</v>
      </c>
      <c r="E30" s="39">
        <f>(100)/E26</f>
        <v>9.7087378640776696E-6</v>
      </c>
    </row>
    <row r="31" spans="1:5">
      <c r="A31" s="1" t="s">
        <v>142</v>
      </c>
      <c r="B31" s="39">
        <f>100/EXP((B24*B33*LN(2))+LN(B29))</f>
        <v>1.0775720117597249E-5</v>
      </c>
      <c r="D31" s="1" t="s">
        <v>142</v>
      </c>
      <c r="E31" s="39">
        <f>100/EXP((E24*E33*LN(2))+LN(E29))</f>
        <v>8.74047920828099E-6</v>
      </c>
    </row>
    <row r="32" spans="1:5">
      <c r="A32" s="1" t="s">
        <v>143</v>
      </c>
      <c r="B32" s="48">
        <f>((LN((10000000)/B29)/LN(2))/B24)</f>
        <v>0.60656021209142341</v>
      </c>
      <c r="D32" s="1" t="s">
        <v>143</v>
      </c>
      <c r="E32" s="48">
        <f>((LN((10000000)/E29)/LN(2))/E24)</f>
        <v>1.961768559972852</v>
      </c>
    </row>
    <row r="33" spans="1:6">
      <c r="A33" s="1" t="s">
        <v>144</v>
      </c>
      <c r="B33" s="1">
        <v>0.6</v>
      </c>
      <c r="C33" t="s">
        <v>145</v>
      </c>
      <c r="D33" s="1" t="s">
        <v>144</v>
      </c>
      <c r="E33" s="1">
        <v>2</v>
      </c>
      <c r="F33" t="s">
        <v>152</v>
      </c>
    </row>
    <row r="34" spans="1:6">
      <c r="A34" s="1" t="s">
        <v>147</v>
      </c>
      <c r="B34" s="1"/>
      <c r="D34" s="1" t="s">
        <v>147</v>
      </c>
      <c r="E34" s="1"/>
    </row>
    <row r="35" spans="1:6">
      <c r="A35" s="1" t="s">
        <v>148</v>
      </c>
      <c r="B35" s="1"/>
      <c r="D35" s="1" t="s">
        <v>148</v>
      </c>
      <c r="E35" s="1"/>
    </row>
    <row r="36" spans="1:6">
      <c r="A36" s="1" t="s">
        <v>149</v>
      </c>
      <c r="B36" s="1">
        <v>4</v>
      </c>
      <c r="D36" s="1" t="s">
        <v>149</v>
      </c>
      <c r="E36" s="1">
        <v>4</v>
      </c>
    </row>
    <row r="37" spans="1:6">
      <c r="A37" s="50"/>
      <c r="B37" s="6"/>
      <c r="C37" s="62"/>
      <c r="D37" s="4"/>
      <c r="E37" s="6"/>
      <c r="F37" s="62"/>
    </row>
    <row r="38" spans="1:6">
      <c r="A38" s="50"/>
      <c r="B38" s="6"/>
      <c r="C38" s="62"/>
      <c r="D38" s="4"/>
      <c r="E38" s="6"/>
      <c r="F38" s="62"/>
    </row>
    <row r="39" spans="1:6">
      <c r="A39" s="1" t="s">
        <v>129</v>
      </c>
      <c r="B39" s="40">
        <v>236</v>
      </c>
      <c r="D39" s="1" t="s">
        <v>129</v>
      </c>
      <c r="E39" s="40">
        <v>216</v>
      </c>
    </row>
    <row r="40" spans="1:6">
      <c r="A40" s="1" t="s">
        <v>1</v>
      </c>
      <c r="B40" s="41" t="s">
        <v>94</v>
      </c>
      <c r="D40" s="1" t="s">
        <v>1</v>
      </c>
      <c r="E40" s="41" t="s">
        <v>95</v>
      </c>
    </row>
    <row r="41" spans="1:6">
      <c r="A41" s="1" t="s">
        <v>133</v>
      </c>
      <c r="B41" s="43">
        <v>3.99</v>
      </c>
      <c r="D41" s="1" t="s">
        <v>133</v>
      </c>
      <c r="E41" s="43">
        <v>9.27</v>
      </c>
    </row>
    <row r="42" spans="1:6">
      <c r="A42" s="1" t="s">
        <v>134</v>
      </c>
      <c r="B42" s="43">
        <v>3.99</v>
      </c>
      <c r="D42" s="1" t="s">
        <v>134</v>
      </c>
      <c r="E42" s="43">
        <v>9.27</v>
      </c>
    </row>
    <row r="43" spans="1:6">
      <c r="A43" s="1" t="s">
        <v>135</v>
      </c>
      <c r="B43" s="1">
        <v>1</v>
      </c>
      <c r="D43" s="1" t="s">
        <v>135</v>
      </c>
      <c r="E43" s="1">
        <v>1</v>
      </c>
    </row>
    <row r="44" spans="1:6">
      <c r="A44" s="1" t="s">
        <v>136</v>
      </c>
      <c r="B44" s="46">
        <v>820000</v>
      </c>
      <c r="D44" s="1" t="s">
        <v>136</v>
      </c>
      <c r="E44" s="46">
        <v>16400000</v>
      </c>
    </row>
    <row r="45" spans="1:6">
      <c r="A45" s="1" t="s">
        <v>137</v>
      </c>
      <c r="B45" s="39">
        <f>(100000)/B44</f>
        <v>0.12195121951219512</v>
      </c>
      <c r="D45" s="1" t="s">
        <v>137</v>
      </c>
      <c r="E45" s="39">
        <f>(100000)/E44</f>
        <v>6.0975609756097563E-3</v>
      </c>
    </row>
    <row r="46" spans="1:6">
      <c r="A46" s="1" t="s">
        <v>138</v>
      </c>
      <c r="B46" s="48">
        <f>B45*1000</f>
        <v>121.95121951219512</v>
      </c>
      <c r="D46" s="1" t="s">
        <v>138</v>
      </c>
      <c r="E46" s="48">
        <f>E45*1000</f>
        <v>6.0975609756097562</v>
      </c>
    </row>
    <row r="47" spans="1:6">
      <c r="A47" s="1" t="s">
        <v>140</v>
      </c>
      <c r="B47" s="39">
        <f>(B45*B44)/10</f>
        <v>10000</v>
      </c>
      <c r="D47" s="1" t="s">
        <v>140</v>
      </c>
      <c r="E47" s="39">
        <f>(E45*E44)/10</f>
        <v>10000</v>
      </c>
    </row>
    <row r="48" spans="1:6">
      <c r="A48" s="1" t="s">
        <v>141</v>
      </c>
      <c r="B48" s="39">
        <f>(100)/B44</f>
        <v>1.2195121951219512E-4</v>
      </c>
      <c r="D48" s="1" t="s">
        <v>141</v>
      </c>
      <c r="E48" s="39">
        <f>(100)/E44</f>
        <v>6.0975609756097564E-6</v>
      </c>
    </row>
    <row r="49" spans="1:6">
      <c r="A49" s="1" t="s">
        <v>142</v>
      </c>
      <c r="B49" s="39">
        <f>100/EXP((B42*B51*LN(2))+LN(B47))</f>
        <v>9.9363251181902731E-6</v>
      </c>
      <c r="D49" s="1" t="s">
        <v>142</v>
      </c>
      <c r="E49" s="39">
        <f>100/EXP((E42*E51*LN(2))+LN(E47))</f>
        <v>1.6197647379188327E-5</v>
      </c>
    </row>
    <row r="50" spans="1:6">
      <c r="A50" s="1" t="s">
        <v>143</v>
      </c>
      <c r="B50" s="48">
        <f>((LN((10000000)/B47)/LN(2))/B42)</f>
        <v>2.4976902969077912</v>
      </c>
      <c r="D50" s="1" t="s">
        <v>143</v>
      </c>
      <c r="E50" s="48">
        <f>((LN((10000000)/E47)/LN(2))/E42)</f>
        <v>1.0750576358858779</v>
      </c>
    </row>
    <row r="51" spans="1:6" s="7" customFormat="1">
      <c r="A51" s="1" t="s">
        <v>144</v>
      </c>
      <c r="B51" s="1">
        <v>2.5</v>
      </c>
      <c r="C51" t="s">
        <v>153</v>
      </c>
      <c r="D51" s="1" t="s">
        <v>144</v>
      </c>
      <c r="E51" s="1">
        <v>1</v>
      </c>
      <c r="F51" t="s">
        <v>154</v>
      </c>
    </row>
    <row r="52" spans="1:6" s="7" customFormat="1">
      <c r="A52" s="1" t="s">
        <v>147</v>
      </c>
      <c r="B52" s="1"/>
      <c r="C52"/>
      <c r="D52" s="1" t="s">
        <v>147</v>
      </c>
      <c r="E52" s="1"/>
      <c r="F52"/>
    </row>
    <row r="53" spans="1:6" s="7" customFormat="1">
      <c r="A53" s="1" t="s">
        <v>148</v>
      </c>
      <c r="B53" s="1"/>
      <c r="C53"/>
      <c r="D53" s="1" t="s">
        <v>148</v>
      </c>
      <c r="E53" s="1"/>
      <c r="F53"/>
    </row>
    <row r="54" spans="1:6" s="7" customFormat="1">
      <c r="A54" s="1" t="s">
        <v>149</v>
      </c>
      <c r="B54" s="1">
        <v>4</v>
      </c>
      <c r="C54"/>
      <c r="D54" s="1" t="s">
        <v>149</v>
      </c>
      <c r="E54" s="1">
        <v>4</v>
      </c>
      <c r="F54"/>
    </row>
    <row r="55" spans="1:6" s="7" customFormat="1"/>
    <row r="56" spans="1:6" s="7" customFormat="1">
      <c r="B56" s="42" t="s">
        <v>155</v>
      </c>
    </row>
    <row r="57" spans="1:6" s="7" customFormat="1">
      <c r="B57" s="44">
        <v>9.9999999999999995E-7</v>
      </c>
    </row>
    <row r="58" spans="1:6" s="7" customFormat="1">
      <c r="B58" s="44">
        <v>5.0000000000000004E-6</v>
      </c>
    </row>
    <row r="59" spans="1:6" s="7" customFormat="1">
      <c r="B59" s="45">
        <v>1.0000000000000001E-5</v>
      </c>
    </row>
    <row r="60" spans="1:6" s="7" customFormat="1">
      <c r="B60" s="47">
        <v>5.0000000000000002E-5</v>
      </c>
    </row>
    <row r="61" spans="1:6" s="7" customFormat="1">
      <c r="A61" s="27"/>
      <c r="B61"/>
      <c r="C61" s="27"/>
    </row>
    <row r="62" spans="1:6" s="7" customFormat="1">
      <c r="A62" s="14"/>
      <c r="B62" s="4"/>
      <c r="C62" s="13"/>
    </row>
    <row r="63" spans="1:6" s="7" customFormat="1">
      <c r="A63" s="14"/>
      <c r="B63" s="6"/>
      <c r="C63" s="13"/>
    </row>
    <row r="64" spans="1:6" s="7" customFormat="1">
      <c r="B64" s="6"/>
    </row>
    <row r="65" spans="2:2" s="7" customFormat="1">
      <c r="B65" s="6"/>
    </row>
    <row r="66" spans="2:2" s="7" customFormat="1"/>
    <row r="67" spans="2:2" s="7" customFormat="1">
      <c r="B67" s="8"/>
    </row>
    <row r="68" spans="2:2" s="7" customFormat="1">
      <c r="B68" s="9"/>
    </row>
    <row r="69" spans="2:2" s="7" customFormat="1">
      <c r="B69" s="9"/>
    </row>
    <row r="70" spans="2:2" s="7" customFormat="1">
      <c r="B70" s="25"/>
    </row>
    <row r="71" spans="2:2" s="7" customFormat="1"/>
    <row r="72" spans="2:2" s="7" customFormat="1">
      <c r="B72" s="13"/>
    </row>
    <row r="73" spans="2:2" s="7" customFormat="1">
      <c r="B73" s="13"/>
    </row>
    <row r="74" spans="2:2" s="7" customFormat="1">
      <c r="B74" s="26"/>
    </row>
    <row r="75" spans="2:2" s="7" customFormat="1">
      <c r="B75" s="26"/>
    </row>
    <row r="76" spans="2:2" s="7" customFormat="1">
      <c r="B76" s="13"/>
    </row>
    <row r="77" spans="2:2" s="7" customFormat="1">
      <c r="B77" s="13"/>
    </row>
    <row r="78" spans="2:2" s="7" customFormat="1"/>
    <row r="79" spans="2:2" s="7" customFormat="1"/>
    <row r="80" spans="2:2" s="7" customFormat="1"/>
    <row r="81" spans="1:6" s="7" customFormat="1"/>
    <row r="82" spans="1:6" s="7" customFormat="1">
      <c r="B82" s="12"/>
      <c r="C82" s="27"/>
      <c r="D82" s="27"/>
    </row>
    <row r="83" spans="1:6" s="7" customFormat="1"/>
    <row r="84" spans="1:6" s="7" customFormat="1"/>
    <row r="85" spans="1:6" s="7" customFormat="1"/>
    <row r="86" spans="1:6" s="7" customFormat="1"/>
    <row r="87" spans="1:6" s="7" customFormat="1">
      <c r="A87" s="27"/>
      <c r="B87" s="27"/>
      <c r="C87" s="27"/>
    </row>
    <row r="88" spans="1:6" s="7" customFormat="1">
      <c r="A88" s="14"/>
      <c r="B88" s="13"/>
      <c r="C88" s="13"/>
    </row>
    <row r="89" spans="1:6" s="7" customFormat="1">
      <c r="A89" s="14"/>
      <c r="B89" s="13"/>
      <c r="C89" s="13"/>
    </row>
    <row r="90" spans="1:6" s="7" customFormat="1"/>
    <row r="91" spans="1:6" s="7" customFormat="1"/>
    <row r="92" spans="1:6" s="7" customFormat="1"/>
    <row r="93" spans="1:6" s="7" customFormat="1">
      <c r="B93" s="8"/>
      <c r="F93" s="8"/>
    </row>
    <row r="94" spans="1:6" s="7" customFormat="1">
      <c r="B94" s="9"/>
      <c r="F94" s="9"/>
    </row>
    <row r="95" spans="1:6" s="7" customFormat="1">
      <c r="B95" s="25"/>
      <c r="F95" s="25"/>
    </row>
    <row r="96" spans="1:6" s="7" customFormat="1">
      <c r="B96" s="25"/>
      <c r="F96" s="25"/>
    </row>
    <row r="97" spans="2:8" s="7" customFormat="1"/>
    <row r="98" spans="2:8" s="7" customFormat="1">
      <c r="B98" s="13"/>
      <c r="F98" s="13"/>
    </row>
    <row r="99" spans="2:8" s="7" customFormat="1">
      <c r="B99" s="15"/>
      <c r="F99" s="13"/>
    </row>
    <row r="100" spans="2:8" s="7" customFormat="1">
      <c r="B100" s="26"/>
      <c r="F100" s="26"/>
    </row>
    <row r="101" spans="2:8" s="7" customFormat="1">
      <c r="B101" s="12"/>
      <c r="F101" s="13"/>
    </row>
    <row r="102" spans="2:8" s="7" customFormat="1">
      <c r="B102" s="13"/>
      <c r="F102" s="13"/>
    </row>
    <row r="103" spans="2:8" s="7" customFormat="1">
      <c r="B103" s="13"/>
      <c r="F103" s="13"/>
    </row>
    <row r="104" spans="2:8" s="7" customFormat="1"/>
    <row r="105" spans="2:8" s="7" customFormat="1"/>
    <row r="106" spans="2:8" s="7" customFormat="1"/>
    <row r="107" spans="2:8" s="7" customFormat="1"/>
    <row r="108" spans="2:8" s="7" customFormat="1">
      <c r="B108" s="26"/>
      <c r="C108" s="27"/>
      <c r="F108" s="26"/>
      <c r="G108" s="27"/>
      <c r="H108" s="27"/>
    </row>
    <row r="109" spans="2:8" s="7" customFormat="1"/>
    <row r="110" spans="2:8" s="7" customFormat="1"/>
    <row r="111" spans="2:8" s="7" customFormat="1"/>
    <row r="112" spans="2:8" s="7" customFormat="1"/>
    <row r="113" spans="1:4" s="7" customFormat="1">
      <c r="A113" s="27"/>
      <c r="B113" s="27"/>
      <c r="C113" s="27"/>
    </row>
    <row r="114" spans="1:4" s="7" customFormat="1">
      <c r="A114" s="14"/>
      <c r="B114" s="13"/>
      <c r="C114" s="13"/>
    </row>
    <row r="115" spans="1:4" s="7" customFormat="1">
      <c r="A115" s="14"/>
      <c r="B115" s="13"/>
      <c r="C115" s="13"/>
      <c r="D115" s="13"/>
    </row>
  </sheetData>
  <pageMargins left="0.7" right="0.7" top="0.75" bottom="0.75" header="0.3" footer="0.3"/>
  <pageSetup scale="6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11FC-B711-440A-99CE-BA6CC9C11E69}">
  <sheetPr>
    <pageSetUpPr fitToPage="1"/>
  </sheetPr>
  <dimension ref="A1:F63"/>
  <sheetViews>
    <sheetView topLeftCell="A33" workbookViewId="0">
      <selection sqref="A1:F61"/>
    </sheetView>
  </sheetViews>
  <sheetFormatPr defaultRowHeight="14.45"/>
  <cols>
    <col min="1" max="1" width="44.28515625" bestFit="1" customWidth="1"/>
    <col min="2" max="2" width="19.42578125" bestFit="1" customWidth="1"/>
    <col min="3" max="3" width="10" customWidth="1"/>
    <col min="4" max="4" width="44.28515625" bestFit="1" customWidth="1"/>
    <col min="5" max="5" width="19.42578125" bestFit="1" customWidth="1"/>
    <col min="6" max="6" width="9.42578125" customWidth="1"/>
  </cols>
  <sheetData>
    <row r="1" spans="1:6">
      <c r="A1" t="s">
        <v>156</v>
      </c>
    </row>
    <row r="3" spans="1:6">
      <c r="A3" s="1" t="s">
        <v>129</v>
      </c>
      <c r="B3" s="40">
        <v>41</v>
      </c>
      <c r="D3" s="1" t="s">
        <v>129</v>
      </c>
      <c r="E3" s="40" t="s">
        <v>130</v>
      </c>
    </row>
    <row r="4" spans="1:6">
      <c r="A4" s="1" t="s">
        <v>1</v>
      </c>
      <c r="B4" s="41" t="s">
        <v>131</v>
      </c>
      <c r="D4" s="1" t="s">
        <v>1</v>
      </c>
      <c r="E4" s="41" t="s">
        <v>132</v>
      </c>
    </row>
    <row r="5" spans="1:6">
      <c r="A5" s="1" t="s">
        <v>133</v>
      </c>
      <c r="B5" s="43">
        <v>16.62</v>
      </c>
      <c r="D5" s="1" t="s">
        <v>133</v>
      </c>
      <c r="E5" s="43">
        <v>14.47</v>
      </c>
    </row>
    <row r="6" spans="1:6">
      <c r="A6" s="1" t="s">
        <v>134</v>
      </c>
      <c r="B6" s="43">
        <v>17.670000000000002</v>
      </c>
      <c r="D6" s="1" t="s">
        <v>134</v>
      </c>
      <c r="E6" s="43">
        <v>14.51</v>
      </c>
    </row>
    <row r="7" spans="1:6">
      <c r="A7" s="1" t="s">
        <v>135</v>
      </c>
      <c r="B7" s="1">
        <v>2</v>
      </c>
      <c r="D7" s="1" t="s">
        <v>135</v>
      </c>
      <c r="E7" s="1">
        <v>2</v>
      </c>
    </row>
    <row r="8" spans="1:6">
      <c r="A8" s="1" t="s">
        <v>136</v>
      </c>
      <c r="B8" s="46">
        <v>15000000</v>
      </c>
      <c r="D8" s="1" t="s">
        <v>136</v>
      </c>
      <c r="E8" s="46">
        <v>6900000</v>
      </c>
    </row>
    <row r="9" spans="1:6">
      <c r="A9" s="1" t="s">
        <v>137</v>
      </c>
      <c r="B9" s="39">
        <f>(100000)/B8</f>
        <v>6.6666666666666671E-3</v>
      </c>
      <c r="D9" s="1" t="s">
        <v>137</v>
      </c>
      <c r="E9" s="39">
        <f>(100000)/E8</f>
        <v>1.4492753623188406E-2</v>
      </c>
    </row>
    <row r="10" spans="1:6">
      <c r="A10" s="1" t="s">
        <v>138</v>
      </c>
      <c r="B10" s="48">
        <f>B9*1000</f>
        <v>6.666666666666667</v>
      </c>
      <c r="D10" s="1" t="s">
        <v>138</v>
      </c>
      <c r="E10" s="48">
        <f>E9*1000</f>
        <v>14.492753623188406</v>
      </c>
      <c r="F10" s="65"/>
    </row>
    <row r="11" spans="1:6">
      <c r="A11" s="1" t="s">
        <v>140</v>
      </c>
      <c r="B11" s="39">
        <f>(B9*B8)/10</f>
        <v>10000</v>
      </c>
      <c r="D11" s="1" t="s">
        <v>140</v>
      </c>
      <c r="E11" s="39">
        <f>(E9*E8)/10</f>
        <v>10000</v>
      </c>
    </row>
    <row r="12" spans="1:6">
      <c r="A12" s="1" t="s">
        <v>141</v>
      </c>
      <c r="B12" s="39">
        <f>(100)/B8</f>
        <v>6.6666666666666666E-6</v>
      </c>
      <c r="D12" s="1" t="s">
        <v>141</v>
      </c>
      <c r="E12" s="39">
        <f>(100)/E8</f>
        <v>1.4492753623188405E-5</v>
      </c>
    </row>
    <row r="13" spans="1:6">
      <c r="A13" s="1" t="s">
        <v>142</v>
      </c>
      <c r="B13" s="39">
        <f>100/EXP((B6*B15*LN(2))+LN(B11))</f>
        <v>1.0501419000102502E-5</v>
      </c>
      <c r="D13" s="1" t="s">
        <v>142</v>
      </c>
      <c r="E13" s="39">
        <f>100/EXP((E6*E15*LN(2))+LN(E11))</f>
        <v>5.2971353770009889E-6</v>
      </c>
    </row>
    <row r="14" spans="1:6">
      <c r="A14" s="1" t="s">
        <v>143</v>
      </c>
      <c r="B14" s="48">
        <f>((LN((10000000)/B11)/LN(2))/B6)</f>
        <v>0.56399458317272699</v>
      </c>
      <c r="D14" s="1" t="s">
        <v>143</v>
      </c>
      <c r="E14" s="48">
        <f>((LN((10000000)/E11)/LN(2))/E6)</f>
        <v>0.68682179770241814</v>
      </c>
    </row>
    <row r="15" spans="1:6">
      <c r="A15" s="1" t="s">
        <v>144</v>
      </c>
      <c r="B15" s="1">
        <v>0.56000000000000005</v>
      </c>
      <c r="C15" s="72" t="s">
        <v>145</v>
      </c>
      <c r="D15" s="1" t="s">
        <v>144</v>
      </c>
      <c r="E15" s="1">
        <v>0.75</v>
      </c>
      <c r="F15" t="s">
        <v>146</v>
      </c>
    </row>
    <row r="16" spans="1:6">
      <c r="A16" s="1" t="s">
        <v>147</v>
      </c>
      <c r="B16" s="1"/>
      <c r="D16" s="1" t="s">
        <v>147</v>
      </c>
      <c r="E16" s="1"/>
    </row>
    <row r="17" spans="1:5">
      <c r="A17" s="1" t="s">
        <v>148</v>
      </c>
      <c r="B17" s="1"/>
      <c r="D17" s="1" t="s">
        <v>148</v>
      </c>
      <c r="E17" s="1"/>
    </row>
    <row r="18" spans="1:5">
      <c r="A18" s="1" t="s">
        <v>149</v>
      </c>
      <c r="B18" s="1">
        <v>4</v>
      </c>
      <c r="D18" s="1" t="s">
        <v>149</v>
      </c>
      <c r="E18" s="1">
        <v>4</v>
      </c>
    </row>
    <row r="19" spans="1:5">
      <c r="A19" s="74" t="s">
        <v>150</v>
      </c>
      <c r="B19" s="49"/>
      <c r="C19" s="62"/>
      <c r="D19" s="74" t="s">
        <v>150</v>
      </c>
      <c r="E19" s="49"/>
    </row>
    <row r="21" spans="1:5">
      <c r="A21" s="1" t="s">
        <v>129</v>
      </c>
      <c r="B21" s="40" t="s">
        <v>90</v>
      </c>
      <c r="D21" s="1" t="s">
        <v>129</v>
      </c>
      <c r="E21" s="40">
        <v>213</v>
      </c>
    </row>
    <row r="22" spans="1:5">
      <c r="A22" s="1" t="s">
        <v>1</v>
      </c>
      <c r="B22" s="41" t="s">
        <v>151</v>
      </c>
      <c r="D22" s="1" t="s">
        <v>1</v>
      </c>
      <c r="E22" s="41" t="s">
        <v>93</v>
      </c>
    </row>
    <row r="23" spans="1:5">
      <c r="A23" s="1" t="s">
        <v>133</v>
      </c>
      <c r="B23" s="43">
        <v>16.43</v>
      </c>
      <c r="D23" s="1" t="s">
        <v>133</v>
      </c>
      <c r="E23" s="43">
        <v>5.08</v>
      </c>
    </row>
    <row r="24" spans="1:5">
      <c r="A24" s="1" t="s">
        <v>134</v>
      </c>
      <c r="B24" s="43">
        <v>19.690000000000001</v>
      </c>
      <c r="D24" s="1" t="s">
        <v>134</v>
      </c>
      <c r="E24" s="43">
        <v>8.3000000000000007</v>
      </c>
    </row>
    <row r="25" spans="1:5">
      <c r="A25" s="1" t="s">
        <v>135</v>
      </c>
      <c r="B25" s="1">
        <v>2</v>
      </c>
      <c r="D25" s="1" t="s">
        <v>135</v>
      </c>
      <c r="E25" s="1">
        <v>2</v>
      </c>
    </row>
    <row r="26" spans="1:5">
      <c r="A26" s="1" t="s">
        <v>136</v>
      </c>
      <c r="B26" s="46">
        <v>2000000</v>
      </c>
      <c r="D26" s="1" t="s">
        <v>136</v>
      </c>
      <c r="E26" s="46">
        <v>362000000</v>
      </c>
    </row>
    <row r="27" spans="1:5">
      <c r="A27" s="1" t="s">
        <v>137</v>
      </c>
      <c r="B27" s="39">
        <f>(100000)/B26</f>
        <v>0.05</v>
      </c>
      <c r="D27" s="1" t="s">
        <v>137</v>
      </c>
      <c r="E27" s="39">
        <f>(100000)/E26</f>
        <v>2.7624309392265195E-4</v>
      </c>
    </row>
    <row r="28" spans="1:5">
      <c r="A28" s="1" t="s">
        <v>138</v>
      </c>
      <c r="B28" s="48">
        <f>B27*1000</f>
        <v>50</v>
      </c>
      <c r="D28" s="1" t="s">
        <v>138</v>
      </c>
      <c r="E28" s="48">
        <f>E27*1000</f>
        <v>0.27624309392265195</v>
      </c>
    </row>
    <row r="29" spans="1:5">
      <c r="A29" s="1" t="s">
        <v>140</v>
      </c>
      <c r="B29" s="39">
        <f>(B27*B26)/10</f>
        <v>10000</v>
      </c>
      <c r="D29" s="1" t="s">
        <v>140</v>
      </c>
      <c r="E29" s="39">
        <f>(E27*E26)/10</f>
        <v>10000.000000000002</v>
      </c>
    </row>
    <row r="30" spans="1:5">
      <c r="A30" s="1" t="s">
        <v>141</v>
      </c>
      <c r="B30" s="39">
        <f>(100)/B26</f>
        <v>5.0000000000000002E-5</v>
      </c>
      <c r="D30" s="1" t="s">
        <v>141</v>
      </c>
      <c r="E30" s="39">
        <f>(100)/E26</f>
        <v>2.7624309392265196E-7</v>
      </c>
    </row>
    <row r="31" spans="1:5">
      <c r="A31" s="1" t="s">
        <v>142</v>
      </c>
      <c r="B31" s="39">
        <f>100/EXP((B24*B33*LN(2))+LN(B29))</f>
        <v>1.0873257990514496E-5</v>
      </c>
      <c r="D31" s="1" t="s">
        <v>142</v>
      </c>
      <c r="E31" s="39">
        <f>100/EXP((E24*E33*LN(2))+LN(E29))</f>
        <v>7.5303262959371927E-6</v>
      </c>
    </row>
    <row r="32" spans="1:5">
      <c r="A32" s="1" t="s">
        <v>143</v>
      </c>
      <c r="B32" s="48">
        <f>((LN((10000000)/B29)/LN(2))/B24)</f>
        <v>0.50613429581828773</v>
      </c>
      <c r="D32" s="1" t="s">
        <v>143</v>
      </c>
      <c r="E32" s="48">
        <f>((LN((10000000)/E29)/LN(2))/E24)</f>
        <v>1.2006969017665163</v>
      </c>
    </row>
    <row r="33" spans="1:6">
      <c r="A33" s="1" t="s">
        <v>144</v>
      </c>
      <c r="B33" s="1">
        <v>0.5</v>
      </c>
      <c r="C33" s="73" t="s">
        <v>157</v>
      </c>
      <c r="D33" s="1" t="s">
        <v>144</v>
      </c>
      <c r="E33" s="1">
        <v>1.25</v>
      </c>
      <c r="F33" s="73" t="s">
        <v>158</v>
      </c>
    </row>
    <row r="34" spans="1:6">
      <c r="A34" s="1" t="s">
        <v>147</v>
      </c>
      <c r="B34" s="1"/>
      <c r="D34" s="1" t="s">
        <v>147</v>
      </c>
      <c r="E34" s="1"/>
    </row>
    <row r="35" spans="1:6">
      <c r="A35" s="1" t="s">
        <v>148</v>
      </c>
      <c r="B35" s="1"/>
      <c r="D35" s="1" t="s">
        <v>148</v>
      </c>
      <c r="E35" s="1"/>
    </row>
    <row r="36" spans="1:6">
      <c r="A36" s="1" t="s">
        <v>149</v>
      </c>
      <c r="B36" s="1">
        <v>4</v>
      </c>
      <c r="D36" s="1" t="s">
        <v>149</v>
      </c>
      <c r="E36" s="1">
        <v>4</v>
      </c>
    </row>
    <row r="37" spans="1:6">
      <c r="A37" s="74" t="s">
        <v>150</v>
      </c>
      <c r="B37" s="49"/>
      <c r="C37" s="62"/>
      <c r="D37" s="74" t="s">
        <v>150</v>
      </c>
      <c r="E37" s="49"/>
      <c r="F37" s="62"/>
    </row>
    <row r="38" spans="1:6">
      <c r="A38" s="50"/>
      <c r="B38" s="6"/>
      <c r="C38" s="62"/>
      <c r="D38" s="4"/>
      <c r="E38" s="6"/>
      <c r="F38" s="62"/>
    </row>
    <row r="39" spans="1:6">
      <c r="A39" s="1" t="s">
        <v>129</v>
      </c>
      <c r="B39" s="40">
        <v>236</v>
      </c>
      <c r="D39" s="1" t="s">
        <v>129</v>
      </c>
      <c r="E39" s="40">
        <v>216</v>
      </c>
    </row>
    <row r="40" spans="1:6">
      <c r="A40" s="1" t="s">
        <v>1</v>
      </c>
      <c r="B40" s="41" t="s">
        <v>94</v>
      </c>
      <c r="D40" s="1" t="s">
        <v>1</v>
      </c>
      <c r="E40" s="41" t="s">
        <v>95</v>
      </c>
    </row>
    <row r="41" spans="1:6">
      <c r="A41" s="1" t="s">
        <v>133</v>
      </c>
      <c r="B41" s="43">
        <v>3.99</v>
      </c>
      <c r="D41" s="1" t="s">
        <v>133</v>
      </c>
      <c r="E41" s="43">
        <v>9.27</v>
      </c>
    </row>
    <row r="42" spans="1:6">
      <c r="A42" s="1" t="s">
        <v>134</v>
      </c>
      <c r="B42" s="43">
        <v>6.27</v>
      </c>
      <c r="D42" s="1" t="s">
        <v>134</v>
      </c>
      <c r="E42" s="43">
        <v>11.88</v>
      </c>
    </row>
    <row r="43" spans="1:6">
      <c r="A43" s="1" t="s">
        <v>135</v>
      </c>
      <c r="B43" s="1">
        <v>2</v>
      </c>
      <c r="D43" s="1" t="s">
        <v>135</v>
      </c>
      <c r="E43" s="1">
        <v>2</v>
      </c>
    </row>
    <row r="44" spans="1:6">
      <c r="A44" s="1" t="s">
        <v>136</v>
      </c>
      <c r="B44" s="46">
        <v>30600000</v>
      </c>
      <c r="D44" s="1" t="s">
        <v>136</v>
      </c>
      <c r="E44" s="46">
        <v>10800000</v>
      </c>
    </row>
    <row r="45" spans="1:6">
      <c r="A45" s="1" t="s">
        <v>137</v>
      </c>
      <c r="B45" s="39">
        <f>(100000)/B44</f>
        <v>3.2679738562091504E-3</v>
      </c>
      <c r="D45" s="1" t="s">
        <v>137</v>
      </c>
      <c r="E45" s="39">
        <f>(100000)/E44</f>
        <v>9.2592592592592587E-3</v>
      </c>
    </row>
    <row r="46" spans="1:6">
      <c r="A46" s="1" t="s">
        <v>138</v>
      </c>
      <c r="B46" s="48">
        <f>B45*1000</f>
        <v>3.2679738562091503</v>
      </c>
      <c r="D46" s="1" t="s">
        <v>138</v>
      </c>
      <c r="E46" s="48">
        <f>E45*1000</f>
        <v>9.2592592592592595</v>
      </c>
    </row>
    <row r="47" spans="1:6">
      <c r="A47" s="1" t="s">
        <v>140</v>
      </c>
      <c r="B47" s="39">
        <f>(B45*B44)/10</f>
        <v>10000</v>
      </c>
      <c r="D47" s="1" t="s">
        <v>140</v>
      </c>
      <c r="E47" s="39">
        <f>(E45*E44)/10</f>
        <v>10000</v>
      </c>
    </row>
    <row r="48" spans="1:6">
      <c r="A48" s="1" t="s">
        <v>141</v>
      </c>
      <c r="B48" s="39">
        <f>(100)/B44</f>
        <v>3.2679738562091501E-6</v>
      </c>
      <c r="D48" s="1" t="s">
        <v>141</v>
      </c>
      <c r="E48" s="39">
        <f>(100)/E44</f>
        <v>9.2592592592592591E-6</v>
      </c>
    </row>
    <row r="49" spans="1:6">
      <c r="A49" s="1" t="s">
        <v>142</v>
      </c>
      <c r="B49" s="39">
        <f>100/EXP((B42*B51*LN(2))+LN(B47))</f>
        <v>9.5514011078841682E-6</v>
      </c>
      <c r="D49" s="1" t="s">
        <v>142</v>
      </c>
      <c r="E49" s="39">
        <f>100/EXP((E42*E51*LN(2))+LN(E47))</f>
        <v>9.9074403733760437E-6</v>
      </c>
    </row>
    <row r="50" spans="1:6">
      <c r="A50" s="1" t="s">
        <v>143</v>
      </c>
      <c r="B50" s="48">
        <f>((LN((10000000)/B47)/LN(2))/B42)</f>
        <v>1.5894392798504127</v>
      </c>
      <c r="D50" s="1" t="s">
        <v>143</v>
      </c>
      <c r="E50" s="48">
        <f>((LN((10000000)/E47)/LN(2))/E42)</f>
        <v>0.83887073103216214</v>
      </c>
    </row>
    <row r="51" spans="1:6">
      <c r="A51" s="1" t="s">
        <v>144</v>
      </c>
      <c r="B51" s="1">
        <v>1.6</v>
      </c>
      <c r="C51" t="s">
        <v>159</v>
      </c>
      <c r="D51" s="1" t="s">
        <v>144</v>
      </c>
      <c r="E51" s="1">
        <v>0.84</v>
      </c>
      <c r="F51" t="s">
        <v>160</v>
      </c>
    </row>
    <row r="52" spans="1:6">
      <c r="A52" s="1" t="s">
        <v>147</v>
      </c>
      <c r="B52" s="1"/>
      <c r="D52" s="1" t="s">
        <v>147</v>
      </c>
      <c r="E52" s="1"/>
    </row>
    <row r="53" spans="1:6">
      <c r="A53" s="1" t="s">
        <v>148</v>
      </c>
      <c r="B53" s="1"/>
      <c r="D53" s="1" t="s">
        <v>148</v>
      </c>
      <c r="E53" s="1"/>
    </row>
    <row r="54" spans="1:6">
      <c r="A54" s="1" t="s">
        <v>149</v>
      </c>
      <c r="B54" s="1">
        <v>4</v>
      </c>
      <c r="D54" s="1" t="s">
        <v>149</v>
      </c>
      <c r="E54" s="1">
        <v>4</v>
      </c>
    </row>
    <row r="55" spans="1:6">
      <c r="A55" s="74" t="s">
        <v>150</v>
      </c>
      <c r="B55" s="49"/>
      <c r="D55" s="74" t="s">
        <v>150</v>
      </c>
      <c r="E55" s="49"/>
    </row>
    <row r="56" spans="1:6">
      <c r="A56" s="7"/>
      <c r="B56" s="7"/>
      <c r="C56" s="7"/>
      <c r="D56" s="7"/>
      <c r="E56" s="7"/>
      <c r="F56" s="7"/>
    </row>
    <row r="57" spans="1:6">
      <c r="A57" s="7"/>
      <c r="B57" s="42" t="s">
        <v>155</v>
      </c>
      <c r="C57" s="7"/>
      <c r="D57" s="7"/>
      <c r="E57" s="7"/>
      <c r="F57" s="7"/>
    </row>
    <row r="58" spans="1:6">
      <c r="A58" s="7"/>
      <c r="B58" s="44">
        <v>9.9999999999999995E-7</v>
      </c>
      <c r="C58" s="7"/>
      <c r="D58" s="7"/>
      <c r="E58" s="7"/>
      <c r="F58" s="7"/>
    </row>
    <row r="59" spans="1:6">
      <c r="A59" s="7"/>
      <c r="B59" s="44">
        <v>5.0000000000000004E-6</v>
      </c>
      <c r="C59" s="7"/>
      <c r="D59" s="7"/>
      <c r="E59" s="7"/>
      <c r="F59" s="7"/>
    </row>
    <row r="60" spans="1:6">
      <c r="A60" s="7"/>
      <c r="B60" s="45">
        <v>1.0000000000000001E-5</v>
      </c>
      <c r="C60" s="7"/>
      <c r="D60" s="7"/>
      <c r="E60" s="7"/>
      <c r="F60" s="7"/>
    </row>
    <row r="61" spans="1:6">
      <c r="A61" s="7"/>
      <c r="B61" s="47">
        <v>5.0000000000000002E-5</v>
      </c>
      <c r="C61" s="7"/>
      <c r="D61" s="7"/>
      <c r="E61" s="7"/>
      <c r="F61" s="7"/>
    </row>
    <row r="62" spans="1:6">
      <c r="A62" s="27"/>
      <c r="C62" s="27"/>
      <c r="D62" s="7"/>
      <c r="E62" s="7"/>
      <c r="F62" s="7"/>
    </row>
    <row r="63" spans="1:6">
      <c r="A63" s="14"/>
      <c r="B63" s="4"/>
      <c r="C63" s="13"/>
      <c r="D63" s="7"/>
      <c r="E63" s="7"/>
      <c r="F63" s="7"/>
    </row>
  </sheetData>
  <pageMargins left="0.7" right="0.7" top="0.75" bottom="0.75" header="0.3" footer="0.3"/>
  <pageSetup scale="61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8275-6153-4CB2-94D9-727514D2C834}">
  <sheetPr>
    <pageSetUpPr fitToPage="1"/>
  </sheetPr>
  <dimension ref="A1:F61"/>
  <sheetViews>
    <sheetView topLeftCell="A33" workbookViewId="0">
      <selection sqref="A1:F61"/>
    </sheetView>
  </sheetViews>
  <sheetFormatPr defaultRowHeight="14.45"/>
  <cols>
    <col min="1" max="1" width="44.28515625" bestFit="1" customWidth="1"/>
    <col min="2" max="2" width="19.42578125" bestFit="1" customWidth="1"/>
    <col min="3" max="3" width="10" customWidth="1"/>
    <col min="4" max="4" width="44.28515625" bestFit="1" customWidth="1"/>
    <col min="5" max="5" width="19.42578125" bestFit="1" customWidth="1"/>
    <col min="6" max="6" width="12.7109375" customWidth="1"/>
  </cols>
  <sheetData>
    <row r="1" spans="1:6">
      <c r="A1" t="s">
        <v>161</v>
      </c>
    </row>
    <row r="3" spans="1:6">
      <c r="A3" s="1" t="s">
        <v>129</v>
      </c>
      <c r="B3" s="40">
        <v>41</v>
      </c>
      <c r="D3" s="1" t="s">
        <v>129</v>
      </c>
      <c r="E3" s="40" t="s">
        <v>130</v>
      </c>
    </row>
    <row r="4" spans="1:6">
      <c r="A4" s="1" t="s">
        <v>1</v>
      </c>
      <c r="B4" s="41" t="s">
        <v>131</v>
      </c>
      <c r="D4" s="1" t="s">
        <v>1</v>
      </c>
      <c r="E4" s="41" t="s">
        <v>132</v>
      </c>
    </row>
    <row r="5" spans="1:6">
      <c r="A5" s="1" t="s">
        <v>133</v>
      </c>
      <c r="B5" s="43">
        <v>16.62</v>
      </c>
      <c r="D5" s="1" t="s">
        <v>133</v>
      </c>
      <c r="E5" s="43">
        <v>14.47</v>
      </c>
    </row>
    <row r="6" spans="1:6">
      <c r="A6" s="1" t="s">
        <v>134</v>
      </c>
      <c r="B6" s="43">
        <v>19.46</v>
      </c>
      <c r="D6" s="1" t="s">
        <v>134</v>
      </c>
      <c r="E6" s="43">
        <v>13.98</v>
      </c>
    </row>
    <row r="7" spans="1:6">
      <c r="A7" s="1" t="s">
        <v>135</v>
      </c>
      <c r="B7" s="1">
        <v>3</v>
      </c>
      <c r="D7" s="1" t="s">
        <v>135</v>
      </c>
      <c r="E7" s="1">
        <v>2</v>
      </c>
    </row>
    <row r="8" spans="1:6">
      <c r="A8" s="1" t="s">
        <v>136</v>
      </c>
      <c r="B8" s="46">
        <v>33200000</v>
      </c>
      <c r="D8" s="1" t="s">
        <v>136</v>
      </c>
      <c r="E8" s="46">
        <v>14100000</v>
      </c>
    </row>
    <row r="9" spans="1:6">
      <c r="A9" s="1" t="s">
        <v>137</v>
      </c>
      <c r="B9" s="39">
        <f>(100000)/B8</f>
        <v>3.0120481927710845E-3</v>
      </c>
      <c r="D9" s="1" t="s">
        <v>137</v>
      </c>
      <c r="E9" s="39">
        <f>(100000)/E8</f>
        <v>7.0921985815602835E-3</v>
      </c>
    </row>
    <row r="10" spans="1:6">
      <c r="A10" s="1" t="s">
        <v>138</v>
      </c>
      <c r="B10" s="48">
        <f>B9*1000</f>
        <v>3.0120481927710845</v>
      </c>
      <c r="D10" s="1" t="s">
        <v>138</v>
      </c>
      <c r="E10" s="48">
        <f>E9*1000</f>
        <v>7.0921985815602833</v>
      </c>
      <c r="F10" s="65"/>
    </row>
    <row r="11" spans="1:6">
      <c r="A11" s="1" t="s">
        <v>140</v>
      </c>
      <c r="B11" s="39">
        <f>(B9*B8)/10</f>
        <v>10000</v>
      </c>
      <c r="D11" s="1" t="s">
        <v>140</v>
      </c>
      <c r="E11" s="39">
        <f>(E9*E8)/10</f>
        <v>10000</v>
      </c>
    </row>
    <row r="12" spans="1:6">
      <c r="A12" s="1" t="s">
        <v>141</v>
      </c>
      <c r="B12" s="39">
        <f>(100)/B8</f>
        <v>3.0120481927710842E-6</v>
      </c>
      <c r="D12" s="1" t="s">
        <v>141</v>
      </c>
      <c r="E12" s="39">
        <f>(100)/E8</f>
        <v>7.0921985815602838E-6</v>
      </c>
    </row>
    <row r="13" spans="1:6">
      <c r="A13" s="1" t="s">
        <v>142</v>
      </c>
      <c r="B13" s="39">
        <f>100/EXP((B6*B15*LN(2))+LN(B11))</f>
        <v>3.0561436978857308E-6</v>
      </c>
      <c r="D13" s="1" t="s">
        <v>142</v>
      </c>
      <c r="E13" s="39">
        <f>100/EXP((E6*E15*LN(2))+LN(E11))</f>
        <v>6.9775104479545494E-6</v>
      </c>
    </row>
    <row r="14" spans="1:6">
      <c r="A14" s="1" t="s">
        <v>143</v>
      </c>
      <c r="B14" s="48">
        <f>((LN((10000000)/B11)/LN(2))/B6)</f>
        <v>0.51211635584080606</v>
      </c>
      <c r="D14" s="1" t="s">
        <v>143</v>
      </c>
      <c r="E14" s="48">
        <f>((LN((10000000)/E11)/LN(2))/E6)</f>
        <v>0.71286010619900475</v>
      </c>
    </row>
    <row r="15" spans="1:6">
      <c r="A15" s="1" t="s">
        <v>144</v>
      </c>
      <c r="B15" s="1">
        <v>0.6</v>
      </c>
      <c r="C15" s="72" t="s">
        <v>145</v>
      </c>
      <c r="D15" s="1" t="s">
        <v>144</v>
      </c>
      <c r="E15" s="1">
        <v>0.75</v>
      </c>
      <c r="F15" t="s">
        <v>146</v>
      </c>
    </row>
    <row r="16" spans="1:6">
      <c r="A16" s="1" t="s">
        <v>147</v>
      </c>
      <c r="B16" s="1"/>
      <c r="D16" s="1" t="s">
        <v>147</v>
      </c>
      <c r="E16" s="1"/>
    </row>
    <row r="17" spans="1:6">
      <c r="A17" s="1" t="s">
        <v>148</v>
      </c>
      <c r="B17" s="1"/>
      <c r="D17" s="1" t="s">
        <v>148</v>
      </c>
      <c r="E17" s="1"/>
    </row>
    <row r="18" spans="1:6">
      <c r="A18" s="1" t="s">
        <v>149</v>
      </c>
      <c r="B18" s="1"/>
      <c r="D18" s="1" t="s">
        <v>149</v>
      </c>
      <c r="E18" s="1"/>
    </row>
    <row r="19" spans="1:6">
      <c r="A19" s="74" t="s">
        <v>150</v>
      </c>
      <c r="B19" s="49"/>
      <c r="C19" s="62"/>
      <c r="D19" s="74" t="s">
        <v>150</v>
      </c>
      <c r="E19" s="49"/>
    </row>
    <row r="21" spans="1:6">
      <c r="A21" s="1" t="s">
        <v>129</v>
      </c>
      <c r="B21" s="40" t="s">
        <v>90</v>
      </c>
      <c r="D21" s="1" t="s">
        <v>129</v>
      </c>
      <c r="E21" s="40">
        <v>213</v>
      </c>
    </row>
    <row r="22" spans="1:6">
      <c r="A22" s="1" t="s">
        <v>1</v>
      </c>
      <c r="B22" s="41" t="s">
        <v>151</v>
      </c>
      <c r="D22" s="1" t="s">
        <v>1</v>
      </c>
      <c r="E22" s="41" t="s">
        <v>93</v>
      </c>
    </row>
    <row r="23" spans="1:6">
      <c r="A23" s="1" t="s">
        <v>133</v>
      </c>
      <c r="B23" s="43">
        <v>16.43</v>
      </c>
      <c r="D23" s="1" t="s">
        <v>133</v>
      </c>
      <c r="E23" s="43">
        <v>5.08</v>
      </c>
    </row>
    <row r="24" spans="1:6">
      <c r="A24" s="1" t="s">
        <v>134</v>
      </c>
      <c r="B24" s="43">
        <v>16.8</v>
      </c>
      <c r="D24" s="1" t="s">
        <v>134</v>
      </c>
      <c r="E24" s="43">
        <v>10.01</v>
      </c>
    </row>
    <row r="25" spans="1:6">
      <c r="A25" s="1" t="s">
        <v>135</v>
      </c>
      <c r="B25" s="1">
        <v>3</v>
      </c>
      <c r="D25" s="1" t="s">
        <v>135</v>
      </c>
      <c r="E25" s="1">
        <v>3</v>
      </c>
    </row>
    <row r="26" spans="1:6">
      <c r="A26" s="1" t="s">
        <v>136</v>
      </c>
      <c r="B26" s="46">
        <v>2060000</v>
      </c>
      <c r="D26" s="1" t="s">
        <v>136</v>
      </c>
      <c r="E26" s="46">
        <v>585000000</v>
      </c>
    </row>
    <row r="27" spans="1:6">
      <c r="A27" s="1" t="s">
        <v>137</v>
      </c>
      <c r="B27" s="39">
        <f>(100000)/B26</f>
        <v>4.8543689320388349E-2</v>
      </c>
      <c r="D27" s="1" t="s">
        <v>137</v>
      </c>
      <c r="E27" s="39">
        <f>(100000)/E26</f>
        <v>1.7094017094017094E-4</v>
      </c>
    </row>
    <row r="28" spans="1:6">
      <c r="A28" s="1" t="s">
        <v>138</v>
      </c>
      <c r="B28" s="48">
        <f>B27*1000</f>
        <v>48.543689320388346</v>
      </c>
      <c r="D28" s="1" t="s">
        <v>138</v>
      </c>
      <c r="E28" s="48">
        <f>E27*1000</f>
        <v>0.17094017094017094</v>
      </c>
      <c r="F28" t="s">
        <v>162</v>
      </c>
    </row>
    <row r="29" spans="1:6">
      <c r="A29" s="1" t="s">
        <v>140</v>
      </c>
      <c r="B29" s="39">
        <f>(B27*B26)/10</f>
        <v>10000</v>
      </c>
      <c r="D29" s="1" t="s">
        <v>140</v>
      </c>
      <c r="E29" s="39">
        <f>(E27*E26)/10</f>
        <v>10000</v>
      </c>
    </row>
    <row r="30" spans="1:6">
      <c r="A30" s="1" t="s">
        <v>141</v>
      </c>
      <c r="B30" s="39">
        <f>(100)/B26</f>
        <v>4.8543689320388353E-5</v>
      </c>
      <c r="D30" s="1" t="s">
        <v>141</v>
      </c>
      <c r="E30" s="39">
        <f>(100)/E26</f>
        <v>1.7094017094017095E-7</v>
      </c>
    </row>
    <row r="31" spans="1:6">
      <c r="A31" s="1" t="s">
        <v>142</v>
      </c>
      <c r="B31" s="39">
        <f>100/EXP((B24*B33*LN(2))+LN(B29))</f>
        <v>9.238844206304643E-6</v>
      </c>
      <c r="D31" s="1" t="s">
        <v>142</v>
      </c>
      <c r="E31" s="39">
        <f>100/EXP((E24*E33*LN(2))+LN(E29))</f>
        <v>9.698168900752311E-6</v>
      </c>
    </row>
    <row r="32" spans="1:6">
      <c r="A32" s="1" t="s">
        <v>143</v>
      </c>
      <c r="B32" s="48">
        <f>((LN((10000000)/B29)/LN(2))/B24)</f>
        <v>0.59320144551560039</v>
      </c>
      <c r="D32" s="1" t="s">
        <v>143</v>
      </c>
      <c r="E32" s="48">
        <f>((LN((10000000)/E29)/LN(2))/E24)</f>
        <v>0.99558284562058819</v>
      </c>
    </row>
    <row r="33" spans="1:6">
      <c r="A33" s="1" t="s">
        <v>144</v>
      </c>
      <c r="B33" s="1">
        <v>0.6</v>
      </c>
      <c r="C33" s="73" t="s">
        <v>145</v>
      </c>
      <c r="D33" s="1" t="s">
        <v>144</v>
      </c>
      <c r="E33" s="1">
        <v>1</v>
      </c>
      <c r="F33" s="73" t="s">
        <v>154</v>
      </c>
    </row>
    <row r="34" spans="1:6">
      <c r="A34" s="1" t="s">
        <v>147</v>
      </c>
      <c r="B34" s="1"/>
      <c r="D34" s="1" t="s">
        <v>147</v>
      </c>
      <c r="E34" s="1"/>
    </row>
    <row r="35" spans="1:6">
      <c r="A35" s="1" t="s">
        <v>148</v>
      </c>
      <c r="B35" s="1"/>
      <c r="D35" s="1" t="s">
        <v>148</v>
      </c>
      <c r="E35" s="1"/>
    </row>
    <row r="36" spans="1:6">
      <c r="A36" s="1" t="s">
        <v>149</v>
      </c>
      <c r="B36" s="1"/>
      <c r="D36" s="1" t="s">
        <v>149</v>
      </c>
      <c r="E36" s="1"/>
    </row>
    <row r="37" spans="1:6">
      <c r="A37" s="74" t="s">
        <v>150</v>
      </c>
      <c r="B37" s="49"/>
      <c r="C37" s="62"/>
      <c r="D37" s="74" t="s">
        <v>150</v>
      </c>
      <c r="E37" s="49"/>
      <c r="F37" s="62"/>
    </row>
    <row r="38" spans="1:6">
      <c r="A38" s="50"/>
      <c r="B38" s="6"/>
      <c r="C38" s="62"/>
      <c r="D38" s="4"/>
      <c r="E38" s="6"/>
      <c r="F38" s="62"/>
    </row>
    <row r="39" spans="1:6">
      <c r="A39" s="1" t="s">
        <v>129</v>
      </c>
      <c r="B39" s="40">
        <v>236</v>
      </c>
      <c r="D39" s="1" t="s">
        <v>129</v>
      </c>
      <c r="E39" s="40">
        <v>216</v>
      </c>
    </row>
    <row r="40" spans="1:6">
      <c r="A40" s="1" t="s">
        <v>1</v>
      </c>
      <c r="B40" s="41" t="s">
        <v>94</v>
      </c>
      <c r="D40" s="1" t="s">
        <v>1</v>
      </c>
      <c r="E40" s="41" t="s">
        <v>95</v>
      </c>
    </row>
    <row r="41" spans="1:6">
      <c r="A41" s="1" t="s">
        <v>133</v>
      </c>
      <c r="B41" s="43">
        <v>3.99</v>
      </c>
      <c r="D41" s="1" t="s">
        <v>133</v>
      </c>
      <c r="E41" s="43">
        <v>9.27</v>
      </c>
    </row>
    <row r="42" spans="1:6">
      <c r="A42" s="1" t="s">
        <v>134</v>
      </c>
      <c r="B42" s="43">
        <v>8.19</v>
      </c>
      <c r="D42" s="1" t="s">
        <v>134</v>
      </c>
      <c r="E42" s="43">
        <v>11.35</v>
      </c>
    </row>
    <row r="43" spans="1:6">
      <c r="A43" s="1" t="s">
        <v>135</v>
      </c>
      <c r="B43" s="1">
        <v>3</v>
      </c>
      <c r="D43" s="1" t="s">
        <v>135</v>
      </c>
      <c r="E43" s="1">
        <v>3</v>
      </c>
    </row>
    <row r="44" spans="1:6">
      <c r="A44" s="1" t="s">
        <v>136</v>
      </c>
      <c r="B44" s="46">
        <v>17300000</v>
      </c>
      <c r="D44" s="1" t="s">
        <v>136</v>
      </c>
      <c r="E44" s="46">
        <v>4900000</v>
      </c>
    </row>
    <row r="45" spans="1:6">
      <c r="A45" s="1" t="s">
        <v>137</v>
      </c>
      <c r="B45" s="39">
        <f>(100000)/B44</f>
        <v>5.7803468208092483E-3</v>
      </c>
      <c r="D45" s="1" t="s">
        <v>137</v>
      </c>
      <c r="E45" s="39">
        <f>(100000)/E44</f>
        <v>2.0408163265306121E-2</v>
      </c>
    </row>
    <row r="46" spans="1:6">
      <c r="A46" s="1" t="s">
        <v>138</v>
      </c>
      <c r="B46" s="48">
        <f>B45*1000</f>
        <v>5.7803468208092479</v>
      </c>
      <c r="D46" s="1" t="s">
        <v>138</v>
      </c>
      <c r="E46" s="48">
        <f>E45*1000</f>
        <v>20.408163265306122</v>
      </c>
    </row>
    <row r="47" spans="1:6">
      <c r="A47" s="1" t="s">
        <v>140</v>
      </c>
      <c r="B47" s="39">
        <f>(B45*B44)/10</f>
        <v>10000</v>
      </c>
      <c r="D47" s="1" t="s">
        <v>140</v>
      </c>
      <c r="E47" s="39">
        <f>(E45*E44)/10</f>
        <v>9999.9999999999982</v>
      </c>
    </row>
    <row r="48" spans="1:6">
      <c r="A48" s="1" t="s">
        <v>141</v>
      </c>
      <c r="B48" s="39">
        <f>(100)/B44</f>
        <v>5.7803468208092489E-6</v>
      </c>
      <c r="D48" s="1" t="s">
        <v>141</v>
      </c>
      <c r="E48" s="39">
        <f>(100)/E44</f>
        <v>2.0408163265306123E-5</v>
      </c>
    </row>
    <row r="49" spans="1:6">
      <c r="A49" s="1" t="s">
        <v>142</v>
      </c>
      <c r="B49" s="39">
        <f>100/EXP((B42*B51*LN(2))+LN(B47))</f>
        <v>8.2833386936392223E-6</v>
      </c>
      <c r="D49" s="1" t="s">
        <v>142</v>
      </c>
      <c r="E49" s="39">
        <f>100/EXP((E42*E51*LN(2))+LN(E47))</f>
        <v>3.8309770405114867E-6</v>
      </c>
    </row>
    <row r="50" spans="1:6">
      <c r="A50" s="1" t="s">
        <v>143</v>
      </c>
      <c r="B50" s="48">
        <f>((LN((10000000)/B47)/LN(2))/B42)</f>
        <v>1.2168234779807188</v>
      </c>
      <c r="D50" s="1" t="s">
        <v>143</v>
      </c>
      <c r="E50" s="48">
        <f>((LN((10000000)/E47)/LN(2))/E42)</f>
        <v>0.87804266825216648</v>
      </c>
    </row>
    <row r="51" spans="1:6">
      <c r="A51" s="1" t="s">
        <v>144</v>
      </c>
      <c r="B51" s="1">
        <v>1.25</v>
      </c>
      <c r="C51" t="s">
        <v>158</v>
      </c>
      <c r="D51" s="1" t="s">
        <v>144</v>
      </c>
      <c r="E51" s="1">
        <v>1</v>
      </c>
      <c r="F51" t="s">
        <v>154</v>
      </c>
    </row>
    <row r="52" spans="1:6">
      <c r="A52" s="1" t="s">
        <v>147</v>
      </c>
      <c r="B52" s="1"/>
      <c r="D52" s="1" t="s">
        <v>147</v>
      </c>
      <c r="E52" s="1"/>
    </row>
    <row r="53" spans="1:6">
      <c r="A53" s="1" t="s">
        <v>148</v>
      </c>
      <c r="B53" s="1"/>
      <c r="D53" s="1" t="s">
        <v>148</v>
      </c>
      <c r="E53" s="1"/>
    </row>
    <row r="54" spans="1:6">
      <c r="A54" s="1" t="s">
        <v>149</v>
      </c>
      <c r="B54" s="1"/>
      <c r="D54" s="1" t="s">
        <v>149</v>
      </c>
      <c r="E54" s="1"/>
    </row>
    <row r="55" spans="1:6">
      <c r="A55" s="74" t="s">
        <v>150</v>
      </c>
      <c r="B55" s="49"/>
      <c r="D55" s="74" t="s">
        <v>150</v>
      </c>
      <c r="E55" s="49"/>
    </row>
    <row r="56" spans="1:6">
      <c r="A56" s="7"/>
      <c r="B56" s="7"/>
      <c r="C56" s="7"/>
      <c r="D56" s="7"/>
      <c r="E56" s="7"/>
      <c r="F56" s="7"/>
    </row>
    <row r="57" spans="1:6">
      <c r="A57" s="7"/>
      <c r="B57" s="42" t="s">
        <v>155</v>
      </c>
      <c r="C57" s="7"/>
      <c r="D57" s="7"/>
      <c r="E57" s="7"/>
      <c r="F57" s="7"/>
    </row>
    <row r="58" spans="1:6">
      <c r="A58" s="7"/>
      <c r="B58" s="44">
        <v>9.9999999999999995E-7</v>
      </c>
      <c r="C58" s="7"/>
      <c r="D58" s="7"/>
      <c r="E58" s="7"/>
      <c r="F58" s="7"/>
    </row>
    <row r="59" spans="1:6">
      <c r="A59" s="7"/>
      <c r="B59" s="44">
        <v>5.0000000000000004E-6</v>
      </c>
      <c r="C59" s="7"/>
      <c r="D59" s="7"/>
      <c r="E59" s="7"/>
      <c r="F59" s="7"/>
    </row>
    <row r="60" spans="1:6">
      <c r="A60" s="7"/>
      <c r="B60" s="45">
        <v>1.0000000000000001E-5</v>
      </c>
      <c r="C60" s="7"/>
      <c r="D60" s="7"/>
      <c r="E60" s="7"/>
      <c r="F60" s="7"/>
    </row>
    <row r="61" spans="1:6">
      <c r="A61" s="7"/>
      <c r="B61" s="47">
        <v>5.0000000000000002E-5</v>
      </c>
      <c r="C61" s="7"/>
      <c r="D61" s="7"/>
      <c r="E61" s="7"/>
      <c r="F61" s="7"/>
    </row>
  </sheetData>
  <pageMargins left="0.7" right="0.7" top="0.75" bottom="0.75" header="0.3" footer="0.3"/>
  <pageSetup scale="6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63873-0450-44F7-8A3E-D3A6C6BED8EA}">
  <sheetPr>
    <pageSetUpPr fitToPage="1"/>
  </sheetPr>
  <dimension ref="A1:F61"/>
  <sheetViews>
    <sheetView topLeftCell="A12" workbookViewId="0">
      <selection activeCell="E27" sqref="E27"/>
    </sheetView>
  </sheetViews>
  <sheetFormatPr defaultRowHeight="14.45"/>
  <cols>
    <col min="1" max="1" width="44.28515625" bestFit="1" customWidth="1"/>
    <col min="2" max="2" width="19.42578125" bestFit="1" customWidth="1"/>
    <col min="3" max="3" width="10" customWidth="1"/>
    <col min="4" max="4" width="44.28515625" bestFit="1" customWidth="1"/>
    <col min="5" max="5" width="19.42578125" bestFit="1" customWidth="1"/>
    <col min="6" max="6" width="12.7109375" customWidth="1"/>
  </cols>
  <sheetData>
    <row r="1" spans="1:6">
      <c r="A1" t="s">
        <v>163</v>
      </c>
    </row>
    <row r="3" spans="1:6">
      <c r="A3" s="1" t="s">
        <v>129</v>
      </c>
      <c r="B3" s="40">
        <v>41</v>
      </c>
      <c r="D3" s="1" t="s">
        <v>129</v>
      </c>
      <c r="E3" s="40" t="s">
        <v>130</v>
      </c>
    </row>
    <row r="4" spans="1:6">
      <c r="A4" s="1" t="s">
        <v>1</v>
      </c>
      <c r="B4" s="41" t="s">
        <v>131</v>
      </c>
      <c r="D4" s="1" t="s">
        <v>1</v>
      </c>
      <c r="E4" s="41" t="s">
        <v>132</v>
      </c>
    </row>
    <row r="5" spans="1:6">
      <c r="A5" s="1" t="s">
        <v>133</v>
      </c>
      <c r="B5" s="43">
        <v>16.62</v>
      </c>
      <c r="D5" s="1" t="s">
        <v>133</v>
      </c>
      <c r="E5" s="43">
        <v>14.47</v>
      </c>
    </row>
    <row r="6" spans="1:6">
      <c r="A6" s="1" t="s">
        <v>134</v>
      </c>
      <c r="B6" s="43">
        <v>20.5</v>
      </c>
      <c r="D6" s="1" t="s">
        <v>134</v>
      </c>
      <c r="E6" s="43">
        <v>16.27</v>
      </c>
    </row>
    <row r="7" spans="1:6">
      <c r="A7" s="1" t="s">
        <v>135</v>
      </c>
      <c r="B7" s="1">
        <v>4</v>
      </c>
      <c r="D7" s="1" t="s">
        <v>135</v>
      </c>
      <c r="E7" s="1">
        <v>4</v>
      </c>
    </row>
    <row r="8" spans="1:6">
      <c r="A8" s="1" t="s">
        <v>136</v>
      </c>
      <c r="B8" s="46">
        <v>49000000</v>
      </c>
      <c r="D8" s="1" t="s">
        <v>136</v>
      </c>
      <c r="E8" s="46">
        <v>36400000</v>
      </c>
    </row>
    <row r="9" spans="1:6">
      <c r="A9" s="1" t="s">
        <v>137</v>
      </c>
      <c r="B9" s="39">
        <f>(100000)/B8</f>
        <v>2.0408163265306124E-3</v>
      </c>
      <c r="D9" s="1" t="s">
        <v>137</v>
      </c>
      <c r="E9" s="39">
        <f>(100000)/E8</f>
        <v>2.7472527472527475E-3</v>
      </c>
    </row>
    <row r="10" spans="1:6">
      <c r="A10" s="1" t="s">
        <v>138</v>
      </c>
      <c r="B10" s="48">
        <f>B9*1000</f>
        <v>2.0408163265306123</v>
      </c>
      <c r="D10" s="1" t="s">
        <v>138</v>
      </c>
      <c r="E10" s="48">
        <f>E9*1000</f>
        <v>2.7472527472527473</v>
      </c>
      <c r="F10" s="65"/>
    </row>
    <row r="11" spans="1:6">
      <c r="A11" s="1" t="s">
        <v>140</v>
      </c>
      <c r="B11" s="39">
        <f>(B9*B8)/10</f>
        <v>10000.000000000002</v>
      </c>
      <c r="D11" s="1" t="s">
        <v>140</v>
      </c>
      <c r="E11" s="39">
        <f>(E9*E8)/10</f>
        <v>10000.000000000002</v>
      </c>
    </row>
    <row r="12" spans="1:6">
      <c r="A12" s="1" t="s">
        <v>141</v>
      </c>
      <c r="B12" s="39">
        <f>(100)/B8</f>
        <v>2.0408163265306121E-6</v>
      </c>
      <c r="D12" s="1" t="s">
        <v>141</v>
      </c>
      <c r="E12" s="39">
        <f>(100)/E8</f>
        <v>2.7472527472527472E-6</v>
      </c>
    </row>
    <row r="13" spans="1:6">
      <c r="A13" s="1" t="s">
        <v>142</v>
      </c>
      <c r="B13" s="39">
        <f>100/EXP((B6*B15*LN(2))+LN(B11))</f>
        <v>1.9830380770415955E-6</v>
      </c>
      <c r="D13" s="1" t="s">
        <v>142</v>
      </c>
      <c r="E13" s="39">
        <f>100/EXP((E6*E15*LN(2))+LN(E11))</f>
        <v>1.1517154221300943E-5</v>
      </c>
    </row>
    <row r="14" spans="1:6">
      <c r="A14" s="1" t="s">
        <v>143</v>
      </c>
      <c r="B14" s="48">
        <f>((LN((10000000)/B11)/LN(2))/B6)</f>
        <v>0.48613581876400425</v>
      </c>
      <c r="D14" s="1" t="s">
        <v>143</v>
      </c>
      <c r="E14" s="48">
        <f>((LN((10000000)/E11)/LN(2))/E6)</f>
        <v>0.61252515578746691</v>
      </c>
    </row>
    <row r="15" spans="1:6">
      <c r="A15" s="1" t="s">
        <v>144</v>
      </c>
      <c r="B15" s="1">
        <v>0.6</v>
      </c>
      <c r="C15" s="72" t="s">
        <v>145</v>
      </c>
      <c r="D15" s="1" t="s">
        <v>144</v>
      </c>
      <c r="E15" s="1">
        <v>0.6</v>
      </c>
      <c r="F15" t="s">
        <v>145</v>
      </c>
    </row>
    <row r="16" spans="1:6">
      <c r="A16" s="1" t="s">
        <v>147</v>
      </c>
      <c r="B16" s="1"/>
      <c r="D16" s="1" t="s">
        <v>147</v>
      </c>
      <c r="E16" s="1"/>
    </row>
    <row r="17" spans="1:6">
      <c r="A17" s="1" t="s">
        <v>148</v>
      </c>
      <c r="B17" s="1"/>
      <c r="D17" s="1" t="s">
        <v>148</v>
      </c>
      <c r="E17" s="1"/>
    </row>
    <row r="18" spans="1:6">
      <c r="A18" s="1" t="s">
        <v>149</v>
      </c>
      <c r="B18" s="1"/>
      <c r="D18" s="1" t="s">
        <v>149</v>
      </c>
      <c r="E18" s="1"/>
    </row>
    <row r="19" spans="1:6">
      <c r="A19" s="74" t="s">
        <v>150</v>
      </c>
      <c r="B19" s="49"/>
      <c r="C19" s="62"/>
      <c r="D19" s="74" t="s">
        <v>150</v>
      </c>
      <c r="E19" s="49"/>
    </row>
    <row r="21" spans="1:6">
      <c r="A21" s="1" t="s">
        <v>129</v>
      </c>
      <c r="B21" s="40" t="s">
        <v>90</v>
      </c>
      <c r="D21" s="1" t="s">
        <v>129</v>
      </c>
      <c r="E21" s="40">
        <v>213</v>
      </c>
    </row>
    <row r="22" spans="1:6">
      <c r="A22" s="1" t="s">
        <v>1</v>
      </c>
      <c r="B22" s="41" t="s">
        <v>151</v>
      </c>
      <c r="D22" s="1" t="s">
        <v>1</v>
      </c>
      <c r="E22" s="41" t="s">
        <v>93</v>
      </c>
    </row>
    <row r="23" spans="1:6">
      <c r="A23" s="1" t="s">
        <v>133</v>
      </c>
      <c r="B23" s="43">
        <v>16.43</v>
      </c>
      <c r="D23" s="1" t="s">
        <v>133</v>
      </c>
      <c r="E23" s="43">
        <v>5.08</v>
      </c>
    </row>
    <row r="24" spans="1:6">
      <c r="A24" s="1" t="s">
        <v>134</v>
      </c>
      <c r="B24" s="43">
        <v>20.2</v>
      </c>
      <c r="D24" s="1" t="s">
        <v>134</v>
      </c>
      <c r="E24" s="43">
        <v>14.08</v>
      </c>
    </row>
    <row r="25" spans="1:6">
      <c r="A25" s="1" t="s">
        <v>135</v>
      </c>
      <c r="B25" s="1">
        <v>4</v>
      </c>
      <c r="D25" s="1" t="s">
        <v>135</v>
      </c>
      <c r="E25" s="1">
        <v>4</v>
      </c>
    </row>
    <row r="26" spans="1:6">
      <c r="A26" s="1" t="s">
        <v>136</v>
      </c>
      <c r="B26" s="46">
        <v>37200000</v>
      </c>
      <c r="D26" s="1" t="s">
        <v>136</v>
      </c>
      <c r="E26" s="46">
        <v>216000000</v>
      </c>
    </row>
    <row r="27" spans="1:6">
      <c r="A27" s="1" t="s">
        <v>137</v>
      </c>
      <c r="B27" s="39">
        <f>(100000)/B26</f>
        <v>2.6881720430107529E-3</v>
      </c>
      <c r="D27" s="1" t="s">
        <v>137</v>
      </c>
      <c r="E27" s="39">
        <f>(100000)/E26</f>
        <v>4.6296296296296298E-4</v>
      </c>
    </row>
    <row r="28" spans="1:6">
      <c r="A28" s="1" t="s">
        <v>138</v>
      </c>
      <c r="B28" s="48">
        <f>B27*1000</f>
        <v>2.688172043010753</v>
      </c>
      <c r="D28" s="1" t="s">
        <v>138</v>
      </c>
      <c r="E28" s="48">
        <f>E27*1000</f>
        <v>0.46296296296296297</v>
      </c>
      <c r="F28" t="s">
        <v>164</v>
      </c>
    </row>
    <row r="29" spans="1:6">
      <c r="A29" s="1" t="s">
        <v>140</v>
      </c>
      <c r="B29" s="39">
        <f>(B27*B26)/10</f>
        <v>10000.000000000002</v>
      </c>
      <c r="D29" s="1" t="s">
        <v>140</v>
      </c>
      <c r="E29" s="39">
        <f>(E27*E26)/10</f>
        <v>10000</v>
      </c>
    </row>
    <row r="30" spans="1:6">
      <c r="A30" s="1" t="s">
        <v>141</v>
      </c>
      <c r="B30" s="39">
        <f>(100)/B26</f>
        <v>2.6881720430107525E-6</v>
      </c>
      <c r="D30" s="1" t="s">
        <v>141</v>
      </c>
      <c r="E30" s="39">
        <f>(100)/E26</f>
        <v>4.6296296296296297E-7</v>
      </c>
    </row>
    <row r="31" spans="1:6">
      <c r="A31" s="1" t="s">
        <v>142</v>
      </c>
      <c r="B31" s="39">
        <f>100/EXP((B24*B33*LN(2))+LN(B29))</f>
        <v>2.2465518814083906E-6</v>
      </c>
      <c r="D31" s="1" t="s">
        <v>142</v>
      </c>
      <c r="E31" s="39">
        <f>100/EXP((E24*E33*LN(2))+LN(E29))</f>
        <v>6.6240445676155685E-6</v>
      </c>
    </row>
    <row r="32" spans="1:6">
      <c r="A32" s="1" t="s">
        <v>143</v>
      </c>
      <c r="B32" s="48">
        <f>((LN((10000000)/B29)/LN(2))/B24)</f>
        <v>0.49335565765653899</v>
      </c>
      <c r="D32" s="1" t="s">
        <v>143</v>
      </c>
      <c r="E32" s="48">
        <f>((LN((10000000)/E29)/LN(2))/E24)</f>
        <v>0.70779717930838681</v>
      </c>
    </row>
    <row r="33" spans="1:6">
      <c r="A33" s="1" t="s">
        <v>144</v>
      </c>
      <c r="B33" s="1">
        <v>0.6</v>
      </c>
      <c r="C33" s="73" t="s">
        <v>145</v>
      </c>
      <c r="D33" s="1" t="s">
        <v>144</v>
      </c>
      <c r="E33" s="1">
        <v>0.75</v>
      </c>
      <c r="F33" s="73" t="s">
        <v>146</v>
      </c>
    </row>
    <row r="34" spans="1:6">
      <c r="A34" s="1" t="s">
        <v>147</v>
      </c>
      <c r="B34" s="1"/>
      <c r="D34" s="1" t="s">
        <v>147</v>
      </c>
      <c r="E34" s="1"/>
    </row>
    <row r="35" spans="1:6">
      <c r="A35" s="1" t="s">
        <v>148</v>
      </c>
      <c r="B35" s="1"/>
      <c r="D35" s="1" t="s">
        <v>148</v>
      </c>
      <c r="E35" s="1"/>
    </row>
    <row r="36" spans="1:6">
      <c r="A36" s="1" t="s">
        <v>149</v>
      </c>
      <c r="B36" s="1"/>
      <c r="D36" s="1" t="s">
        <v>149</v>
      </c>
      <c r="E36" s="1"/>
    </row>
    <row r="37" spans="1:6">
      <c r="A37" s="74" t="s">
        <v>150</v>
      </c>
      <c r="B37" s="49"/>
      <c r="C37" s="62"/>
      <c r="D37" s="74" t="s">
        <v>150</v>
      </c>
      <c r="E37" s="49"/>
      <c r="F37" s="62"/>
    </row>
    <row r="38" spans="1:6">
      <c r="A38" s="50"/>
      <c r="B38" s="6"/>
      <c r="C38" s="62"/>
      <c r="D38" s="4"/>
      <c r="E38" s="6"/>
      <c r="F38" s="62"/>
    </row>
    <row r="39" spans="1:6">
      <c r="A39" s="1" t="s">
        <v>129</v>
      </c>
      <c r="B39" s="40">
        <v>236</v>
      </c>
      <c r="D39" s="1" t="s">
        <v>129</v>
      </c>
      <c r="E39" s="40">
        <v>216</v>
      </c>
    </row>
    <row r="40" spans="1:6">
      <c r="A40" s="1" t="s">
        <v>1</v>
      </c>
      <c r="B40" s="41" t="s">
        <v>94</v>
      </c>
      <c r="D40" s="1" t="s">
        <v>1</v>
      </c>
      <c r="E40" s="41" t="s">
        <v>95</v>
      </c>
    </row>
    <row r="41" spans="1:6">
      <c r="A41" s="1" t="s">
        <v>133</v>
      </c>
      <c r="B41" s="43">
        <v>3.99</v>
      </c>
      <c r="D41" s="1" t="s">
        <v>133</v>
      </c>
      <c r="E41" s="43">
        <v>9.27</v>
      </c>
    </row>
    <row r="42" spans="1:6">
      <c r="A42" s="1" t="s">
        <v>134</v>
      </c>
      <c r="B42" s="43">
        <v>8.94</v>
      </c>
      <c r="D42" s="1" t="s">
        <v>134</v>
      </c>
      <c r="E42" s="43">
        <v>12.45</v>
      </c>
    </row>
    <row r="43" spans="1:6">
      <c r="A43" s="1" t="s">
        <v>135</v>
      </c>
      <c r="B43" s="1">
        <v>4</v>
      </c>
      <c r="D43" s="1" t="s">
        <v>135</v>
      </c>
      <c r="E43" s="1">
        <v>4</v>
      </c>
    </row>
    <row r="44" spans="1:6">
      <c r="A44" s="1" t="s">
        <v>136</v>
      </c>
      <c r="B44" s="46">
        <v>21400000</v>
      </c>
      <c r="D44" s="1" t="s">
        <v>136</v>
      </c>
      <c r="E44" s="46">
        <v>38800000</v>
      </c>
    </row>
    <row r="45" spans="1:6">
      <c r="A45" s="1" t="s">
        <v>137</v>
      </c>
      <c r="B45" s="39">
        <f>(100000)/B44</f>
        <v>4.6728971962616819E-3</v>
      </c>
      <c r="D45" s="1" t="s">
        <v>137</v>
      </c>
      <c r="E45" s="39">
        <f>(100000)/E44</f>
        <v>2.5773195876288659E-3</v>
      </c>
    </row>
    <row r="46" spans="1:6">
      <c r="A46" s="1" t="s">
        <v>138</v>
      </c>
      <c r="B46" s="48">
        <f>B45*1000</f>
        <v>4.6728971962616823</v>
      </c>
      <c r="D46" s="1" t="s">
        <v>138</v>
      </c>
      <c r="E46" s="48">
        <f>E45*1000</f>
        <v>2.5773195876288661</v>
      </c>
    </row>
    <row r="47" spans="1:6">
      <c r="A47" s="1" t="s">
        <v>140</v>
      </c>
      <c r="B47" s="39">
        <f>(B45*B44)/10</f>
        <v>9999.9999999999982</v>
      </c>
      <c r="D47" s="1" t="s">
        <v>140</v>
      </c>
      <c r="E47" s="39">
        <f>(E45*E44)/10</f>
        <v>10000</v>
      </c>
    </row>
    <row r="48" spans="1:6">
      <c r="A48" s="1" t="s">
        <v>141</v>
      </c>
      <c r="B48" s="39">
        <f>(100)/B44</f>
        <v>4.6728971962616825E-6</v>
      </c>
      <c r="D48" s="1" t="s">
        <v>141</v>
      </c>
      <c r="E48" s="39">
        <f>(100)/E44</f>
        <v>2.5773195876288659E-6</v>
      </c>
    </row>
    <row r="49" spans="1:6">
      <c r="A49" s="1" t="s">
        <v>142</v>
      </c>
      <c r="B49" s="39">
        <f>100/EXP((B42*B51*LN(2))+LN(B47))</f>
        <v>4.325036714367E-6</v>
      </c>
      <c r="D49" s="1" t="s">
        <v>142</v>
      </c>
      <c r="E49" s="39">
        <f>100/EXP((E42*E51*LN(2))+LN(E47))</f>
        <v>1.7872139843086236E-6</v>
      </c>
    </row>
    <row r="50" spans="1:6">
      <c r="A50" s="1" t="s">
        <v>143</v>
      </c>
      <c r="B50" s="48">
        <f>((LN((10000000)/B47)/LN(2))/B42)</f>
        <v>1.1147409714387124</v>
      </c>
      <c r="D50" s="1" t="s">
        <v>143</v>
      </c>
      <c r="E50" s="48">
        <f>((LN((10000000)/E47)/LN(2))/E42)</f>
        <v>0.8004646011776777</v>
      </c>
    </row>
    <row r="51" spans="1:6">
      <c r="A51" s="1" t="s">
        <v>144</v>
      </c>
      <c r="B51" s="1">
        <v>1.25</v>
      </c>
      <c r="C51" t="s">
        <v>158</v>
      </c>
      <c r="D51" s="1" t="s">
        <v>144</v>
      </c>
      <c r="E51" s="1">
        <v>1</v>
      </c>
      <c r="F51" t="s">
        <v>154</v>
      </c>
    </row>
    <row r="52" spans="1:6">
      <c r="A52" s="1" t="s">
        <v>147</v>
      </c>
      <c r="B52" s="1"/>
      <c r="D52" s="1" t="s">
        <v>147</v>
      </c>
      <c r="E52" s="1"/>
    </row>
    <row r="53" spans="1:6">
      <c r="A53" s="1" t="s">
        <v>148</v>
      </c>
      <c r="B53" s="1"/>
      <c r="D53" s="1" t="s">
        <v>148</v>
      </c>
      <c r="E53" s="1"/>
    </row>
    <row r="54" spans="1:6">
      <c r="A54" s="1" t="s">
        <v>149</v>
      </c>
      <c r="B54" s="1"/>
      <c r="D54" s="1" t="s">
        <v>149</v>
      </c>
      <c r="E54" s="1"/>
    </row>
    <row r="55" spans="1:6">
      <c r="A55" s="74" t="s">
        <v>150</v>
      </c>
      <c r="B55" s="49"/>
      <c r="D55" s="74" t="s">
        <v>150</v>
      </c>
      <c r="E55" s="49"/>
    </row>
    <row r="56" spans="1:6">
      <c r="A56" s="7"/>
      <c r="B56" s="7"/>
      <c r="C56" s="7"/>
      <c r="D56" s="7"/>
      <c r="E56" s="7"/>
      <c r="F56" s="7"/>
    </row>
    <row r="57" spans="1:6">
      <c r="A57" s="7"/>
      <c r="B57" s="42" t="s">
        <v>155</v>
      </c>
      <c r="C57" s="7"/>
      <c r="D57" s="7"/>
      <c r="E57" s="7"/>
      <c r="F57" s="7"/>
    </row>
    <row r="58" spans="1:6">
      <c r="A58" s="7"/>
      <c r="B58" s="44">
        <v>9.9999999999999995E-7</v>
      </c>
      <c r="C58" s="7"/>
      <c r="D58" s="7"/>
      <c r="E58" s="7"/>
      <c r="F58" s="7"/>
    </row>
    <row r="59" spans="1:6">
      <c r="A59" s="7"/>
      <c r="B59" s="44">
        <v>5.0000000000000004E-6</v>
      </c>
      <c r="C59" s="7"/>
      <c r="D59" s="7"/>
      <c r="E59" s="7"/>
      <c r="F59" s="7"/>
    </row>
    <row r="60" spans="1:6">
      <c r="A60" s="7"/>
      <c r="B60" s="45">
        <v>1.0000000000000001E-5</v>
      </c>
      <c r="C60" s="7"/>
      <c r="D60" s="7"/>
      <c r="E60" s="7"/>
      <c r="F60" s="7"/>
    </row>
    <row r="61" spans="1:6">
      <c r="A61" s="7"/>
      <c r="B61" s="47">
        <v>5.0000000000000002E-5</v>
      </c>
      <c r="C61" s="7"/>
      <c r="D61" s="7"/>
      <c r="E61" s="7"/>
      <c r="F61" s="7"/>
    </row>
  </sheetData>
  <pageMargins left="0.7" right="0.7" top="0.75" bottom="0.75" header="0.3" footer="0.3"/>
  <pageSetup scale="6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410E-B0F2-4371-ABD9-D0037EA8D4E3}">
  <sheetPr>
    <pageSetUpPr fitToPage="1"/>
  </sheetPr>
  <dimension ref="A1:F61"/>
  <sheetViews>
    <sheetView topLeftCell="A32" workbookViewId="0"/>
  </sheetViews>
  <sheetFormatPr defaultRowHeight="14.45"/>
  <cols>
    <col min="1" max="1" width="44.28515625" bestFit="1" customWidth="1"/>
    <col min="2" max="2" width="19.42578125" bestFit="1" customWidth="1"/>
    <col min="3" max="3" width="10" customWidth="1"/>
    <col min="4" max="4" width="44.28515625" bestFit="1" customWidth="1"/>
    <col min="5" max="5" width="19.42578125" bestFit="1" customWidth="1"/>
    <col min="6" max="6" width="12.7109375" customWidth="1"/>
  </cols>
  <sheetData>
    <row r="1" spans="1:6" ht="18">
      <c r="A1" s="76" t="s">
        <v>165</v>
      </c>
    </row>
    <row r="3" spans="1:6">
      <c r="A3" s="1" t="s">
        <v>129</v>
      </c>
      <c r="B3" s="40">
        <v>41</v>
      </c>
      <c r="D3" s="1" t="s">
        <v>129</v>
      </c>
      <c r="E3" s="40" t="s">
        <v>130</v>
      </c>
    </row>
    <row r="4" spans="1:6">
      <c r="A4" s="1" t="s">
        <v>1</v>
      </c>
      <c r="B4" s="41" t="s">
        <v>131</v>
      </c>
      <c r="D4" s="1" t="s">
        <v>1</v>
      </c>
      <c r="E4" s="41" t="s">
        <v>132</v>
      </c>
    </row>
    <row r="5" spans="1:6">
      <c r="A5" s="1" t="s">
        <v>133</v>
      </c>
      <c r="B5" s="43">
        <v>16.62</v>
      </c>
      <c r="D5" s="1" t="s">
        <v>133</v>
      </c>
      <c r="E5" s="43">
        <v>14.47</v>
      </c>
    </row>
    <row r="6" spans="1:6">
      <c r="A6" s="1" t="s">
        <v>134</v>
      </c>
      <c r="B6" s="43">
        <v>19.579999999999998</v>
      </c>
      <c r="D6" s="1" t="s">
        <v>134</v>
      </c>
      <c r="E6" s="43">
        <v>20.56</v>
      </c>
    </row>
    <row r="7" spans="1:6">
      <c r="A7" s="1" t="s">
        <v>135</v>
      </c>
      <c r="B7" s="1">
        <v>5</v>
      </c>
      <c r="D7" s="1" t="s">
        <v>135</v>
      </c>
      <c r="E7" s="1">
        <v>5</v>
      </c>
    </row>
    <row r="8" spans="1:6">
      <c r="A8" s="1" t="s">
        <v>136</v>
      </c>
      <c r="B8" s="46">
        <v>22800000</v>
      </c>
      <c r="D8" s="1" t="s">
        <v>136</v>
      </c>
      <c r="E8" s="46">
        <v>38800000</v>
      </c>
    </row>
    <row r="9" spans="1:6">
      <c r="A9" s="1" t="s">
        <v>137</v>
      </c>
      <c r="B9" s="39">
        <f>(100000)/B8</f>
        <v>4.3859649122807015E-3</v>
      </c>
      <c r="D9" s="1" t="s">
        <v>137</v>
      </c>
      <c r="E9" s="39">
        <f>(100000)/E8</f>
        <v>2.5773195876288659E-3</v>
      </c>
    </row>
    <row r="10" spans="1:6">
      <c r="A10" s="1" t="s">
        <v>138</v>
      </c>
      <c r="B10" s="48">
        <f>B9*1000</f>
        <v>4.3859649122807012</v>
      </c>
      <c r="D10" s="1" t="s">
        <v>138</v>
      </c>
      <c r="E10" s="48">
        <f>E9*1000</f>
        <v>2.5773195876288661</v>
      </c>
      <c r="F10" s="65"/>
    </row>
    <row r="11" spans="1:6">
      <c r="A11" s="1" t="s">
        <v>140</v>
      </c>
      <c r="B11" s="39">
        <f>(B9*B8)/10</f>
        <v>10000</v>
      </c>
      <c r="D11" s="1" t="s">
        <v>140</v>
      </c>
      <c r="E11" s="39">
        <f>(E9*E8)/10</f>
        <v>10000</v>
      </c>
    </row>
    <row r="12" spans="1:6">
      <c r="A12" s="1" t="s">
        <v>141</v>
      </c>
      <c r="B12" s="39">
        <f>(100)/B8</f>
        <v>4.3859649122807014E-6</v>
      </c>
      <c r="D12" s="1" t="s">
        <v>141</v>
      </c>
      <c r="E12" s="39">
        <f>(100)/E8</f>
        <v>2.5773195876288659E-6</v>
      </c>
    </row>
    <row r="13" spans="1:6">
      <c r="A13" s="1" t="s">
        <v>142</v>
      </c>
      <c r="B13" s="39">
        <f>100/EXP((B6*B15*LN(2))+LN(B11))</f>
        <v>2.9073653548949443E-6</v>
      </c>
      <c r="D13" s="1" t="s">
        <v>142</v>
      </c>
      <c r="E13" s="39">
        <f>100/EXP((E6*E15*LN(2))+LN(E11))</f>
        <v>1.9341670188597931E-6</v>
      </c>
    </row>
    <row r="14" spans="1:6">
      <c r="A14" s="1" t="s">
        <v>143</v>
      </c>
      <c r="B14" s="48">
        <f>((LN((10000000)/B11)/LN(2))/B6)</f>
        <v>0.50897774691839059</v>
      </c>
      <c r="D14" s="1" t="s">
        <v>143</v>
      </c>
      <c r="E14" s="48">
        <f>((LN((10000000)/E11)/LN(2))/E6)</f>
        <v>0.48471713446800035</v>
      </c>
    </row>
    <row r="15" spans="1:6">
      <c r="A15" s="1" t="s">
        <v>144</v>
      </c>
      <c r="B15" s="1">
        <v>0.6</v>
      </c>
      <c r="C15" s="72" t="s">
        <v>145</v>
      </c>
      <c r="D15" s="1" t="s">
        <v>144</v>
      </c>
      <c r="E15" s="1">
        <v>0.6</v>
      </c>
      <c r="F15" t="s">
        <v>145</v>
      </c>
    </row>
    <row r="16" spans="1:6">
      <c r="A16" s="1" t="s">
        <v>147</v>
      </c>
      <c r="B16" s="1"/>
      <c r="D16" s="1" t="s">
        <v>147</v>
      </c>
      <c r="E16" s="1"/>
    </row>
    <row r="17" spans="1:5">
      <c r="A17" s="1" t="s">
        <v>148</v>
      </c>
      <c r="B17" s="1"/>
      <c r="D17" s="1" t="s">
        <v>148</v>
      </c>
      <c r="E17" s="1"/>
    </row>
    <row r="18" spans="1:5">
      <c r="A18" s="1" t="s">
        <v>149</v>
      </c>
      <c r="B18" s="1"/>
      <c r="D18" s="1" t="s">
        <v>149</v>
      </c>
      <c r="E18" s="1"/>
    </row>
    <row r="19" spans="1:5">
      <c r="A19" s="74" t="s">
        <v>150</v>
      </c>
      <c r="B19" s="49"/>
      <c r="C19" s="62"/>
      <c r="D19" s="74" t="s">
        <v>150</v>
      </c>
      <c r="E19" s="49"/>
    </row>
    <row r="21" spans="1:5">
      <c r="A21" s="1" t="s">
        <v>129</v>
      </c>
      <c r="B21" s="40" t="s">
        <v>90</v>
      </c>
      <c r="D21" s="1" t="s">
        <v>129</v>
      </c>
      <c r="E21" s="40">
        <v>213</v>
      </c>
    </row>
    <row r="22" spans="1:5">
      <c r="A22" s="1" t="s">
        <v>1</v>
      </c>
      <c r="B22" s="41" t="s">
        <v>151</v>
      </c>
      <c r="D22" s="1" t="s">
        <v>1</v>
      </c>
      <c r="E22" s="41" t="s">
        <v>93</v>
      </c>
    </row>
    <row r="23" spans="1:5">
      <c r="A23" s="1" t="s">
        <v>133</v>
      </c>
      <c r="B23" s="43">
        <v>16.43</v>
      </c>
      <c r="D23" s="1" t="s">
        <v>133</v>
      </c>
      <c r="E23" s="43">
        <v>5.08</v>
      </c>
    </row>
    <row r="24" spans="1:5">
      <c r="A24" s="1" t="s">
        <v>134</v>
      </c>
      <c r="B24" s="43">
        <v>20.43</v>
      </c>
      <c r="D24" s="1" t="s">
        <v>134</v>
      </c>
      <c r="E24" s="43">
        <v>13.86</v>
      </c>
    </row>
    <row r="25" spans="1:5">
      <c r="A25" s="1" t="s">
        <v>135</v>
      </c>
      <c r="B25" s="1">
        <v>5</v>
      </c>
      <c r="D25" s="1" t="s">
        <v>135</v>
      </c>
      <c r="E25" s="1">
        <v>5</v>
      </c>
    </row>
    <row r="26" spans="1:5">
      <c r="A26" s="1" t="s">
        <v>136</v>
      </c>
      <c r="B26" s="46">
        <v>37800000</v>
      </c>
      <c r="D26" s="1" t="s">
        <v>136</v>
      </c>
      <c r="E26" s="46">
        <v>11800000</v>
      </c>
    </row>
    <row r="27" spans="1:5">
      <c r="A27" s="1" t="s">
        <v>137</v>
      </c>
      <c r="B27" s="39">
        <f>(100000)/B26</f>
        <v>2.6455026455026454E-3</v>
      </c>
      <c r="D27" s="1" t="s">
        <v>137</v>
      </c>
      <c r="E27" s="39">
        <f>(100000)/E26</f>
        <v>8.4745762711864406E-3</v>
      </c>
    </row>
    <row r="28" spans="1:5">
      <c r="A28" s="1" t="s">
        <v>138</v>
      </c>
      <c r="B28" s="48">
        <f>B27*1000</f>
        <v>2.6455026455026456</v>
      </c>
      <c r="D28" s="1" t="s">
        <v>138</v>
      </c>
      <c r="E28" s="48">
        <f>E27*1000</f>
        <v>8.4745762711864412</v>
      </c>
    </row>
    <row r="29" spans="1:5">
      <c r="A29" s="1" t="s">
        <v>140</v>
      </c>
      <c r="B29" s="39">
        <f>(B27*B26)/10</f>
        <v>10000</v>
      </c>
      <c r="D29" s="1" t="s">
        <v>140</v>
      </c>
      <c r="E29" s="39">
        <f>(E27*E26)/10</f>
        <v>10000</v>
      </c>
    </row>
    <row r="30" spans="1:5">
      <c r="A30" s="1" t="s">
        <v>141</v>
      </c>
      <c r="B30" s="39">
        <f>(100)/B26</f>
        <v>2.6455026455026455E-6</v>
      </c>
      <c r="D30" s="1" t="s">
        <v>141</v>
      </c>
      <c r="E30" s="39">
        <f>(100)/E26</f>
        <v>8.4745762711864406E-6</v>
      </c>
    </row>
    <row r="31" spans="1:5">
      <c r="A31" s="1" t="s">
        <v>142</v>
      </c>
      <c r="B31" s="39">
        <f>100/EXP((B24*B33*LN(2))+LN(B29))</f>
        <v>2.0416171872901899E-6</v>
      </c>
      <c r="D31" s="1" t="s">
        <v>142</v>
      </c>
      <c r="E31" s="39">
        <f>100/EXP((E24*E33*LN(2))+LN(E29))</f>
        <v>7.4266540685596061E-6</v>
      </c>
    </row>
    <row r="32" spans="1:5">
      <c r="A32" s="1" t="s">
        <v>143</v>
      </c>
      <c r="B32" s="48">
        <f>((LN((10000000)/B29)/LN(2))/B24)</f>
        <v>0.48780148236231458</v>
      </c>
      <c r="D32" s="1" t="s">
        <v>143</v>
      </c>
      <c r="E32" s="48">
        <f>((LN((10000000)/E29)/LN(2))/E24)</f>
        <v>0.71903205517042479</v>
      </c>
    </row>
    <row r="33" spans="1:6">
      <c r="A33" s="1" t="s">
        <v>144</v>
      </c>
      <c r="B33" s="1">
        <v>0.6</v>
      </c>
      <c r="C33" s="73" t="s">
        <v>145</v>
      </c>
      <c r="D33" s="1" t="s">
        <v>144</v>
      </c>
      <c r="E33" s="1">
        <v>0.75</v>
      </c>
      <c r="F33" s="73" t="s">
        <v>146</v>
      </c>
    </row>
    <row r="34" spans="1:6">
      <c r="A34" s="1" t="s">
        <v>147</v>
      </c>
      <c r="B34" s="1"/>
      <c r="D34" s="1" t="s">
        <v>147</v>
      </c>
      <c r="E34" s="1"/>
    </row>
    <row r="35" spans="1:6">
      <c r="A35" s="1" t="s">
        <v>148</v>
      </c>
      <c r="B35" s="1"/>
      <c r="D35" s="1" t="s">
        <v>148</v>
      </c>
      <c r="E35" s="1"/>
    </row>
    <row r="36" spans="1:6">
      <c r="A36" s="1" t="s">
        <v>149</v>
      </c>
      <c r="B36" s="1"/>
      <c r="D36" s="1" t="s">
        <v>149</v>
      </c>
      <c r="E36" s="1"/>
    </row>
    <row r="37" spans="1:6">
      <c r="A37" s="74" t="s">
        <v>150</v>
      </c>
      <c r="B37" s="49"/>
      <c r="C37" s="62"/>
      <c r="D37" s="74" t="s">
        <v>150</v>
      </c>
      <c r="E37" s="49"/>
      <c r="F37" s="62"/>
    </row>
    <row r="38" spans="1:6">
      <c r="A38" s="50"/>
      <c r="B38" s="6"/>
      <c r="C38" s="62"/>
      <c r="D38" s="4"/>
      <c r="E38" s="6"/>
      <c r="F38" s="62"/>
    </row>
    <row r="39" spans="1:6">
      <c r="A39" s="1" t="s">
        <v>129</v>
      </c>
      <c r="B39" s="40">
        <v>236</v>
      </c>
      <c r="D39" s="1" t="s">
        <v>129</v>
      </c>
      <c r="E39" s="40">
        <v>216</v>
      </c>
    </row>
    <row r="40" spans="1:6">
      <c r="A40" s="1" t="s">
        <v>1</v>
      </c>
      <c r="B40" s="41" t="s">
        <v>94</v>
      </c>
      <c r="D40" s="1" t="s">
        <v>1</v>
      </c>
      <c r="E40" s="41" t="s">
        <v>95</v>
      </c>
    </row>
    <row r="41" spans="1:6">
      <c r="A41" s="1" t="s">
        <v>133</v>
      </c>
      <c r="B41" s="43">
        <v>3.99</v>
      </c>
      <c r="D41" s="1" t="s">
        <v>133</v>
      </c>
      <c r="E41" s="43">
        <v>9.27</v>
      </c>
    </row>
    <row r="42" spans="1:6">
      <c r="A42" s="1" t="s">
        <v>134</v>
      </c>
      <c r="B42" s="43">
        <v>10.8</v>
      </c>
      <c r="D42" s="1" t="s">
        <v>134</v>
      </c>
      <c r="E42" s="43">
        <v>15.83</v>
      </c>
    </row>
    <row r="43" spans="1:6">
      <c r="A43" s="1" t="s">
        <v>135</v>
      </c>
      <c r="B43" s="1">
        <v>5</v>
      </c>
      <c r="D43" s="1" t="s">
        <v>135</v>
      </c>
      <c r="E43" s="1">
        <v>5</v>
      </c>
    </row>
    <row r="44" spans="1:6">
      <c r="A44" s="1" t="s">
        <v>136</v>
      </c>
      <c r="B44" s="46">
        <v>59000000</v>
      </c>
      <c r="D44" s="1" t="s">
        <v>136</v>
      </c>
      <c r="E44" s="77">
        <v>844000000</v>
      </c>
    </row>
    <row r="45" spans="1:6">
      <c r="A45" s="1" t="s">
        <v>137</v>
      </c>
      <c r="B45" s="39">
        <f>(100000)/B44</f>
        <v>1.6949152542372881E-3</v>
      </c>
      <c r="D45" s="1" t="s">
        <v>137</v>
      </c>
      <c r="E45" s="39">
        <f>(100000)/E44</f>
        <v>1.1848341232227489E-4</v>
      </c>
    </row>
    <row r="46" spans="1:6">
      <c r="A46" s="1" t="s">
        <v>138</v>
      </c>
      <c r="B46" s="48">
        <f>B45*1000</f>
        <v>1.6949152542372881</v>
      </c>
      <c r="D46" s="1" t="s">
        <v>138</v>
      </c>
      <c r="E46" s="48">
        <f>E45*1000</f>
        <v>0.11848341232227488</v>
      </c>
      <c r="F46" t="s">
        <v>166</v>
      </c>
    </row>
    <row r="47" spans="1:6">
      <c r="A47" s="1" t="s">
        <v>140</v>
      </c>
      <c r="B47" s="39">
        <f>(B45*B44)/10</f>
        <v>10000</v>
      </c>
      <c r="D47" s="1" t="s">
        <v>140</v>
      </c>
      <c r="E47" s="39">
        <f>(E45*E44)/10</f>
        <v>10000</v>
      </c>
    </row>
    <row r="48" spans="1:6">
      <c r="A48" s="1" t="s">
        <v>141</v>
      </c>
      <c r="B48" s="39">
        <f>(100)/B44</f>
        <v>1.6949152542372882E-6</v>
      </c>
      <c r="D48" s="1" t="s">
        <v>141</v>
      </c>
      <c r="E48" s="39">
        <f>(100)/E44</f>
        <v>1.1848341232227488E-7</v>
      </c>
    </row>
    <row r="49" spans="1:6">
      <c r="A49" s="1" t="s">
        <v>142</v>
      </c>
      <c r="B49" s="39">
        <f>100/EXP((B42*B51*LN(2))+LN(B47))</f>
        <v>5.6088786865089497E-6</v>
      </c>
      <c r="D49" s="1" t="s">
        <v>142</v>
      </c>
      <c r="E49" s="39">
        <f>100/EXP((E42*E51*LN(2))+LN(E47))</f>
        <v>1.716703010084242E-7</v>
      </c>
    </row>
    <row r="50" spans="1:6">
      <c r="A50" s="1" t="s">
        <v>143</v>
      </c>
      <c r="B50" s="48">
        <f>((LN((10000000)/B47)/LN(2))/B42)</f>
        <v>0.92275780413537833</v>
      </c>
      <c r="D50" s="1" t="s">
        <v>143</v>
      </c>
      <c r="E50" s="48">
        <f>((LN((10000000)/E47)/LN(2))/E42)</f>
        <v>0.62955049176639843</v>
      </c>
    </row>
    <row r="51" spans="1:6">
      <c r="A51" s="1" t="s">
        <v>144</v>
      </c>
      <c r="B51" s="1">
        <v>1</v>
      </c>
      <c r="C51" t="s">
        <v>154</v>
      </c>
      <c r="D51" s="1" t="s">
        <v>144</v>
      </c>
      <c r="E51" s="1">
        <v>1</v>
      </c>
      <c r="F51" t="s">
        <v>154</v>
      </c>
    </row>
    <row r="52" spans="1:6">
      <c r="A52" s="1" t="s">
        <v>147</v>
      </c>
      <c r="B52" s="1"/>
      <c r="D52" s="1" t="s">
        <v>147</v>
      </c>
      <c r="E52" s="1"/>
    </row>
    <row r="53" spans="1:6">
      <c r="A53" s="1" t="s">
        <v>148</v>
      </c>
      <c r="B53" s="1"/>
      <c r="D53" s="1" t="s">
        <v>148</v>
      </c>
      <c r="E53" s="1"/>
    </row>
    <row r="54" spans="1:6">
      <c r="A54" s="1" t="s">
        <v>149</v>
      </c>
      <c r="B54" s="1"/>
      <c r="D54" s="1" t="s">
        <v>149</v>
      </c>
      <c r="E54" s="1"/>
    </row>
    <row r="55" spans="1:6">
      <c r="A55" s="74" t="s">
        <v>150</v>
      </c>
      <c r="B55" s="49"/>
      <c r="D55" s="74" t="s">
        <v>150</v>
      </c>
      <c r="E55" s="49"/>
    </row>
    <row r="56" spans="1:6">
      <c r="A56" s="7"/>
      <c r="B56" s="7"/>
      <c r="C56" s="7"/>
      <c r="D56" s="7"/>
      <c r="E56" s="7"/>
      <c r="F56" s="7"/>
    </row>
    <row r="57" spans="1:6">
      <c r="A57" s="7"/>
      <c r="B57" s="42" t="s">
        <v>155</v>
      </c>
      <c r="C57" s="7"/>
      <c r="D57" s="7"/>
      <c r="E57" s="7"/>
      <c r="F57" s="7"/>
    </row>
    <row r="58" spans="1:6">
      <c r="A58" s="7"/>
      <c r="B58" s="44">
        <v>9.9999999999999995E-7</v>
      </c>
      <c r="C58" s="7"/>
      <c r="D58" s="7"/>
      <c r="E58" s="7"/>
      <c r="F58" s="7"/>
    </row>
    <row r="59" spans="1:6">
      <c r="A59" s="7"/>
      <c r="B59" s="44">
        <v>5.0000000000000004E-6</v>
      </c>
      <c r="C59" s="7"/>
      <c r="D59" s="7"/>
      <c r="E59" s="7"/>
      <c r="F59" s="7"/>
    </row>
    <row r="60" spans="1:6">
      <c r="A60" s="7"/>
      <c r="B60" s="45">
        <v>1.0000000000000001E-5</v>
      </c>
      <c r="C60" s="7"/>
      <c r="D60" s="7"/>
      <c r="E60" s="7"/>
      <c r="F60" s="7"/>
    </row>
    <row r="61" spans="1:6">
      <c r="A61" s="7"/>
      <c r="B61" s="47">
        <v>5.0000000000000002E-5</v>
      </c>
      <c r="C61" s="7"/>
      <c r="D61" s="7"/>
      <c r="E61" s="7"/>
      <c r="F61" s="7"/>
    </row>
  </sheetData>
  <pageMargins left="0.7" right="0.7" top="0.75" bottom="0.75" header="0.3" footer="0.3"/>
  <pageSetup scale="6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00C7F-03ED-47D1-BBFE-862373B9FB80}">
  <sheetPr>
    <pageSetUpPr fitToPage="1"/>
  </sheetPr>
  <dimension ref="A1:F74"/>
  <sheetViews>
    <sheetView workbookViewId="0">
      <selection activeCell="J22" sqref="J22"/>
    </sheetView>
  </sheetViews>
  <sheetFormatPr defaultRowHeight="14.45"/>
  <cols>
    <col min="1" max="1" width="44.28515625" bestFit="1" customWidth="1"/>
    <col min="2" max="2" width="19.42578125" bestFit="1" customWidth="1"/>
    <col min="3" max="3" width="10" customWidth="1"/>
    <col min="4" max="4" width="44.28515625" bestFit="1" customWidth="1"/>
    <col min="5" max="5" width="19.42578125" bestFit="1" customWidth="1"/>
    <col min="6" max="6" width="9.42578125" customWidth="1"/>
  </cols>
  <sheetData>
    <row r="1" spans="1:6">
      <c r="A1" t="s">
        <v>167</v>
      </c>
    </row>
    <row r="2" spans="1:6">
      <c r="A2" t="s">
        <v>168</v>
      </c>
    </row>
    <row r="4" spans="1:6">
      <c r="A4" s="1" t="s">
        <v>129</v>
      </c>
      <c r="B4" s="40">
        <v>233</v>
      </c>
      <c r="D4" s="1" t="s">
        <v>129</v>
      </c>
      <c r="E4" s="40">
        <v>45</v>
      </c>
    </row>
    <row r="5" spans="1:6">
      <c r="A5" s="1" t="s">
        <v>1</v>
      </c>
      <c r="B5" s="41" t="s">
        <v>169</v>
      </c>
      <c r="D5" s="1" t="s">
        <v>1</v>
      </c>
      <c r="E5" s="41" t="s">
        <v>170</v>
      </c>
    </row>
    <row r="6" spans="1:6">
      <c r="A6" s="1" t="s">
        <v>133</v>
      </c>
      <c r="B6" s="43">
        <v>6.14</v>
      </c>
      <c r="D6" s="1" t="s">
        <v>133</v>
      </c>
      <c r="E6" s="43">
        <v>13.66</v>
      </c>
    </row>
    <row r="7" spans="1:6">
      <c r="A7" s="1" t="s">
        <v>134</v>
      </c>
      <c r="B7" s="43">
        <v>6.14</v>
      </c>
      <c r="D7" s="1" t="s">
        <v>134</v>
      </c>
      <c r="E7" s="43">
        <v>13.66</v>
      </c>
    </row>
    <row r="8" spans="1:6">
      <c r="A8" s="1" t="s">
        <v>135</v>
      </c>
      <c r="B8" s="1">
        <v>1</v>
      </c>
      <c r="D8" s="1" t="s">
        <v>135</v>
      </c>
      <c r="E8" s="1">
        <v>1</v>
      </c>
    </row>
    <row r="9" spans="1:6">
      <c r="A9" s="1" t="s">
        <v>136</v>
      </c>
      <c r="B9" s="46">
        <v>1660000</v>
      </c>
      <c r="D9" s="1" t="s">
        <v>136</v>
      </c>
      <c r="E9" s="46">
        <v>135000000</v>
      </c>
    </row>
    <row r="10" spans="1:6">
      <c r="A10" s="1" t="s">
        <v>137</v>
      </c>
      <c r="B10" s="39">
        <f>(100000)/B9</f>
        <v>6.0240963855421686E-2</v>
      </c>
      <c r="D10" s="1" t="s">
        <v>137</v>
      </c>
      <c r="E10" s="39">
        <f>(100000)/E9</f>
        <v>7.407407407407407E-4</v>
      </c>
    </row>
    <row r="11" spans="1:6">
      <c r="A11" s="1" t="s">
        <v>138</v>
      </c>
      <c r="B11" s="48">
        <f>B10*1000</f>
        <v>60.24096385542169</v>
      </c>
      <c r="D11" s="1" t="s">
        <v>138</v>
      </c>
      <c r="E11" s="48">
        <f>E10*1000</f>
        <v>0.7407407407407407</v>
      </c>
      <c r="F11" s="65"/>
    </row>
    <row r="12" spans="1:6">
      <c r="A12" s="1" t="s">
        <v>140</v>
      </c>
      <c r="B12" s="39">
        <f>(B10*B9)/10</f>
        <v>10000</v>
      </c>
      <c r="D12" s="1" t="s">
        <v>140</v>
      </c>
      <c r="E12" s="39">
        <f>(E10*E9)/10</f>
        <v>10000</v>
      </c>
    </row>
    <row r="13" spans="1:6">
      <c r="A13" s="1" t="s">
        <v>141</v>
      </c>
      <c r="B13" s="39">
        <f>(100)/B9</f>
        <v>6.0240963855421684E-5</v>
      </c>
      <c r="D13" s="1" t="s">
        <v>141</v>
      </c>
      <c r="E13" s="39">
        <f>(100)/E9</f>
        <v>7.4074074074074073E-7</v>
      </c>
    </row>
    <row r="14" spans="1:6">
      <c r="A14" s="1" t="s">
        <v>142</v>
      </c>
      <c r="B14" s="39">
        <f>100/EXP((B7*B16*LN(2))+LN(B12))</f>
        <v>9.9999999999999915E-3</v>
      </c>
      <c r="D14" s="1" t="s">
        <v>142</v>
      </c>
      <c r="E14" s="39">
        <f>100/EXP((E7*E16*LN(2))+LN(E12))</f>
        <v>8.2403886340821918E-6</v>
      </c>
    </row>
    <row r="15" spans="1:6">
      <c r="A15" s="1" t="s">
        <v>143</v>
      </c>
      <c r="B15" s="48">
        <f>((LN((10000000)/B12)/LN(2))/B7)</f>
        <v>1.623091903039428</v>
      </c>
      <c r="C15" t="s">
        <v>159</v>
      </c>
      <c r="D15" s="1" t="s">
        <v>143</v>
      </c>
      <c r="E15" s="48">
        <f>((LN((10000000)/E12)/LN(2))/E7)</f>
        <v>0.72955961088302246</v>
      </c>
    </row>
    <row r="16" spans="1:6">
      <c r="A16" s="1" t="s">
        <v>144</v>
      </c>
      <c r="B16" s="1">
        <v>0</v>
      </c>
      <c r="D16" s="1" t="s">
        <v>144</v>
      </c>
      <c r="E16" s="1">
        <v>0.75</v>
      </c>
      <c r="F16" t="s">
        <v>146</v>
      </c>
    </row>
    <row r="17" spans="1:5">
      <c r="A17" s="1" t="s">
        <v>147</v>
      </c>
      <c r="B17" s="1"/>
      <c r="D17" s="1" t="s">
        <v>147</v>
      </c>
      <c r="E17" s="1"/>
    </row>
    <row r="18" spans="1:5">
      <c r="A18" s="1" t="s">
        <v>148</v>
      </c>
      <c r="B18" s="1"/>
      <c r="D18" s="1" t="s">
        <v>148</v>
      </c>
      <c r="E18" s="1"/>
    </row>
    <row r="19" spans="1:5">
      <c r="A19" s="1" t="s">
        <v>149</v>
      </c>
      <c r="B19" s="1"/>
      <c r="D19" s="1" t="s">
        <v>149</v>
      </c>
      <c r="E19" s="1"/>
    </row>
    <row r="20" spans="1:5">
      <c r="A20" s="74" t="s">
        <v>150</v>
      </c>
      <c r="B20" s="49">
        <f>100/B9</f>
        <v>6.0240963855421684E-5</v>
      </c>
      <c r="C20" s="62"/>
      <c r="D20" s="49" t="s">
        <v>150</v>
      </c>
      <c r="E20" s="49">
        <f>100/E9</f>
        <v>7.4074074074074073E-7</v>
      </c>
    </row>
    <row r="22" spans="1:5">
      <c r="A22" s="1" t="s">
        <v>129</v>
      </c>
      <c r="B22" s="40">
        <v>52</v>
      </c>
      <c r="D22" s="1" t="s">
        <v>129</v>
      </c>
      <c r="E22" s="40" t="s">
        <v>101</v>
      </c>
    </row>
    <row r="23" spans="1:5">
      <c r="A23" s="1" t="s">
        <v>1</v>
      </c>
      <c r="B23" s="41" t="s">
        <v>171</v>
      </c>
      <c r="D23" s="1" t="s">
        <v>1</v>
      </c>
      <c r="E23" s="41" t="s">
        <v>172</v>
      </c>
    </row>
    <row r="24" spans="1:5">
      <c r="A24" s="1" t="s">
        <v>133</v>
      </c>
      <c r="B24" s="43">
        <v>15.64</v>
      </c>
      <c r="D24" s="1" t="s">
        <v>133</v>
      </c>
      <c r="E24" s="43">
        <v>18.170000000000002</v>
      </c>
    </row>
    <row r="25" spans="1:5">
      <c r="A25" s="1" t="s">
        <v>134</v>
      </c>
      <c r="B25" s="43">
        <v>15.64</v>
      </c>
      <c r="D25" s="1" t="s">
        <v>134</v>
      </c>
      <c r="E25" s="43">
        <v>18.170000000000002</v>
      </c>
    </row>
    <row r="26" spans="1:5">
      <c r="A26" s="1" t="s">
        <v>135</v>
      </c>
      <c r="B26" s="1">
        <v>1</v>
      </c>
      <c r="D26" s="1" t="s">
        <v>135</v>
      </c>
      <c r="E26" s="1">
        <v>1</v>
      </c>
    </row>
    <row r="27" spans="1:5">
      <c r="A27" s="1" t="s">
        <v>136</v>
      </c>
      <c r="B27" s="46">
        <v>74400000</v>
      </c>
      <c r="D27" s="1" t="s">
        <v>136</v>
      </c>
      <c r="E27" s="46">
        <v>2110000</v>
      </c>
    </row>
    <row r="28" spans="1:5">
      <c r="A28" s="1" t="s">
        <v>137</v>
      </c>
      <c r="B28" s="39">
        <f>(100000)/B27</f>
        <v>1.3440860215053765E-3</v>
      </c>
      <c r="D28" s="1" t="s">
        <v>137</v>
      </c>
      <c r="E28" s="39">
        <f>(100000)/E27</f>
        <v>4.7393364928909949E-2</v>
      </c>
    </row>
    <row r="29" spans="1:5">
      <c r="A29" s="1" t="s">
        <v>138</v>
      </c>
      <c r="B29" s="48">
        <f>B28*1000</f>
        <v>1.3440860215053765</v>
      </c>
      <c r="D29" s="1" t="s">
        <v>138</v>
      </c>
      <c r="E29" s="48">
        <f>E28*1000</f>
        <v>47.393364928909946</v>
      </c>
    </row>
    <row r="30" spans="1:5">
      <c r="A30" s="1" t="s">
        <v>140</v>
      </c>
      <c r="B30" s="39">
        <f>(B28*B27)/10</f>
        <v>10000.000000000002</v>
      </c>
      <c r="D30" s="1" t="s">
        <v>140</v>
      </c>
      <c r="E30" s="39">
        <f>(E28*E27)/10</f>
        <v>10000</v>
      </c>
    </row>
    <row r="31" spans="1:5">
      <c r="A31" s="1" t="s">
        <v>141</v>
      </c>
      <c r="B31" s="39">
        <f>(100)/B27</f>
        <v>1.3440860215053763E-6</v>
      </c>
      <c r="D31" s="1" t="s">
        <v>141</v>
      </c>
      <c r="E31" s="39">
        <f>(100)/E27</f>
        <v>4.7393364928909951E-5</v>
      </c>
    </row>
    <row r="32" spans="1:5">
      <c r="A32" s="1" t="s">
        <v>142</v>
      </c>
      <c r="B32" s="39">
        <f>100/EXP((B25*B34*LN(2))+LN(B30))</f>
        <v>1.4966991798904123E-5</v>
      </c>
      <c r="D32" s="1" t="s">
        <v>142</v>
      </c>
      <c r="E32" s="39">
        <f>100/EXP((E25*E34*LN(2))+LN(E30))</f>
        <v>3.3906657454169061E-8</v>
      </c>
    </row>
    <row r="33" spans="1:6">
      <c r="A33" s="1" t="s">
        <v>143</v>
      </c>
      <c r="B33" s="48">
        <f>((LN((10000000)/B30)/LN(2))/B25)</f>
        <v>0.63719848367404641</v>
      </c>
      <c r="D33" s="1" t="s">
        <v>143</v>
      </c>
      <c r="E33" s="48">
        <f>((LN((10000000)/E30)/LN(2))/E25)</f>
        <v>0.54847464417512859</v>
      </c>
    </row>
    <row r="34" spans="1:6">
      <c r="A34" s="1" t="s">
        <v>144</v>
      </c>
      <c r="B34" s="1">
        <v>0.6</v>
      </c>
      <c r="C34" t="s">
        <v>145</v>
      </c>
      <c r="D34" s="1" t="s">
        <v>144</v>
      </c>
      <c r="E34" s="1">
        <v>1</v>
      </c>
      <c r="F34" t="s">
        <v>154</v>
      </c>
    </row>
    <row r="35" spans="1:6">
      <c r="A35" s="1" t="s">
        <v>147</v>
      </c>
      <c r="B35" s="1"/>
      <c r="D35" s="1" t="s">
        <v>147</v>
      </c>
      <c r="E35" s="1"/>
    </row>
    <row r="36" spans="1:6">
      <c r="A36" s="1" t="s">
        <v>148</v>
      </c>
      <c r="B36" s="1"/>
      <c r="D36" s="1" t="s">
        <v>148</v>
      </c>
      <c r="E36" s="1"/>
    </row>
    <row r="37" spans="1:6">
      <c r="A37" s="1" t="s">
        <v>149</v>
      </c>
      <c r="B37" s="1"/>
      <c r="D37" s="1" t="s">
        <v>149</v>
      </c>
      <c r="E37" s="1"/>
    </row>
    <row r="38" spans="1:6">
      <c r="A38" s="50" t="s">
        <v>150</v>
      </c>
      <c r="B38" s="6">
        <f>100/B27</f>
        <v>1.3440860215053763E-6</v>
      </c>
      <c r="C38" s="62"/>
      <c r="D38" s="74" t="s">
        <v>150</v>
      </c>
      <c r="E38" s="49">
        <f>100/E27</f>
        <v>4.7393364928909951E-5</v>
      </c>
      <c r="F38" s="62"/>
    </row>
    <row r="39" spans="1:6">
      <c r="A39" s="50"/>
      <c r="B39" s="6"/>
      <c r="C39" s="62"/>
      <c r="D39" s="4"/>
      <c r="E39" s="6"/>
      <c r="F39" s="62"/>
    </row>
    <row r="40" spans="1:6">
      <c r="A40" s="1" t="s">
        <v>129</v>
      </c>
      <c r="B40" s="40">
        <v>214</v>
      </c>
      <c r="D40" s="1" t="s">
        <v>129</v>
      </c>
      <c r="E40" s="40">
        <v>217</v>
      </c>
    </row>
    <row r="41" spans="1:6">
      <c r="A41" s="1" t="s">
        <v>1</v>
      </c>
      <c r="B41" s="41" t="s">
        <v>173</v>
      </c>
      <c r="D41" s="1" t="s">
        <v>1</v>
      </c>
      <c r="E41" s="41" t="s">
        <v>174</v>
      </c>
    </row>
    <row r="42" spans="1:6">
      <c r="A42" s="1" t="s">
        <v>133</v>
      </c>
      <c r="B42" s="43">
        <v>4.22</v>
      </c>
      <c r="D42" s="1" t="s">
        <v>133</v>
      </c>
      <c r="E42" s="43">
        <v>7.93</v>
      </c>
    </row>
    <row r="43" spans="1:6">
      <c r="A43" s="1" t="s">
        <v>134</v>
      </c>
      <c r="B43" s="43">
        <v>4.22</v>
      </c>
      <c r="D43" s="1" t="s">
        <v>134</v>
      </c>
      <c r="E43" s="43">
        <v>7.93</v>
      </c>
    </row>
    <row r="44" spans="1:6">
      <c r="A44" s="1" t="s">
        <v>135</v>
      </c>
      <c r="B44" s="1">
        <v>1</v>
      </c>
      <c r="D44" s="1" t="s">
        <v>135</v>
      </c>
      <c r="E44" s="1">
        <v>1</v>
      </c>
    </row>
    <row r="45" spans="1:6">
      <c r="A45" s="1" t="s">
        <v>136</v>
      </c>
      <c r="B45" s="46">
        <v>4500000</v>
      </c>
      <c r="D45" s="1" t="s">
        <v>136</v>
      </c>
      <c r="E45" s="46">
        <v>17300000</v>
      </c>
    </row>
    <row r="46" spans="1:6">
      <c r="A46" s="1" t="s">
        <v>137</v>
      </c>
      <c r="B46" s="39">
        <f>(100000)/B45</f>
        <v>2.2222222222222223E-2</v>
      </c>
      <c r="D46" s="1" t="s">
        <v>137</v>
      </c>
      <c r="E46" s="39">
        <f>(100000)/E45</f>
        <v>5.7803468208092483E-3</v>
      </c>
    </row>
    <row r="47" spans="1:6">
      <c r="A47" s="1" t="s">
        <v>138</v>
      </c>
      <c r="B47" s="48">
        <f>B46*1000</f>
        <v>22.222222222222221</v>
      </c>
      <c r="D47" s="1" t="s">
        <v>138</v>
      </c>
      <c r="E47" s="48">
        <f>E46*1000</f>
        <v>5.7803468208092479</v>
      </c>
    </row>
    <row r="48" spans="1:6">
      <c r="A48" s="1" t="s">
        <v>140</v>
      </c>
      <c r="B48" s="39">
        <f>(B46*B45)/10</f>
        <v>10000</v>
      </c>
      <c r="D48" s="1" t="s">
        <v>140</v>
      </c>
      <c r="E48" s="39">
        <f>(E46*E45)/10</f>
        <v>10000</v>
      </c>
    </row>
    <row r="49" spans="1:6">
      <c r="A49" s="1" t="s">
        <v>141</v>
      </c>
      <c r="B49" s="39">
        <f>(100)/B45</f>
        <v>2.2222222222222223E-5</v>
      </c>
      <c r="D49" s="1" t="s">
        <v>141</v>
      </c>
      <c r="E49" s="39">
        <f>(100)/E45</f>
        <v>5.7803468208092489E-6</v>
      </c>
    </row>
    <row r="50" spans="1:6">
      <c r="A50" s="1" t="s">
        <v>142</v>
      </c>
      <c r="B50" s="39">
        <f>100/EXP((B43*B52*LN(2))+LN(B48))</f>
        <v>6.6701184411835624E-6</v>
      </c>
      <c r="D50" s="1" t="s">
        <v>142</v>
      </c>
      <c r="E50" s="39">
        <f>100/EXP((E43*E52*LN(2))+LN(E48))</f>
        <v>1.0376243814601077E-5</v>
      </c>
    </row>
    <row r="51" spans="1:6">
      <c r="A51" s="1" t="s">
        <v>143</v>
      </c>
      <c r="B51" s="48">
        <f>((LN((10000000)/B48)/LN(2))/B43)</f>
        <v>2.3615602570289309</v>
      </c>
      <c r="D51" s="1" t="s">
        <v>143</v>
      </c>
      <c r="E51" s="48">
        <f>((LN((10000000)/E48)/LN(2))/E43)</f>
        <v>1.2567193297177917</v>
      </c>
    </row>
    <row r="52" spans="1:6">
      <c r="A52" s="1" t="s">
        <v>144</v>
      </c>
      <c r="B52" s="1">
        <v>2.5</v>
      </c>
      <c r="C52" t="s">
        <v>153</v>
      </c>
      <c r="D52" s="1" t="s">
        <v>144</v>
      </c>
      <c r="E52" s="1">
        <v>1.25</v>
      </c>
      <c r="F52" t="s">
        <v>158</v>
      </c>
    </row>
    <row r="53" spans="1:6">
      <c r="A53" s="1" t="s">
        <v>147</v>
      </c>
      <c r="B53" s="1"/>
      <c r="D53" s="1" t="s">
        <v>147</v>
      </c>
      <c r="E53" s="1"/>
    </row>
    <row r="54" spans="1:6">
      <c r="A54" s="1" t="s">
        <v>148</v>
      </c>
      <c r="B54" s="1"/>
      <c r="D54" s="1" t="s">
        <v>148</v>
      </c>
      <c r="E54" s="1"/>
    </row>
    <row r="55" spans="1:6">
      <c r="A55" s="1" t="s">
        <v>149</v>
      </c>
      <c r="B55" s="1"/>
      <c r="D55" s="1" t="s">
        <v>149</v>
      </c>
      <c r="E55" s="1"/>
    </row>
    <row r="56" spans="1:6">
      <c r="A56" s="74" t="s">
        <v>150</v>
      </c>
      <c r="B56" s="81">
        <f>100/B45</f>
        <v>2.2222222222222223E-5</v>
      </c>
      <c r="C56" s="7"/>
      <c r="D56" s="74" t="s">
        <v>150</v>
      </c>
      <c r="E56" s="81">
        <f>100/E45</f>
        <v>5.7803468208092489E-6</v>
      </c>
      <c r="F56" s="7"/>
    </row>
    <row r="57" spans="1:6">
      <c r="A57" s="7"/>
      <c r="C57" s="7"/>
      <c r="D57" s="7"/>
      <c r="F57" s="7"/>
    </row>
    <row r="58" spans="1:6">
      <c r="A58" s="1" t="s">
        <v>129</v>
      </c>
      <c r="B58" s="40">
        <v>234</v>
      </c>
      <c r="D58" s="7"/>
      <c r="E58" s="1" t="s">
        <v>155</v>
      </c>
      <c r="F58" s="7"/>
    </row>
    <row r="59" spans="1:6">
      <c r="A59" s="1" t="s">
        <v>1</v>
      </c>
      <c r="B59" s="41" t="s">
        <v>175</v>
      </c>
      <c r="D59" s="7"/>
      <c r="E59" s="44">
        <v>9.9999999999999995E-7</v>
      </c>
      <c r="F59" s="7"/>
    </row>
    <row r="60" spans="1:6">
      <c r="A60" s="1" t="s">
        <v>133</v>
      </c>
      <c r="B60" s="43">
        <v>8.2899999999999991</v>
      </c>
      <c r="D60" s="7"/>
      <c r="E60" s="44">
        <v>5.0000000000000004E-6</v>
      </c>
      <c r="F60" s="7"/>
    </row>
    <row r="61" spans="1:6">
      <c r="A61" s="1" t="s">
        <v>134</v>
      </c>
      <c r="B61" s="43">
        <v>8.2899999999999991</v>
      </c>
      <c r="D61" s="7"/>
      <c r="E61" s="45">
        <v>1.0000000000000001E-5</v>
      </c>
      <c r="F61" s="7"/>
    </row>
    <row r="62" spans="1:6">
      <c r="A62" s="1" t="s">
        <v>135</v>
      </c>
      <c r="B62" s="1">
        <v>1</v>
      </c>
      <c r="E62" s="47">
        <v>5.0000000000000002E-5</v>
      </c>
    </row>
    <row r="63" spans="1:6">
      <c r="A63" s="1" t="s">
        <v>136</v>
      </c>
      <c r="B63" s="46">
        <v>2710000</v>
      </c>
    </row>
    <row r="64" spans="1:6">
      <c r="A64" s="1" t="s">
        <v>137</v>
      </c>
      <c r="B64" s="39">
        <f>(100000)/B63</f>
        <v>3.6900369003690037E-2</v>
      </c>
    </row>
    <row r="65" spans="1:3">
      <c r="A65" s="1" t="s">
        <v>138</v>
      </c>
      <c r="B65" s="48">
        <f>B64*1000</f>
        <v>36.900369003690038</v>
      </c>
    </row>
    <row r="66" spans="1:3">
      <c r="A66" s="1" t="s">
        <v>140</v>
      </c>
      <c r="B66" s="39">
        <f>(B64*B63)/10</f>
        <v>10000</v>
      </c>
    </row>
    <row r="67" spans="1:3">
      <c r="A67" s="1" t="s">
        <v>141</v>
      </c>
      <c r="B67" s="39">
        <f>(100)/B63</f>
        <v>3.690036900369004E-5</v>
      </c>
    </row>
    <row r="68" spans="1:3">
      <c r="A68" s="1" t="s">
        <v>142</v>
      </c>
      <c r="B68" s="39">
        <f>100/EXP((B61*B70*LN(2))+LN(B66))</f>
        <v>7.5958550733008639E-6</v>
      </c>
    </row>
    <row r="69" spans="1:3">
      <c r="A69" s="1" t="s">
        <v>143</v>
      </c>
      <c r="B69" s="48">
        <f>((LN((10000000)/B66)/LN(2))/B61)</f>
        <v>1.2021452695611687</v>
      </c>
    </row>
    <row r="70" spans="1:3">
      <c r="A70" s="1" t="s">
        <v>144</v>
      </c>
      <c r="B70" s="1">
        <v>1.25</v>
      </c>
      <c r="C70" t="s">
        <v>158</v>
      </c>
    </row>
    <row r="71" spans="1:3">
      <c r="A71" s="1" t="s">
        <v>147</v>
      </c>
      <c r="B71" s="1"/>
    </row>
    <row r="72" spans="1:3">
      <c r="A72" s="1" t="s">
        <v>148</v>
      </c>
      <c r="B72" s="1"/>
    </row>
    <row r="73" spans="1:3">
      <c r="A73" s="1" t="s">
        <v>149</v>
      </c>
      <c r="B73" s="1"/>
    </row>
    <row r="74" spans="1:3">
      <c r="A74" s="74" t="s">
        <v>150</v>
      </c>
      <c r="B74" s="49">
        <f>100/B63</f>
        <v>3.690036900369004E-5</v>
      </c>
    </row>
  </sheetData>
  <pageMargins left="0.7" right="0.7" top="0.75" bottom="0.75" header="0.3" footer="0.3"/>
  <pageSetup scale="61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36597-5E04-48C9-8C14-45040D6B0CDE}">
  <sheetPr>
    <pageSetUpPr fitToPage="1"/>
  </sheetPr>
  <dimension ref="A1:F74"/>
  <sheetViews>
    <sheetView topLeftCell="A43" workbookViewId="0">
      <selection sqref="A1:F74"/>
    </sheetView>
  </sheetViews>
  <sheetFormatPr defaultRowHeight="14.45"/>
  <cols>
    <col min="1" max="1" width="44.28515625" bestFit="1" customWidth="1"/>
    <col min="2" max="2" width="19.42578125" bestFit="1" customWidth="1"/>
    <col min="3" max="3" width="10" customWidth="1"/>
    <col min="4" max="4" width="44.28515625" bestFit="1" customWidth="1"/>
    <col min="5" max="5" width="19.42578125" bestFit="1" customWidth="1"/>
  </cols>
  <sheetData>
    <row r="1" spans="1:6">
      <c r="A1" t="s">
        <v>176</v>
      </c>
    </row>
    <row r="2" spans="1:6">
      <c r="A2" t="s">
        <v>177</v>
      </c>
    </row>
    <row r="4" spans="1:6">
      <c r="A4" s="1" t="s">
        <v>129</v>
      </c>
      <c r="B4" s="40">
        <v>233</v>
      </c>
      <c r="D4" s="1" t="s">
        <v>129</v>
      </c>
      <c r="E4" s="40">
        <v>45</v>
      </c>
    </row>
    <row r="5" spans="1:6">
      <c r="A5" s="1" t="s">
        <v>1</v>
      </c>
      <c r="B5" s="41" t="s">
        <v>169</v>
      </c>
      <c r="D5" s="1" t="s">
        <v>1</v>
      </c>
      <c r="E5" s="41" t="s">
        <v>170</v>
      </c>
    </row>
    <row r="6" spans="1:6">
      <c r="A6" s="1" t="s">
        <v>133</v>
      </c>
      <c r="B6" s="43">
        <v>6.14</v>
      </c>
      <c r="D6" s="1" t="s">
        <v>133</v>
      </c>
      <c r="E6" s="43">
        <v>13.66</v>
      </c>
    </row>
    <row r="7" spans="1:6">
      <c r="A7" s="1" t="s">
        <v>134</v>
      </c>
      <c r="B7" s="43">
        <v>8</v>
      </c>
      <c r="D7" s="1" t="s">
        <v>134</v>
      </c>
      <c r="E7" s="43">
        <v>12.75</v>
      </c>
    </row>
    <row r="8" spans="1:6">
      <c r="A8" s="1" t="s">
        <v>135</v>
      </c>
      <c r="B8" s="1">
        <v>2</v>
      </c>
      <c r="D8" s="1" t="s">
        <v>135</v>
      </c>
      <c r="E8" s="1">
        <v>2</v>
      </c>
    </row>
    <row r="9" spans="1:6">
      <c r="A9" s="1" t="s">
        <v>136</v>
      </c>
      <c r="B9" s="46">
        <v>4700000</v>
      </c>
      <c r="D9" s="1" t="s">
        <v>136</v>
      </c>
      <c r="E9" s="46">
        <v>8500000</v>
      </c>
    </row>
    <row r="10" spans="1:6">
      <c r="A10" s="1" t="s">
        <v>137</v>
      </c>
      <c r="B10" s="39">
        <f>(100000)/B9</f>
        <v>2.1276595744680851E-2</v>
      </c>
      <c r="D10" s="1" t="s">
        <v>137</v>
      </c>
      <c r="E10" s="39">
        <f>(100000)/E9</f>
        <v>1.1764705882352941E-2</v>
      </c>
    </row>
    <row r="11" spans="1:6">
      <c r="A11" s="1" t="s">
        <v>138</v>
      </c>
      <c r="B11" s="48">
        <f>B10*1000</f>
        <v>21.276595744680851</v>
      </c>
      <c r="D11" s="1" t="s">
        <v>138</v>
      </c>
      <c r="E11" s="48">
        <f>E10*1000</f>
        <v>11.76470588235294</v>
      </c>
    </row>
    <row r="12" spans="1:6">
      <c r="A12" s="1" t="s">
        <v>140</v>
      </c>
      <c r="B12" s="39">
        <f>(B10*B9)/10</f>
        <v>10000</v>
      </c>
      <c r="D12" s="1" t="s">
        <v>140</v>
      </c>
      <c r="E12" s="39">
        <f>(E10*E9)/10</f>
        <v>10000</v>
      </c>
    </row>
    <row r="13" spans="1:6">
      <c r="A13" s="1" t="s">
        <v>141</v>
      </c>
      <c r="B13" s="39">
        <f>(100)/B9</f>
        <v>2.1276595744680852E-5</v>
      </c>
      <c r="D13" s="1" t="s">
        <v>141</v>
      </c>
      <c r="E13" s="39">
        <f>(100)/E9</f>
        <v>1.1764705882352942E-5</v>
      </c>
    </row>
    <row r="14" spans="1:6">
      <c r="A14" s="1" t="s">
        <v>142</v>
      </c>
      <c r="B14" s="39">
        <f>100/EXP((B7*B16*LN(2))+LN(B12))</f>
        <v>9.7656249999999816E-6</v>
      </c>
      <c r="D14" s="1" t="s">
        <v>142</v>
      </c>
      <c r="E14" s="39">
        <f>100/EXP((E7*E16*LN(2))+LN(E12))</f>
        <v>1.3225151825555581E-5</v>
      </c>
    </row>
    <row r="15" spans="1:6">
      <c r="A15" s="1" t="s">
        <v>143</v>
      </c>
      <c r="B15" s="48">
        <f>((LN((10000000)/B12)/LN(2))/B7)</f>
        <v>1.2457230355827609</v>
      </c>
      <c r="D15" s="1" t="s">
        <v>143</v>
      </c>
      <c r="E15" s="48">
        <f>((LN((10000000)/E12)/LN(2))/E7)</f>
        <v>0.78163013997349706</v>
      </c>
    </row>
    <row r="16" spans="1:6">
      <c r="A16" s="1" t="s">
        <v>144</v>
      </c>
      <c r="B16" s="1">
        <v>1.25</v>
      </c>
      <c r="C16" t="s">
        <v>158</v>
      </c>
      <c r="D16" s="1" t="s">
        <v>144</v>
      </c>
      <c r="E16" s="1">
        <v>0.75</v>
      </c>
      <c r="F16" s="65" t="s">
        <v>146</v>
      </c>
    </row>
    <row r="17" spans="1:5">
      <c r="A17" s="1" t="s">
        <v>147</v>
      </c>
      <c r="B17" s="1"/>
      <c r="D17" s="1" t="s">
        <v>147</v>
      </c>
      <c r="E17" s="1"/>
    </row>
    <row r="18" spans="1:5">
      <c r="A18" s="1" t="s">
        <v>148</v>
      </c>
      <c r="B18" s="1"/>
      <c r="D18" s="1" t="s">
        <v>148</v>
      </c>
      <c r="E18" s="1"/>
    </row>
    <row r="19" spans="1:5">
      <c r="A19" s="1" t="s">
        <v>149</v>
      </c>
      <c r="B19" s="1"/>
      <c r="D19" s="1" t="s">
        <v>149</v>
      </c>
      <c r="E19" s="1"/>
    </row>
    <row r="20" spans="1:5">
      <c r="A20" s="74" t="s">
        <v>150</v>
      </c>
      <c r="B20" s="49">
        <f>100/B9</f>
        <v>2.1276595744680852E-5</v>
      </c>
      <c r="C20" s="62"/>
      <c r="D20" s="49" t="s">
        <v>150</v>
      </c>
      <c r="E20" s="49">
        <f>100/E9</f>
        <v>1.1764705882352942E-5</v>
      </c>
    </row>
    <row r="22" spans="1:5">
      <c r="A22" s="1" t="s">
        <v>129</v>
      </c>
      <c r="B22" s="40">
        <v>52</v>
      </c>
      <c r="D22" s="1" t="s">
        <v>129</v>
      </c>
      <c r="E22" s="40" t="s">
        <v>101</v>
      </c>
    </row>
    <row r="23" spans="1:5">
      <c r="A23" s="1" t="s">
        <v>1</v>
      </c>
      <c r="B23" s="41" t="s">
        <v>171</v>
      </c>
      <c r="D23" s="1" t="s">
        <v>1</v>
      </c>
      <c r="E23" s="41" t="s">
        <v>172</v>
      </c>
    </row>
    <row r="24" spans="1:5">
      <c r="A24" s="1" t="s">
        <v>133</v>
      </c>
      <c r="B24" s="43">
        <v>15.64</v>
      </c>
      <c r="D24" s="1" t="s">
        <v>133</v>
      </c>
      <c r="E24" s="43">
        <v>18.170000000000002</v>
      </c>
    </row>
    <row r="25" spans="1:5">
      <c r="A25" s="1" t="s">
        <v>134</v>
      </c>
      <c r="B25" s="43">
        <v>14.86</v>
      </c>
      <c r="D25" s="1" t="s">
        <v>134</v>
      </c>
      <c r="E25" s="43">
        <v>17.850000000000001</v>
      </c>
    </row>
    <row r="26" spans="1:5">
      <c r="A26" s="1" t="s">
        <v>135</v>
      </c>
      <c r="B26" s="1">
        <v>2</v>
      </c>
      <c r="D26" s="1" t="s">
        <v>135</v>
      </c>
      <c r="E26" s="1">
        <v>2</v>
      </c>
    </row>
    <row r="27" spans="1:5">
      <c r="A27" s="1" t="s">
        <v>136</v>
      </c>
      <c r="B27" s="46">
        <v>5300000</v>
      </c>
      <c r="D27" s="1" t="s">
        <v>136</v>
      </c>
      <c r="E27" s="46">
        <v>539000000</v>
      </c>
    </row>
    <row r="28" spans="1:5">
      <c r="A28" s="1" t="s">
        <v>137</v>
      </c>
      <c r="B28" s="39">
        <f>(100000)/B27</f>
        <v>1.8867924528301886E-2</v>
      </c>
      <c r="D28" s="1" t="s">
        <v>137</v>
      </c>
      <c r="E28" s="39">
        <f>(100000)/E27</f>
        <v>1.8552875695732838E-4</v>
      </c>
    </row>
    <row r="29" spans="1:5">
      <c r="A29" s="1" t="s">
        <v>138</v>
      </c>
      <c r="B29" s="48">
        <f>B28*1000</f>
        <v>18.867924528301884</v>
      </c>
      <c r="D29" s="1" t="s">
        <v>138</v>
      </c>
      <c r="E29" s="48">
        <f>E28*1000</f>
        <v>0.18552875695732837</v>
      </c>
    </row>
    <row r="30" spans="1:5">
      <c r="A30" s="1" t="s">
        <v>140</v>
      </c>
      <c r="B30" s="39">
        <f>(B28*B27)/10</f>
        <v>10000</v>
      </c>
      <c r="D30" s="1" t="s">
        <v>140</v>
      </c>
      <c r="E30" s="39">
        <f>(E28*E27)/10</f>
        <v>10000</v>
      </c>
    </row>
    <row r="31" spans="1:5">
      <c r="A31" s="1" t="s">
        <v>141</v>
      </c>
      <c r="B31" s="39">
        <f>(100)/B27</f>
        <v>1.8867924528301888E-5</v>
      </c>
      <c r="D31" s="1" t="s">
        <v>141</v>
      </c>
      <c r="E31" s="39">
        <f>(100)/E27</f>
        <v>1.855287569573284E-7</v>
      </c>
    </row>
    <row r="32" spans="1:5">
      <c r="A32" s="1" t="s">
        <v>142</v>
      </c>
      <c r="B32" s="39">
        <f>100/EXP((B25*B34*LN(2))+LN(B30))</f>
        <v>4.4159149294975046E-6</v>
      </c>
      <c r="D32" s="1" t="s">
        <v>142</v>
      </c>
      <c r="E32" s="39">
        <f>100/EXP((E25*E34*LN(2))+LN(E30))</f>
        <v>5.9699232309182904E-6</v>
      </c>
    </row>
    <row r="33" spans="1:6">
      <c r="A33" s="1" t="s">
        <v>143</v>
      </c>
      <c r="B33" s="48">
        <f>((LN((10000000)/B30)/LN(2))/B25)</f>
        <v>0.67064497204993856</v>
      </c>
      <c r="D33" s="1" t="s">
        <v>143</v>
      </c>
      <c r="E33" s="48">
        <f>((LN((10000000)/E30)/LN(2))/E25)</f>
        <v>0.55830724283821209</v>
      </c>
    </row>
    <row r="34" spans="1:6">
      <c r="A34" s="1" t="s">
        <v>144</v>
      </c>
      <c r="B34" s="1">
        <v>0.75</v>
      </c>
      <c r="C34" t="s">
        <v>146</v>
      </c>
      <c r="D34" s="1" t="s">
        <v>144</v>
      </c>
      <c r="E34" s="1">
        <v>0.6</v>
      </c>
      <c r="F34" s="65" t="s">
        <v>145</v>
      </c>
    </row>
    <row r="35" spans="1:6">
      <c r="A35" s="1" t="s">
        <v>147</v>
      </c>
      <c r="B35" s="1"/>
      <c r="D35" s="1" t="s">
        <v>147</v>
      </c>
      <c r="E35" s="1"/>
    </row>
    <row r="36" spans="1:6">
      <c r="A36" s="1" t="s">
        <v>148</v>
      </c>
      <c r="B36" s="1"/>
      <c r="D36" s="1" t="s">
        <v>148</v>
      </c>
      <c r="E36" s="1"/>
    </row>
    <row r="37" spans="1:6">
      <c r="A37" s="1" t="s">
        <v>149</v>
      </c>
      <c r="B37" s="1"/>
      <c r="D37" s="1" t="s">
        <v>149</v>
      </c>
      <c r="E37" s="1"/>
    </row>
    <row r="38" spans="1:6">
      <c r="A38" s="50" t="s">
        <v>150</v>
      </c>
      <c r="B38" s="6">
        <f>100/B27</f>
        <v>1.8867924528301888E-5</v>
      </c>
      <c r="C38" s="62"/>
      <c r="D38" s="74" t="s">
        <v>150</v>
      </c>
      <c r="E38" s="49">
        <f>100/E27</f>
        <v>1.855287569573284E-7</v>
      </c>
    </row>
    <row r="39" spans="1:6">
      <c r="A39" s="50"/>
      <c r="B39" s="6"/>
      <c r="C39" s="62"/>
      <c r="D39" s="4"/>
      <c r="E39" s="6"/>
    </row>
    <row r="40" spans="1:6">
      <c r="A40" s="1" t="s">
        <v>129</v>
      </c>
      <c r="B40" s="40">
        <v>214</v>
      </c>
      <c r="D40" s="1" t="s">
        <v>129</v>
      </c>
      <c r="E40" s="40">
        <v>217</v>
      </c>
    </row>
    <row r="41" spans="1:6">
      <c r="A41" s="1" t="s">
        <v>1</v>
      </c>
      <c r="B41" s="41" t="s">
        <v>173</v>
      </c>
      <c r="D41" s="1" t="s">
        <v>1</v>
      </c>
      <c r="E41" s="41" t="s">
        <v>174</v>
      </c>
    </row>
    <row r="42" spans="1:6">
      <c r="A42" s="1" t="s">
        <v>133</v>
      </c>
      <c r="B42" s="43">
        <v>4.22</v>
      </c>
      <c r="D42" s="1" t="s">
        <v>133</v>
      </c>
      <c r="E42" s="43">
        <v>7.93</v>
      </c>
    </row>
    <row r="43" spans="1:6">
      <c r="A43" s="1" t="s">
        <v>134</v>
      </c>
      <c r="B43" s="43">
        <v>6.42</v>
      </c>
      <c r="D43" s="1" t="s">
        <v>134</v>
      </c>
      <c r="E43" s="43">
        <v>10.02</v>
      </c>
    </row>
    <row r="44" spans="1:6">
      <c r="A44" s="1" t="s">
        <v>135</v>
      </c>
      <c r="B44" s="1">
        <v>2</v>
      </c>
      <c r="D44" s="1" t="s">
        <v>135</v>
      </c>
      <c r="E44" s="1">
        <v>2</v>
      </c>
    </row>
    <row r="45" spans="1:6">
      <c r="A45" s="1" t="s">
        <v>136</v>
      </c>
      <c r="B45" s="46">
        <v>179000000</v>
      </c>
      <c r="D45" s="1" t="s">
        <v>136</v>
      </c>
      <c r="E45" s="46">
        <v>9900000</v>
      </c>
    </row>
    <row r="46" spans="1:6">
      <c r="A46" s="1" t="s">
        <v>137</v>
      </c>
      <c r="B46" s="39">
        <f>(100000)/B45</f>
        <v>5.5865921787709492E-4</v>
      </c>
      <c r="D46" s="1" t="s">
        <v>137</v>
      </c>
      <c r="E46" s="39">
        <f>(100000)/E45</f>
        <v>1.0101010101010102E-2</v>
      </c>
    </row>
    <row r="47" spans="1:6">
      <c r="A47" s="1" t="s">
        <v>138</v>
      </c>
      <c r="B47" s="48">
        <f>B46*1000</f>
        <v>0.55865921787709494</v>
      </c>
      <c r="D47" s="1" t="s">
        <v>138</v>
      </c>
      <c r="E47" s="48">
        <f>E46*1000</f>
        <v>10.101010101010102</v>
      </c>
    </row>
    <row r="48" spans="1:6">
      <c r="A48" s="1" t="s">
        <v>140</v>
      </c>
      <c r="B48" s="39">
        <f>(B46*B45)/10</f>
        <v>9999.9999999999982</v>
      </c>
      <c r="D48" s="1" t="s">
        <v>140</v>
      </c>
      <c r="E48" s="39">
        <f>(E46*E45)/10</f>
        <v>10000.000000000002</v>
      </c>
    </row>
    <row r="49" spans="1:6">
      <c r="A49" s="1" t="s">
        <v>141</v>
      </c>
      <c r="B49" s="39">
        <f>(100)/B45</f>
        <v>5.5865921787709501E-7</v>
      </c>
      <c r="D49" s="1" t="s">
        <v>141</v>
      </c>
      <c r="E49" s="39">
        <f>(100)/E45</f>
        <v>1.0101010101010101E-5</v>
      </c>
    </row>
    <row r="50" spans="1:6">
      <c r="A50" s="1" t="s">
        <v>142</v>
      </c>
      <c r="B50" s="39">
        <f>100/EXP((B43*B52*LN(2))+LN(B48))</f>
        <v>1.2620633111694284E-5</v>
      </c>
      <c r="D50" s="1" t="s">
        <v>142</v>
      </c>
      <c r="E50" s="39">
        <f>100/EXP((E43*E52*LN(2))+LN(E48))</f>
        <v>9.631178754817956E-6</v>
      </c>
    </row>
    <row r="51" spans="1:6">
      <c r="A51" s="1" t="s">
        <v>143</v>
      </c>
      <c r="B51" s="48">
        <f>((LN((10000000)/B48)/LN(2))/B43)</f>
        <v>1.5523028480782071</v>
      </c>
      <c r="D51" s="1" t="s">
        <v>143</v>
      </c>
      <c r="E51" s="48">
        <f>((LN((10000000)/E48)/LN(2))/E43)</f>
        <v>0.99458924996627618</v>
      </c>
    </row>
    <row r="52" spans="1:6">
      <c r="A52" s="1" t="s">
        <v>144</v>
      </c>
      <c r="B52" s="1">
        <v>1.5</v>
      </c>
      <c r="C52" t="s">
        <v>178</v>
      </c>
      <c r="D52" s="1" t="s">
        <v>144</v>
      </c>
      <c r="E52" s="1">
        <v>1</v>
      </c>
      <c r="F52" s="65" t="s">
        <v>154</v>
      </c>
    </row>
    <row r="53" spans="1:6">
      <c r="A53" s="1" t="s">
        <v>147</v>
      </c>
      <c r="B53" s="1"/>
      <c r="D53" s="1" t="s">
        <v>147</v>
      </c>
      <c r="E53" s="1"/>
    </row>
    <row r="54" spans="1:6">
      <c r="A54" s="1" t="s">
        <v>148</v>
      </c>
      <c r="B54" s="1"/>
      <c r="D54" s="1" t="s">
        <v>148</v>
      </c>
      <c r="E54" s="1"/>
    </row>
    <row r="55" spans="1:6">
      <c r="A55" s="1" t="s">
        <v>149</v>
      </c>
      <c r="B55" s="1"/>
      <c r="D55" s="1" t="s">
        <v>149</v>
      </c>
      <c r="E55" s="1"/>
    </row>
    <row r="56" spans="1:6">
      <c r="A56" s="74" t="s">
        <v>150</v>
      </c>
      <c r="B56" s="81">
        <f>100/B45</f>
        <v>5.5865921787709501E-7</v>
      </c>
      <c r="C56" s="7"/>
      <c r="D56" s="74" t="s">
        <v>150</v>
      </c>
      <c r="E56" s="81">
        <f>100/E45</f>
        <v>1.0101010101010101E-5</v>
      </c>
    </row>
    <row r="57" spans="1:6">
      <c r="A57" s="7"/>
      <c r="C57" s="7"/>
      <c r="D57" s="7"/>
    </row>
    <row r="58" spans="1:6">
      <c r="A58" s="1" t="s">
        <v>129</v>
      </c>
      <c r="B58" s="40">
        <v>234</v>
      </c>
      <c r="D58" s="7"/>
      <c r="E58" s="1" t="s">
        <v>155</v>
      </c>
    </row>
    <row r="59" spans="1:6">
      <c r="A59" s="1" t="s">
        <v>1</v>
      </c>
      <c r="B59" s="41" t="s">
        <v>175</v>
      </c>
      <c r="D59" s="7"/>
      <c r="E59" s="44">
        <v>9.9999999999999995E-7</v>
      </c>
    </row>
    <row r="60" spans="1:6">
      <c r="A60" s="1" t="s">
        <v>133</v>
      </c>
      <c r="B60" s="43">
        <v>8.2899999999999991</v>
      </c>
      <c r="D60" s="7"/>
      <c r="E60" s="44">
        <v>5.0000000000000004E-6</v>
      </c>
    </row>
    <row r="61" spans="1:6">
      <c r="A61" s="1" t="s">
        <v>134</v>
      </c>
      <c r="B61" s="43">
        <v>9.67</v>
      </c>
      <c r="D61" s="7"/>
      <c r="E61" s="45">
        <v>1.0000000000000001E-5</v>
      </c>
    </row>
    <row r="62" spans="1:6">
      <c r="A62" s="1" t="s">
        <v>135</v>
      </c>
      <c r="B62" s="1">
        <v>1</v>
      </c>
      <c r="E62" s="47">
        <v>5.0000000000000002E-5</v>
      </c>
    </row>
    <row r="63" spans="1:6">
      <c r="A63" s="1" t="s">
        <v>136</v>
      </c>
      <c r="B63" s="46">
        <v>2720000</v>
      </c>
    </row>
    <row r="64" spans="1:6">
      <c r="A64" s="1" t="s">
        <v>137</v>
      </c>
      <c r="B64" s="39">
        <f>(100000)/B63</f>
        <v>3.6764705882352942E-2</v>
      </c>
    </row>
    <row r="65" spans="1:3">
      <c r="A65" s="1" t="s">
        <v>138</v>
      </c>
      <c r="B65" s="48">
        <f>B64*1000</f>
        <v>36.764705882352942</v>
      </c>
    </row>
    <row r="66" spans="1:3">
      <c r="A66" s="1" t="s">
        <v>140</v>
      </c>
      <c r="B66" s="39">
        <f>(B64*B63)/10</f>
        <v>10000</v>
      </c>
    </row>
    <row r="67" spans="1:3">
      <c r="A67" s="1" t="s">
        <v>141</v>
      </c>
      <c r="B67" s="39">
        <f>(100)/B63</f>
        <v>3.6764705882352938E-5</v>
      </c>
    </row>
    <row r="68" spans="1:3">
      <c r="A68" s="1" t="s">
        <v>142</v>
      </c>
      <c r="B68" s="39">
        <f>100/EXP((B61*B70*LN(2))+LN(B66))</f>
        <v>1.2275521235564718E-5</v>
      </c>
    </row>
    <row r="69" spans="1:3">
      <c r="A69" s="1" t="s">
        <v>143</v>
      </c>
      <c r="B69" s="48">
        <f>((LN((10000000)/B66)/LN(2))/B61)</f>
        <v>1.0305878267489232</v>
      </c>
    </row>
    <row r="70" spans="1:3">
      <c r="A70" s="1" t="s">
        <v>144</v>
      </c>
      <c r="B70" s="1">
        <v>1</v>
      </c>
      <c r="C70" t="s">
        <v>154</v>
      </c>
    </row>
    <row r="71" spans="1:3">
      <c r="A71" s="1" t="s">
        <v>147</v>
      </c>
      <c r="B71" s="1"/>
    </row>
    <row r="72" spans="1:3">
      <c r="A72" s="1" t="s">
        <v>148</v>
      </c>
      <c r="B72" s="1"/>
    </row>
    <row r="73" spans="1:3">
      <c r="A73" s="1" t="s">
        <v>149</v>
      </c>
      <c r="B73" s="1"/>
    </row>
    <row r="74" spans="1:3">
      <c r="A74" s="74" t="s">
        <v>150</v>
      </c>
      <c r="B74" s="49">
        <f>100/B63</f>
        <v>3.6764705882352938E-5</v>
      </c>
    </row>
  </sheetData>
  <pageMargins left="0.7" right="0.7" top="0.75" bottom="0.75" header="0.3" footer="0.3"/>
  <pageSetup scale="61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72F6-8138-4A0E-AC61-3B3DF75345A8}">
  <sheetPr>
    <pageSetUpPr fitToPage="1"/>
  </sheetPr>
  <dimension ref="A1:F74"/>
  <sheetViews>
    <sheetView workbookViewId="0">
      <selection activeCell="C11" sqref="C11"/>
    </sheetView>
  </sheetViews>
  <sheetFormatPr defaultRowHeight="14.45"/>
  <cols>
    <col min="1" max="1" width="44.28515625" bestFit="1" customWidth="1"/>
    <col min="2" max="2" width="19.42578125" bestFit="1" customWidth="1"/>
    <col min="3" max="3" width="10" customWidth="1"/>
    <col min="4" max="4" width="44.28515625" bestFit="1" customWidth="1"/>
    <col min="5" max="5" width="19.42578125" bestFit="1" customWidth="1"/>
  </cols>
  <sheetData>
    <row r="1" spans="1:6">
      <c r="A1" t="s">
        <v>179</v>
      </c>
    </row>
    <row r="2" spans="1:6">
      <c r="A2" t="s">
        <v>180</v>
      </c>
    </row>
    <row r="4" spans="1:6">
      <c r="A4" s="1" t="s">
        <v>129</v>
      </c>
      <c r="B4" s="40">
        <v>233</v>
      </c>
      <c r="D4" s="1" t="s">
        <v>129</v>
      </c>
      <c r="E4" s="40">
        <v>45</v>
      </c>
    </row>
    <row r="5" spans="1:6">
      <c r="A5" s="1" t="s">
        <v>1</v>
      </c>
      <c r="B5" s="41" t="s">
        <v>169</v>
      </c>
      <c r="D5" s="1" t="s">
        <v>1</v>
      </c>
      <c r="E5" s="41" t="s">
        <v>170</v>
      </c>
    </row>
    <row r="6" spans="1:6">
      <c r="A6" s="1" t="s">
        <v>133</v>
      </c>
      <c r="B6" s="43">
        <v>6.14</v>
      </c>
      <c r="D6" s="1" t="s">
        <v>133</v>
      </c>
      <c r="E6" s="43">
        <v>13.66</v>
      </c>
    </row>
    <row r="7" spans="1:6">
      <c r="A7" s="1" t="s">
        <v>134</v>
      </c>
      <c r="B7" s="43">
        <v>8.86</v>
      </c>
      <c r="D7" s="1" t="s">
        <v>134</v>
      </c>
      <c r="E7" s="43">
        <v>12.83</v>
      </c>
    </row>
    <row r="8" spans="1:6">
      <c r="A8" s="1" t="s">
        <v>135</v>
      </c>
      <c r="B8" s="1">
        <v>3</v>
      </c>
      <c r="D8" s="1" t="s">
        <v>135</v>
      </c>
      <c r="E8" s="1">
        <v>3</v>
      </c>
    </row>
    <row r="9" spans="1:6">
      <c r="A9" s="1" t="s">
        <v>136</v>
      </c>
      <c r="B9" s="46">
        <v>116000000</v>
      </c>
      <c r="D9" s="1" t="s">
        <v>136</v>
      </c>
      <c r="E9" s="46">
        <v>6500000</v>
      </c>
    </row>
    <row r="10" spans="1:6">
      <c r="A10" s="1" t="s">
        <v>137</v>
      </c>
      <c r="B10" s="39">
        <f>(100000)/B9</f>
        <v>8.6206896551724137E-4</v>
      </c>
      <c r="D10" s="1" t="s">
        <v>137</v>
      </c>
      <c r="E10" s="39">
        <f>(100000)/E9</f>
        <v>1.5384615384615385E-2</v>
      </c>
    </row>
    <row r="11" spans="1:6">
      <c r="A11" s="1" t="s">
        <v>138</v>
      </c>
      <c r="B11" s="48">
        <f>B10*1000</f>
        <v>0.86206896551724133</v>
      </c>
      <c r="D11" s="1" t="s">
        <v>138</v>
      </c>
      <c r="E11" s="48">
        <f>E10*1000</f>
        <v>15.384615384615385</v>
      </c>
    </row>
    <row r="12" spans="1:6">
      <c r="A12" s="1" t="s">
        <v>140</v>
      </c>
      <c r="B12" s="39">
        <f>(B10*B9)/10</f>
        <v>10000</v>
      </c>
      <c r="D12" s="1" t="s">
        <v>140</v>
      </c>
      <c r="E12" s="39">
        <f>(E10*E9)/10</f>
        <v>10000</v>
      </c>
    </row>
    <row r="13" spans="1:6">
      <c r="A13" s="1" t="s">
        <v>141</v>
      </c>
      <c r="B13" s="39">
        <f>(100)/B9</f>
        <v>8.6206896551724135E-7</v>
      </c>
      <c r="D13" s="1" t="s">
        <v>141</v>
      </c>
      <c r="E13" s="39">
        <f>(100)/E9</f>
        <v>1.5384615384615384E-5</v>
      </c>
    </row>
    <row r="14" spans="1:6">
      <c r="A14" s="1" t="s">
        <v>142</v>
      </c>
      <c r="B14" s="39">
        <f>100/EXP((B7*B16*LN(2))+LN(B12))</f>
        <v>4.6354595749537159E-6</v>
      </c>
      <c r="D14" s="1" t="s">
        <v>142</v>
      </c>
      <c r="E14" s="39">
        <f>100/EXP((E7*E16*LN(2))+LN(E12))</f>
        <v>1.2686413618884489E-5</v>
      </c>
    </row>
    <row r="15" spans="1:6">
      <c r="A15" s="1" t="s">
        <v>143</v>
      </c>
      <c r="B15" s="48">
        <f>((LN((10000000)/B12)/LN(2))/B7)</f>
        <v>1.1248063526706644</v>
      </c>
      <c r="D15" s="1" t="s">
        <v>143</v>
      </c>
      <c r="E15" s="48">
        <f>((LN((10000000)/E12)/LN(2))/E7)</f>
        <v>0.77675637448652279</v>
      </c>
    </row>
    <row r="16" spans="1:6">
      <c r="A16" s="1" t="s">
        <v>144</v>
      </c>
      <c r="B16" s="1">
        <v>1.25</v>
      </c>
      <c r="C16" t="s">
        <v>158</v>
      </c>
      <c r="D16" s="1" t="s">
        <v>144</v>
      </c>
      <c r="E16" s="1">
        <v>0.75</v>
      </c>
      <c r="F16" s="65" t="s">
        <v>146</v>
      </c>
    </row>
    <row r="17" spans="1:5">
      <c r="A17" s="1" t="s">
        <v>147</v>
      </c>
      <c r="B17" s="1"/>
      <c r="D17" s="1" t="s">
        <v>147</v>
      </c>
      <c r="E17" s="1"/>
    </row>
    <row r="18" spans="1:5">
      <c r="A18" s="1" t="s">
        <v>148</v>
      </c>
      <c r="B18" s="1"/>
      <c r="D18" s="1" t="s">
        <v>148</v>
      </c>
      <c r="E18" s="1"/>
    </row>
    <row r="19" spans="1:5">
      <c r="A19" s="1" t="s">
        <v>149</v>
      </c>
      <c r="B19" s="1"/>
      <c r="D19" s="1" t="s">
        <v>149</v>
      </c>
      <c r="E19" s="1"/>
    </row>
    <row r="20" spans="1:5">
      <c r="A20" s="74" t="s">
        <v>150</v>
      </c>
      <c r="B20" s="49">
        <f>100/B9</f>
        <v>8.6206896551724135E-7</v>
      </c>
      <c r="C20" s="62"/>
      <c r="D20" s="49" t="s">
        <v>150</v>
      </c>
      <c r="E20" s="49">
        <f>100/E9</f>
        <v>1.5384615384615384E-5</v>
      </c>
    </row>
    <row r="22" spans="1:5">
      <c r="A22" s="1" t="s">
        <v>129</v>
      </c>
      <c r="B22" s="40">
        <v>52</v>
      </c>
      <c r="D22" s="1" t="s">
        <v>129</v>
      </c>
      <c r="E22" s="40" t="s">
        <v>101</v>
      </c>
    </row>
    <row r="23" spans="1:5">
      <c r="A23" s="1" t="s">
        <v>1</v>
      </c>
      <c r="B23" s="41" t="s">
        <v>171</v>
      </c>
      <c r="D23" s="1" t="s">
        <v>1</v>
      </c>
      <c r="E23" s="41" t="s">
        <v>172</v>
      </c>
    </row>
    <row r="24" spans="1:5">
      <c r="A24" s="1" t="s">
        <v>133</v>
      </c>
      <c r="B24" s="43">
        <v>15.64</v>
      </c>
      <c r="D24" s="1" t="s">
        <v>133</v>
      </c>
      <c r="E24" s="43">
        <v>18.170000000000002</v>
      </c>
    </row>
    <row r="25" spans="1:5">
      <c r="A25" s="1" t="s">
        <v>134</v>
      </c>
      <c r="B25" s="43">
        <v>11.22</v>
      </c>
      <c r="D25" s="1" t="s">
        <v>134</v>
      </c>
      <c r="E25" s="43">
        <v>14.83</v>
      </c>
    </row>
    <row r="26" spans="1:5">
      <c r="A26" s="1" t="s">
        <v>135</v>
      </c>
      <c r="B26" s="1">
        <v>3</v>
      </c>
      <c r="D26" s="1" t="s">
        <v>135</v>
      </c>
      <c r="E26" s="1">
        <v>3</v>
      </c>
    </row>
    <row r="27" spans="1:5">
      <c r="A27" s="1" t="s">
        <v>136</v>
      </c>
      <c r="B27" s="46">
        <v>25000000</v>
      </c>
      <c r="D27" s="1" t="s">
        <v>136</v>
      </c>
      <c r="E27" s="46">
        <v>45000000</v>
      </c>
    </row>
    <row r="28" spans="1:5">
      <c r="A28" s="1" t="s">
        <v>137</v>
      </c>
      <c r="B28" s="39">
        <f>(100000)/B27</f>
        <v>4.0000000000000001E-3</v>
      </c>
      <c r="D28" s="1" t="s">
        <v>137</v>
      </c>
      <c r="E28" s="39">
        <f>(100000)/E27</f>
        <v>2.2222222222222222E-3</v>
      </c>
    </row>
    <row r="29" spans="1:5">
      <c r="A29" s="1" t="s">
        <v>138</v>
      </c>
      <c r="B29" s="48">
        <f>B28*1000</f>
        <v>4</v>
      </c>
      <c r="D29" s="1" t="s">
        <v>138</v>
      </c>
      <c r="E29" s="48">
        <f>E28*1000</f>
        <v>2.2222222222222223</v>
      </c>
    </row>
    <row r="30" spans="1:5">
      <c r="A30" s="1" t="s">
        <v>140</v>
      </c>
      <c r="B30" s="39">
        <f>(B28*B27)/10</f>
        <v>10000</v>
      </c>
      <c r="D30" s="1" t="s">
        <v>140</v>
      </c>
      <c r="E30" s="39">
        <f>(E28*E27)/10</f>
        <v>10000</v>
      </c>
    </row>
    <row r="31" spans="1:5">
      <c r="A31" s="1" t="s">
        <v>141</v>
      </c>
      <c r="B31" s="39">
        <f>(100)/B27</f>
        <v>3.9999999999999998E-6</v>
      </c>
      <c r="D31" s="1" t="s">
        <v>141</v>
      </c>
      <c r="E31" s="39">
        <f>(100)/E27</f>
        <v>2.2222222222222221E-6</v>
      </c>
    </row>
    <row r="32" spans="1:5">
      <c r="A32" s="1" t="s">
        <v>142</v>
      </c>
      <c r="B32" s="39">
        <f>100/EXP((B25*B34*LN(2))+LN(B30))</f>
        <v>4.1922140451062165E-6</v>
      </c>
      <c r="D32" s="1" t="s">
        <v>142</v>
      </c>
      <c r="E32" s="39">
        <f>100/EXP((E25*E34*LN(2))+LN(E30))</f>
        <v>2.0962114968622134E-5</v>
      </c>
    </row>
    <row r="33" spans="1:6">
      <c r="A33" s="1" t="s">
        <v>143</v>
      </c>
      <c r="B33" s="48">
        <f>((LN((10000000)/B30)/LN(2))/B25)</f>
        <v>0.88821606815170107</v>
      </c>
      <c r="D33" s="1" t="s">
        <v>143</v>
      </c>
      <c r="E33" s="48">
        <f>((LN((10000000)/E30)/LN(2))/E25)</f>
        <v>0.67200163753621622</v>
      </c>
    </row>
    <row r="34" spans="1:6">
      <c r="A34" s="1" t="s">
        <v>144</v>
      </c>
      <c r="B34" s="1">
        <v>1</v>
      </c>
      <c r="C34" t="s">
        <v>154</v>
      </c>
      <c r="D34" s="1" t="s">
        <v>144</v>
      </c>
      <c r="E34" s="1">
        <v>0.6</v>
      </c>
      <c r="F34" s="65" t="s">
        <v>145</v>
      </c>
    </row>
    <row r="35" spans="1:6">
      <c r="A35" s="1" t="s">
        <v>147</v>
      </c>
      <c r="B35" s="1"/>
      <c r="D35" s="1" t="s">
        <v>147</v>
      </c>
      <c r="E35" s="1"/>
    </row>
    <row r="36" spans="1:6">
      <c r="A36" s="1" t="s">
        <v>148</v>
      </c>
      <c r="B36" s="1"/>
      <c r="D36" s="1" t="s">
        <v>148</v>
      </c>
      <c r="E36" s="1"/>
    </row>
    <row r="37" spans="1:6">
      <c r="A37" s="1" t="s">
        <v>149</v>
      </c>
      <c r="B37" s="1"/>
      <c r="D37" s="1" t="s">
        <v>149</v>
      </c>
      <c r="E37" s="1"/>
    </row>
    <row r="38" spans="1:6">
      <c r="A38" s="50" t="s">
        <v>150</v>
      </c>
      <c r="B38" s="6">
        <f>100/B27</f>
        <v>3.9999999999999998E-6</v>
      </c>
      <c r="C38" s="62"/>
      <c r="D38" s="74" t="s">
        <v>150</v>
      </c>
      <c r="E38" s="49">
        <f>100/E27</f>
        <v>2.2222222222222221E-6</v>
      </c>
    </row>
    <row r="39" spans="1:6">
      <c r="A39" s="50"/>
      <c r="B39" s="6"/>
      <c r="C39" s="62"/>
      <c r="D39" s="4"/>
      <c r="E39" s="6"/>
    </row>
    <row r="40" spans="1:6">
      <c r="A40" s="1" t="s">
        <v>129</v>
      </c>
      <c r="B40" s="40">
        <v>214</v>
      </c>
      <c r="D40" s="1" t="s">
        <v>129</v>
      </c>
      <c r="E40" s="40">
        <v>217</v>
      </c>
    </row>
    <row r="41" spans="1:6">
      <c r="A41" s="1" t="s">
        <v>1</v>
      </c>
      <c r="B41" s="41" t="s">
        <v>173</v>
      </c>
      <c r="D41" s="1" t="s">
        <v>1</v>
      </c>
      <c r="E41" s="41" t="s">
        <v>174</v>
      </c>
    </row>
    <row r="42" spans="1:6">
      <c r="A42" s="1" t="s">
        <v>133</v>
      </c>
      <c r="B42" s="43">
        <v>4.22</v>
      </c>
      <c r="D42" s="1" t="s">
        <v>133</v>
      </c>
      <c r="E42" s="43">
        <v>7.93</v>
      </c>
    </row>
    <row r="43" spans="1:6">
      <c r="A43" s="1" t="s">
        <v>134</v>
      </c>
      <c r="B43" s="43">
        <v>4.3</v>
      </c>
      <c r="D43" s="1" t="s">
        <v>134</v>
      </c>
      <c r="E43" s="43">
        <v>7.77</v>
      </c>
    </row>
    <row r="44" spans="1:6">
      <c r="A44" s="1" t="s">
        <v>135</v>
      </c>
      <c r="B44" s="1">
        <v>3</v>
      </c>
      <c r="D44" s="1" t="s">
        <v>135</v>
      </c>
      <c r="E44" s="1">
        <v>3</v>
      </c>
    </row>
    <row r="45" spans="1:6">
      <c r="A45" s="1" t="s">
        <v>136</v>
      </c>
      <c r="B45" s="46">
        <v>30400000</v>
      </c>
      <c r="D45" s="1" t="s">
        <v>136</v>
      </c>
      <c r="E45" s="46">
        <v>7700000</v>
      </c>
    </row>
    <row r="46" spans="1:6">
      <c r="A46" s="1" t="s">
        <v>137</v>
      </c>
      <c r="B46" s="39">
        <f>(100000)/B45</f>
        <v>3.2894736842105261E-3</v>
      </c>
      <c r="D46" s="1" t="s">
        <v>137</v>
      </c>
      <c r="E46" s="39">
        <f>(100000)/E45</f>
        <v>1.2987012987012988E-2</v>
      </c>
    </row>
    <row r="47" spans="1:6">
      <c r="A47" s="1" t="s">
        <v>138</v>
      </c>
      <c r="B47" s="48">
        <f>B46*1000</f>
        <v>3.2894736842105261</v>
      </c>
      <c r="D47" s="1" t="s">
        <v>138</v>
      </c>
      <c r="E47" s="48">
        <f>E46*1000</f>
        <v>12.987012987012989</v>
      </c>
    </row>
    <row r="48" spans="1:6">
      <c r="A48" s="1" t="s">
        <v>140</v>
      </c>
      <c r="B48" s="39">
        <f>(B46*B45)/10</f>
        <v>10000</v>
      </c>
      <c r="D48" s="1" t="s">
        <v>140</v>
      </c>
      <c r="E48" s="39">
        <f>(E46*E45)/10</f>
        <v>10000</v>
      </c>
    </row>
    <row r="49" spans="1:6">
      <c r="A49" s="1" t="s">
        <v>141</v>
      </c>
      <c r="B49" s="39">
        <f>(100)/B45</f>
        <v>3.2894736842105265E-6</v>
      </c>
      <c r="D49" s="1" t="s">
        <v>141</v>
      </c>
      <c r="E49" s="39">
        <f>(100)/E45</f>
        <v>1.2987012987012988E-5</v>
      </c>
    </row>
    <row r="50" spans="1:6">
      <c r="A50" s="1" t="s">
        <v>142</v>
      </c>
      <c r="B50" s="39">
        <f>100/EXP((B43*B52*LN(2))+LN(B48))</f>
        <v>5.8066753662242262E-6</v>
      </c>
      <c r="D50" s="1" t="s">
        <v>142</v>
      </c>
      <c r="E50" s="39">
        <f>100/EXP((E43*E52*LN(2))+LN(E48))</f>
        <v>1.1919174200880438E-5</v>
      </c>
    </row>
    <row r="51" spans="1:6">
      <c r="A51" s="1" t="s">
        <v>143</v>
      </c>
      <c r="B51" s="48">
        <f>((LN((10000000)/B48)/LN(2))/B43)</f>
        <v>2.317624252246997</v>
      </c>
      <c r="D51" s="1" t="s">
        <v>143</v>
      </c>
      <c r="E51" s="48">
        <f>((LN((10000000)/E48)/LN(2))/E43)</f>
        <v>1.2825977200337306</v>
      </c>
    </row>
    <row r="52" spans="1:6">
      <c r="A52" s="1" t="s">
        <v>144</v>
      </c>
      <c r="B52" s="1">
        <v>2.5</v>
      </c>
      <c r="C52" t="s">
        <v>153</v>
      </c>
      <c r="D52" s="1" t="s">
        <v>144</v>
      </c>
      <c r="E52" s="1">
        <v>1.25</v>
      </c>
      <c r="F52" s="65" t="s">
        <v>158</v>
      </c>
    </row>
    <row r="53" spans="1:6">
      <c r="A53" s="1" t="s">
        <v>147</v>
      </c>
      <c r="B53" s="1"/>
      <c r="D53" s="1" t="s">
        <v>147</v>
      </c>
      <c r="E53" s="1"/>
    </row>
    <row r="54" spans="1:6">
      <c r="A54" s="1" t="s">
        <v>148</v>
      </c>
      <c r="B54" s="1"/>
      <c r="D54" s="1" t="s">
        <v>148</v>
      </c>
      <c r="E54" s="1"/>
    </row>
    <row r="55" spans="1:6">
      <c r="A55" s="1" t="s">
        <v>149</v>
      </c>
      <c r="B55" s="1"/>
      <c r="D55" s="1" t="s">
        <v>149</v>
      </c>
      <c r="E55" s="1"/>
    </row>
    <row r="56" spans="1:6">
      <c r="A56" s="74" t="s">
        <v>150</v>
      </c>
      <c r="B56" s="81">
        <f>100/B45</f>
        <v>3.2894736842105265E-6</v>
      </c>
      <c r="C56" s="7"/>
      <c r="D56" s="74" t="s">
        <v>150</v>
      </c>
      <c r="E56" s="81">
        <f>100/E45</f>
        <v>1.2987012987012988E-5</v>
      </c>
    </row>
    <row r="57" spans="1:6">
      <c r="A57" s="7"/>
      <c r="C57" s="7"/>
      <c r="D57" s="7"/>
    </row>
    <row r="58" spans="1:6">
      <c r="A58" s="1" t="s">
        <v>129</v>
      </c>
      <c r="B58" s="40">
        <v>234</v>
      </c>
      <c r="D58" s="7"/>
      <c r="E58" s="1" t="s">
        <v>155</v>
      </c>
    </row>
    <row r="59" spans="1:6">
      <c r="A59" s="1" t="s">
        <v>1</v>
      </c>
      <c r="B59" s="41" t="s">
        <v>175</v>
      </c>
      <c r="D59" s="7"/>
      <c r="E59" s="44">
        <v>9.9999999999999995E-7</v>
      </c>
    </row>
    <row r="60" spans="1:6">
      <c r="A60" s="1" t="s">
        <v>133</v>
      </c>
      <c r="B60" s="43">
        <v>8.2899999999999991</v>
      </c>
      <c r="D60" s="7"/>
      <c r="E60" s="44">
        <v>5.0000000000000004E-6</v>
      </c>
    </row>
    <row r="61" spans="1:6">
      <c r="A61" s="1" t="s">
        <v>134</v>
      </c>
      <c r="B61" s="43">
        <v>8.11</v>
      </c>
      <c r="D61" s="7"/>
      <c r="E61" s="45">
        <v>1.0000000000000001E-5</v>
      </c>
    </row>
    <row r="62" spans="1:6">
      <c r="A62" s="1" t="s">
        <v>135</v>
      </c>
      <c r="B62" s="1">
        <v>3</v>
      </c>
      <c r="E62" s="47">
        <v>5.0000000000000002E-5</v>
      </c>
    </row>
    <row r="63" spans="1:6">
      <c r="A63" s="1" t="s">
        <v>136</v>
      </c>
      <c r="B63" s="46">
        <v>7900000</v>
      </c>
    </row>
    <row r="64" spans="1:6">
      <c r="A64" s="1" t="s">
        <v>137</v>
      </c>
      <c r="B64" s="39">
        <f>(100000)/B63</f>
        <v>1.2658227848101266E-2</v>
      </c>
    </row>
    <row r="65" spans="1:3">
      <c r="A65" s="1" t="s">
        <v>138</v>
      </c>
      <c r="B65" s="48">
        <f>B64*1000</f>
        <v>12.658227848101266</v>
      </c>
    </row>
    <row r="66" spans="1:3">
      <c r="A66" s="1" t="s">
        <v>140</v>
      </c>
      <c r="B66" s="39">
        <f>(B64*B63)/10</f>
        <v>10000</v>
      </c>
    </row>
    <row r="67" spans="1:3">
      <c r="A67" s="1" t="s">
        <v>141</v>
      </c>
      <c r="B67" s="39">
        <f>(100)/B63</f>
        <v>1.2658227848101267E-5</v>
      </c>
    </row>
    <row r="68" spans="1:3">
      <c r="A68" s="1" t="s">
        <v>142</v>
      </c>
      <c r="B68" s="39">
        <f>100/EXP((B61*B70*LN(2))+LN(B66))</f>
        <v>8.8778625930425722E-6</v>
      </c>
    </row>
    <row r="69" spans="1:3">
      <c r="A69" s="1" t="s">
        <v>143</v>
      </c>
      <c r="B69" s="48">
        <f>((LN((10000000)/B66)/LN(2))/B61)</f>
        <v>1.2288266688855842</v>
      </c>
    </row>
    <row r="70" spans="1:3">
      <c r="A70" s="1" t="s">
        <v>144</v>
      </c>
      <c r="B70" s="1">
        <v>1.25</v>
      </c>
      <c r="C70" t="s">
        <v>158</v>
      </c>
    </row>
    <row r="71" spans="1:3">
      <c r="A71" s="1" t="s">
        <v>147</v>
      </c>
      <c r="B71" s="1"/>
    </row>
    <row r="72" spans="1:3">
      <c r="A72" s="1" t="s">
        <v>148</v>
      </c>
      <c r="B72" s="1"/>
    </row>
    <row r="73" spans="1:3">
      <c r="A73" s="1" t="s">
        <v>149</v>
      </c>
      <c r="B73" s="1"/>
    </row>
    <row r="74" spans="1:3">
      <c r="A74" s="74" t="s">
        <v>150</v>
      </c>
      <c r="B74" s="49">
        <f>100/B63</f>
        <v>1.2658227848101267E-5</v>
      </c>
    </row>
  </sheetData>
  <pageMargins left="0.7" right="0.7" top="0.75" bottom="0.75" header="0.3" footer="0.3"/>
  <pageSetup scale="61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1240A-B5D3-49E9-AA8E-C053DAF8E6EC}">
  <sheetPr>
    <pageSetUpPr fitToPage="1"/>
  </sheetPr>
  <dimension ref="A1:F74"/>
  <sheetViews>
    <sheetView topLeftCell="A33" workbookViewId="0">
      <selection activeCell="C55" sqref="C55"/>
    </sheetView>
  </sheetViews>
  <sheetFormatPr defaultRowHeight="14.45"/>
  <cols>
    <col min="1" max="1" width="44.28515625" bestFit="1" customWidth="1"/>
    <col min="2" max="2" width="19.42578125" bestFit="1" customWidth="1"/>
    <col min="3" max="3" width="10" customWidth="1"/>
    <col min="4" max="4" width="44.28515625" bestFit="1" customWidth="1"/>
    <col min="5" max="5" width="19.42578125" bestFit="1" customWidth="1"/>
  </cols>
  <sheetData>
    <row r="1" spans="1:6">
      <c r="A1" t="s">
        <v>181</v>
      </c>
    </row>
    <row r="2" spans="1:6">
      <c r="A2" t="s">
        <v>182</v>
      </c>
    </row>
    <row r="4" spans="1:6">
      <c r="A4" s="1" t="s">
        <v>129</v>
      </c>
      <c r="B4" s="40">
        <v>233</v>
      </c>
      <c r="D4" s="1" t="s">
        <v>129</v>
      </c>
      <c r="E4" s="40">
        <v>45</v>
      </c>
    </row>
    <row r="5" spans="1:6">
      <c r="A5" s="1" t="s">
        <v>1</v>
      </c>
      <c r="B5" s="41" t="s">
        <v>169</v>
      </c>
      <c r="D5" s="1" t="s">
        <v>1</v>
      </c>
      <c r="E5" s="41" t="s">
        <v>170</v>
      </c>
    </row>
    <row r="6" spans="1:6">
      <c r="A6" s="1" t="s">
        <v>133</v>
      </c>
      <c r="B6" s="43">
        <v>6.14</v>
      </c>
      <c r="D6" s="1" t="s">
        <v>133</v>
      </c>
      <c r="E6" s="43">
        <v>13.66</v>
      </c>
    </row>
    <row r="7" spans="1:6">
      <c r="A7" s="1" t="s">
        <v>134</v>
      </c>
      <c r="B7" s="43">
        <v>12.02</v>
      </c>
      <c r="D7" s="1" t="s">
        <v>134</v>
      </c>
      <c r="E7" s="43">
        <v>13.84</v>
      </c>
    </row>
    <row r="8" spans="1:6">
      <c r="A8" s="1" t="s">
        <v>135</v>
      </c>
      <c r="B8" s="1">
        <v>4</v>
      </c>
      <c r="D8" s="1" t="s">
        <v>135</v>
      </c>
      <c r="E8" s="1">
        <v>4</v>
      </c>
    </row>
    <row r="9" spans="1:6">
      <c r="A9" s="1" t="s">
        <v>136</v>
      </c>
      <c r="B9" s="46">
        <v>237000000</v>
      </c>
      <c r="D9" s="1" t="s">
        <v>136</v>
      </c>
      <c r="E9" s="46">
        <v>12000000</v>
      </c>
    </row>
    <row r="10" spans="1:6">
      <c r="A10" s="1" t="s">
        <v>137</v>
      </c>
      <c r="B10" s="39">
        <f>(100000)/B9</f>
        <v>4.219409282700422E-4</v>
      </c>
      <c r="D10" s="1" t="s">
        <v>137</v>
      </c>
      <c r="E10" s="39">
        <f>(100000)/E9</f>
        <v>8.3333333333333332E-3</v>
      </c>
    </row>
    <row r="11" spans="1:6">
      <c r="A11" s="1" t="s">
        <v>138</v>
      </c>
      <c r="B11" s="48">
        <f>B10*1000</f>
        <v>0.4219409282700422</v>
      </c>
      <c r="C11" t="s">
        <v>183</v>
      </c>
      <c r="D11" s="1" t="s">
        <v>138</v>
      </c>
      <c r="E11" s="48">
        <f>E10*1000</f>
        <v>8.3333333333333339</v>
      </c>
    </row>
    <row r="12" spans="1:6">
      <c r="A12" s="1" t="s">
        <v>140</v>
      </c>
      <c r="B12" s="39">
        <f>(B10*B9)/10</f>
        <v>10000</v>
      </c>
      <c r="D12" s="1" t="s">
        <v>140</v>
      </c>
      <c r="E12" s="39">
        <f>(E10*E9)/10</f>
        <v>10000</v>
      </c>
    </row>
    <row r="13" spans="1:6">
      <c r="A13" s="1" t="s">
        <v>141</v>
      </c>
      <c r="B13" s="39">
        <f>(100)/B9</f>
        <v>4.2194092827004221E-7</v>
      </c>
      <c r="D13" s="1" t="s">
        <v>141</v>
      </c>
      <c r="E13" s="39">
        <f>(100)/E9</f>
        <v>8.3333333333333337E-6</v>
      </c>
    </row>
    <row r="14" spans="1:6">
      <c r="A14" s="1" t="s">
        <v>142</v>
      </c>
      <c r="B14" s="39">
        <f>100/EXP((B7*B16*LN(2))+LN(B12))</f>
        <v>2.4077946887044886E-6</v>
      </c>
      <c r="D14" s="1" t="s">
        <v>142</v>
      </c>
      <c r="E14" s="39">
        <f>100/EXP((E7*E16*LN(2))+LN(E12))</f>
        <v>7.5042733461328766E-6</v>
      </c>
    </row>
    <row r="15" spans="1:6">
      <c r="A15" s="1" t="s">
        <v>143</v>
      </c>
      <c r="B15" s="48">
        <f>((LN((10000000)/B12)/LN(2))/B7)</f>
        <v>0.82910019007172109</v>
      </c>
      <c r="D15" s="1" t="s">
        <v>143</v>
      </c>
      <c r="E15" s="48">
        <f>((LN((10000000)/E12)/LN(2))/E7)</f>
        <v>0.7200711188339658</v>
      </c>
    </row>
    <row r="16" spans="1:6">
      <c r="A16" s="1" t="s">
        <v>144</v>
      </c>
      <c r="B16" s="1">
        <v>1</v>
      </c>
      <c r="C16" t="s">
        <v>154</v>
      </c>
      <c r="D16" s="1" t="s">
        <v>144</v>
      </c>
      <c r="E16" s="1">
        <v>0.75</v>
      </c>
      <c r="F16" s="65" t="s">
        <v>146</v>
      </c>
    </row>
    <row r="17" spans="1:6">
      <c r="A17" s="1" t="s">
        <v>147</v>
      </c>
      <c r="B17" s="1"/>
      <c r="D17" s="1" t="s">
        <v>147</v>
      </c>
      <c r="E17" s="1"/>
    </row>
    <row r="18" spans="1:6">
      <c r="A18" s="1" t="s">
        <v>148</v>
      </c>
      <c r="B18" s="1"/>
      <c r="D18" s="1" t="s">
        <v>148</v>
      </c>
      <c r="E18" s="1"/>
    </row>
    <row r="19" spans="1:6">
      <c r="A19" s="1" t="s">
        <v>149</v>
      </c>
      <c r="B19" s="1"/>
      <c r="D19" s="1" t="s">
        <v>149</v>
      </c>
      <c r="E19" s="1"/>
    </row>
    <row r="20" spans="1:6">
      <c r="A20" s="74" t="s">
        <v>150</v>
      </c>
      <c r="B20" s="49">
        <f>100/B9</f>
        <v>4.2194092827004221E-7</v>
      </c>
      <c r="C20" s="62"/>
      <c r="D20" s="49" t="s">
        <v>150</v>
      </c>
      <c r="E20" s="49">
        <f>100/E9</f>
        <v>8.3333333333333337E-6</v>
      </c>
    </row>
    <row r="22" spans="1:6">
      <c r="A22" s="1" t="s">
        <v>129</v>
      </c>
      <c r="B22" s="40">
        <v>52</v>
      </c>
      <c r="D22" s="1" t="s">
        <v>129</v>
      </c>
      <c r="E22" s="40" t="s">
        <v>101</v>
      </c>
    </row>
    <row r="23" spans="1:6">
      <c r="A23" s="1" t="s">
        <v>1</v>
      </c>
      <c r="B23" s="41" t="s">
        <v>171</v>
      </c>
      <c r="D23" s="1" t="s">
        <v>1</v>
      </c>
      <c r="E23" s="41" t="s">
        <v>172</v>
      </c>
    </row>
    <row r="24" spans="1:6">
      <c r="A24" s="1" t="s">
        <v>133</v>
      </c>
      <c r="B24" s="43">
        <v>15.64</v>
      </c>
      <c r="D24" s="1" t="s">
        <v>133</v>
      </c>
      <c r="E24" s="43">
        <v>18.170000000000002</v>
      </c>
    </row>
    <row r="25" spans="1:6">
      <c r="A25" s="1" t="s">
        <v>134</v>
      </c>
      <c r="B25" s="43">
        <v>15.42</v>
      </c>
      <c r="D25" s="1" t="s">
        <v>134</v>
      </c>
      <c r="E25" s="43">
        <v>21.37</v>
      </c>
    </row>
    <row r="26" spans="1:6">
      <c r="A26" s="1" t="s">
        <v>135</v>
      </c>
      <c r="B26" s="1">
        <v>4</v>
      </c>
      <c r="D26" s="1" t="s">
        <v>135</v>
      </c>
      <c r="E26" s="1">
        <v>4</v>
      </c>
    </row>
    <row r="27" spans="1:6">
      <c r="A27" s="1" t="s">
        <v>136</v>
      </c>
      <c r="B27" s="46">
        <v>425000000</v>
      </c>
      <c r="D27" s="1" t="s">
        <v>136</v>
      </c>
      <c r="E27" s="46">
        <v>55000000</v>
      </c>
    </row>
    <row r="28" spans="1:6">
      <c r="A28" s="1" t="s">
        <v>137</v>
      </c>
      <c r="B28" s="39">
        <f>(100000)/B27</f>
        <v>2.3529411764705883E-4</v>
      </c>
      <c r="D28" s="1" t="s">
        <v>137</v>
      </c>
      <c r="E28" s="39">
        <f>(100000)/E27</f>
        <v>1.8181818181818182E-3</v>
      </c>
    </row>
    <row r="29" spans="1:6">
      <c r="A29" s="1" t="s">
        <v>138</v>
      </c>
      <c r="B29" s="48">
        <f>B28*1000</f>
        <v>0.23529411764705882</v>
      </c>
      <c r="C29" t="s">
        <v>184</v>
      </c>
      <c r="D29" s="1" t="s">
        <v>138</v>
      </c>
      <c r="E29" s="48">
        <f>E28*1000</f>
        <v>1.8181818181818181</v>
      </c>
      <c r="F29" t="s">
        <v>185</v>
      </c>
    </row>
    <row r="30" spans="1:6">
      <c r="A30" s="1" t="s">
        <v>140</v>
      </c>
      <c r="B30" s="39">
        <f>(B28*B27)/10</f>
        <v>10000</v>
      </c>
      <c r="D30" s="1" t="s">
        <v>140</v>
      </c>
      <c r="E30" s="39">
        <f>(E28*E27)/10</f>
        <v>10000</v>
      </c>
    </row>
    <row r="31" spans="1:6">
      <c r="A31" s="1" t="s">
        <v>141</v>
      </c>
      <c r="B31" s="39">
        <f>(100)/B27</f>
        <v>2.3529411764705883E-7</v>
      </c>
      <c r="D31" s="1" t="s">
        <v>141</v>
      </c>
      <c r="E31" s="39">
        <f>(100)/E27</f>
        <v>1.8181818181818181E-6</v>
      </c>
    </row>
    <row r="32" spans="1:6">
      <c r="A32" s="1" t="s">
        <v>142</v>
      </c>
      <c r="B32" s="39">
        <f>100/EXP((B25*B34*LN(2))+LN(B30))</f>
        <v>3.3005635571975798E-6</v>
      </c>
      <c r="D32" s="1" t="s">
        <v>142</v>
      </c>
      <c r="E32" s="39">
        <f>100/EXP((E25*E34*LN(2))+LN(E30))</f>
        <v>1.3809991001536877E-6</v>
      </c>
    </row>
    <row r="33" spans="1:6">
      <c r="A33" s="1" t="s">
        <v>143</v>
      </c>
      <c r="B33" s="48">
        <f>((LN((10000000)/B30)/LN(2))/B25)</f>
        <v>0.64628951262400047</v>
      </c>
      <c r="D33" s="1" t="s">
        <v>143</v>
      </c>
      <c r="E33" s="48">
        <f>((LN((10000000)/E30)/LN(2))/E25)</f>
        <v>0.46634460854759413</v>
      </c>
    </row>
    <row r="34" spans="1:6">
      <c r="A34" s="1" t="s">
        <v>144</v>
      </c>
      <c r="B34" s="1">
        <v>0.75</v>
      </c>
      <c r="C34" t="s">
        <v>146</v>
      </c>
      <c r="D34" s="1" t="s">
        <v>144</v>
      </c>
      <c r="E34" s="1">
        <v>0.6</v>
      </c>
      <c r="F34" s="65" t="s">
        <v>145</v>
      </c>
    </row>
    <row r="35" spans="1:6">
      <c r="A35" s="1" t="s">
        <v>147</v>
      </c>
      <c r="B35" s="1"/>
      <c r="D35" s="1" t="s">
        <v>147</v>
      </c>
      <c r="E35" s="1"/>
    </row>
    <row r="36" spans="1:6">
      <c r="A36" s="1" t="s">
        <v>148</v>
      </c>
      <c r="B36" s="1"/>
      <c r="D36" s="1" t="s">
        <v>148</v>
      </c>
      <c r="E36" s="1"/>
    </row>
    <row r="37" spans="1:6">
      <c r="A37" s="1" t="s">
        <v>149</v>
      </c>
      <c r="B37" s="1"/>
      <c r="D37" s="1" t="s">
        <v>149</v>
      </c>
      <c r="E37" s="1"/>
    </row>
    <row r="38" spans="1:6">
      <c r="A38" s="50" t="s">
        <v>150</v>
      </c>
      <c r="B38" s="6">
        <f>100/B27</f>
        <v>2.3529411764705883E-7</v>
      </c>
      <c r="C38" s="62"/>
      <c r="D38" s="74" t="s">
        <v>150</v>
      </c>
      <c r="E38" s="49">
        <f>100/E27</f>
        <v>1.8181818181818181E-6</v>
      </c>
    </row>
    <row r="39" spans="1:6">
      <c r="A39" s="50"/>
      <c r="B39" s="6"/>
      <c r="C39" s="62"/>
      <c r="D39" s="4"/>
      <c r="E39" s="6"/>
    </row>
    <row r="40" spans="1:6">
      <c r="A40" s="1" t="s">
        <v>129</v>
      </c>
      <c r="B40" s="40">
        <v>214</v>
      </c>
      <c r="D40" s="1" t="s">
        <v>129</v>
      </c>
      <c r="E40" s="40">
        <v>217</v>
      </c>
    </row>
    <row r="41" spans="1:6">
      <c r="A41" s="1" t="s">
        <v>1</v>
      </c>
      <c r="B41" s="41" t="s">
        <v>173</v>
      </c>
      <c r="D41" s="1" t="s">
        <v>1</v>
      </c>
      <c r="E41" s="41" t="s">
        <v>174</v>
      </c>
    </row>
    <row r="42" spans="1:6">
      <c r="A42" s="1" t="s">
        <v>133</v>
      </c>
      <c r="B42" s="43">
        <v>4.22</v>
      </c>
      <c r="D42" s="1" t="s">
        <v>133</v>
      </c>
      <c r="E42" s="43">
        <v>7.93</v>
      </c>
    </row>
    <row r="43" spans="1:6">
      <c r="A43" s="1" t="s">
        <v>134</v>
      </c>
      <c r="B43" s="43">
        <v>7.21</v>
      </c>
      <c r="D43" s="1" t="s">
        <v>134</v>
      </c>
      <c r="E43" s="43">
        <v>9.9499999999999993</v>
      </c>
    </row>
    <row r="44" spans="1:6">
      <c r="A44" s="1" t="s">
        <v>135</v>
      </c>
      <c r="B44" s="1">
        <v>4</v>
      </c>
      <c r="D44" s="1" t="s">
        <v>135</v>
      </c>
      <c r="E44" s="1">
        <v>4</v>
      </c>
    </row>
    <row r="45" spans="1:6">
      <c r="A45" s="1" t="s">
        <v>136</v>
      </c>
      <c r="B45" s="46">
        <v>4000000000</v>
      </c>
      <c r="D45" s="1" t="s">
        <v>136</v>
      </c>
      <c r="E45" s="46">
        <v>47000000</v>
      </c>
    </row>
    <row r="46" spans="1:6">
      <c r="A46" s="1" t="s">
        <v>137</v>
      </c>
      <c r="B46" s="39">
        <f>(100000)/B45</f>
        <v>2.5000000000000001E-5</v>
      </c>
      <c r="D46" s="1" t="s">
        <v>137</v>
      </c>
      <c r="E46" s="39">
        <f>(100000)/E45</f>
        <v>2.1276595744680851E-3</v>
      </c>
    </row>
    <row r="47" spans="1:6">
      <c r="A47" s="1" t="s">
        <v>138</v>
      </c>
      <c r="B47" s="48">
        <f>B46*1000</f>
        <v>2.5000000000000001E-2</v>
      </c>
      <c r="C47" t="s">
        <v>186</v>
      </c>
      <c r="D47" s="1" t="s">
        <v>138</v>
      </c>
      <c r="E47" s="48">
        <f>E46*1000</f>
        <v>2.1276595744680851</v>
      </c>
    </row>
    <row r="48" spans="1:6">
      <c r="A48" s="1" t="s">
        <v>140</v>
      </c>
      <c r="B48" s="39">
        <f>(B46*B45)/10</f>
        <v>10000</v>
      </c>
      <c r="D48" s="1" t="s">
        <v>140</v>
      </c>
      <c r="E48" s="39">
        <f>(E46*E45)/10</f>
        <v>10000</v>
      </c>
    </row>
    <row r="49" spans="1:6">
      <c r="A49" s="1" t="s">
        <v>141</v>
      </c>
      <c r="B49" s="39">
        <f>(100)/B45</f>
        <v>2.4999999999999999E-8</v>
      </c>
      <c r="D49" s="1" t="s">
        <v>141</v>
      </c>
      <c r="E49" s="39">
        <f>(100)/E45</f>
        <v>2.1276595744680853E-6</v>
      </c>
    </row>
    <row r="50" spans="1:6">
      <c r="A50" s="1" t="s">
        <v>142</v>
      </c>
      <c r="B50" s="39">
        <f>100/EXP((B43*B52*LN(2))+LN(B48))</f>
        <v>3.7491630498705018E-8</v>
      </c>
      <c r="D50" s="1" t="s">
        <v>142</v>
      </c>
      <c r="E50" s="39">
        <f>100/EXP((E43*E52*LN(2))+LN(E48))</f>
        <v>1.0110009021888457E-5</v>
      </c>
    </row>
    <row r="51" spans="1:6">
      <c r="A51" s="1" t="s">
        <v>143</v>
      </c>
      <c r="B51" s="48">
        <f>((LN((10000000)/B48)/LN(2))/B43)</f>
        <v>1.3822169604247001</v>
      </c>
      <c r="D51" s="1" t="s">
        <v>143</v>
      </c>
      <c r="E51" s="48">
        <f>((LN((10000000)/E48)/LN(2))/E43)</f>
        <v>1.0015863602675465</v>
      </c>
    </row>
    <row r="52" spans="1:6">
      <c r="A52" s="1" t="s">
        <v>144</v>
      </c>
      <c r="B52" s="1">
        <v>2.5</v>
      </c>
      <c r="C52" t="s">
        <v>153</v>
      </c>
      <c r="D52" s="1" t="s">
        <v>144</v>
      </c>
      <c r="E52" s="1">
        <v>1</v>
      </c>
      <c r="F52" s="65" t="s">
        <v>154</v>
      </c>
    </row>
    <row r="53" spans="1:6">
      <c r="A53" s="1" t="s">
        <v>147</v>
      </c>
      <c r="B53" s="1"/>
      <c r="D53" s="1" t="s">
        <v>147</v>
      </c>
      <c r="E53" s="1"/>
    </row>
    <row r="54" spans="1:6">
      <c r="A54" s="1" t="s">
        <v>148</v>
      </c>
      <c r="B54" s="1"/>
      <c r="D54" s="1" t="s">
        <v>148</v>
      </c>
      <c r="E54" s="1"/>
    </row>
    <row r="55" spans="1:6">
      <c r="A55" s="1" t="s">
        <v>149</v>
      </c>
      <c r="B55" s="1"/>
      <c r="D55" s="1" t="s">
        <v>149</v>
      </c>
      <c r="E55" s="1"/>
    </row>
    <row r="56" spans="1:6">
      <c r="A56" s="74" t="s">
        <v>150</v>
      </c>
      <c r="B56" s="81">
        <f>100/B45</f>
        <v>2.4999999999999999E-8</v>
      </c>
      <c r="C56" s="7"/>
      <c r="D56" s="74" t="s">
        <v>150</v>
      </c>
      <c r="E56" s="81">
        <f>100/E45</f>
        <v>2.1276595744680853E-6</v>
      </c>
    </row>
    <row r="57" spans="1:6">
      <c r="A57" s="7"/>
      <c r="C57" s="7"/>
      <c r="D57" s="7"/>
    </row>
    <row r="58" spans="1:6">
      <c r="A58" s="1" t="s">
        <v>129</v>
      </c>
      <c r="B58" s="40">
        <v>234</v>
      </c>
      <c r="D58" s="7"/>
      <c r="E58" s="1" t="s">
        <v>155</v>
      </c>
    </row>
    <row r="59" spans="1:6">
      <c r="A59" s="1" t="s">
        <v>1</v>
      </c>
      <c r="B59" s="41" t="s">
        <v>175</v>
      </c>
      <c r="D59" s="7"/>
      <c r="E59" s="44">
        <v>9.9999999999999995E-7</v>
      </c>
    </row>
    <row r="60" spans="1:6">
      <c r="A60" s="1" t="s">
        <v>133</v>
      </c>
      <c r="B60" s="43">
        <v>8.2899999999999991</v>
      </c>
      <c r="D60" s="7"/>
      <c r="E60" s="44">
        <v>5.0000000000000004E-6</v>
      </c>
    </row>
    <row r="61" spans="1:6">
      <c r="A61" s="1" t="s">
        <v>134</v>
      </c>
      <c r="B61" s="43">
        <v>10.61</v>
      </c>
      <c r="D61" s="7"/>
      <c r="E61" s="45">
        <v>1.0000000000000001E-5</v>
      </c>
    </row>
    <row r="62" spans="1:6">
      <c r="A62" s="1" t="s">
        <v>135</v>
      </c>
      <c r="B62" s="1">
        <v>4</v>
      </c>
      <c r="E62" s="47">
        <v>5.0000000000000002E-5</v>
      </c>
    </row>
    <row r="63" spans="1:6">
      <c r="A63" s="1" t="s">
        <v>136</v>
      </c>
      <c r="B63" s="46">
        <v>86000000</v>
      </c>
    </row>
    <row r="64" spans="1:6">
      <c r="A64" s="1" t="s">
        <v>137</v>
      </c>
      <c r="B64" s="39">
        <f>(100000)/B63</f>
        <v>1.1627906976744186E-3</v>
      </c>
    </row>
    <row r="65" spans="1:3">
      <c r="A65" s="1" t="s">
        <v>138</v>
      </c>
      <c r="B65" s="48">
        <f>B64*1000</f>
        <v>1.1627906976744187</v>
      </c>
      <c r="C65" t="s">
        <v>187</v>
      </c>
    </row>
    <row r="66" spans="1:3">
      <c r="A66" s="1" t="s">
        <v>140</v>
      </c>
      <c r="B66" s="39">
        <f>(B64*B63)/10</f>
        <v>10000</v>
      </c>
    </row>
    <row r="67" spans="1:3">
      <c r="A67" s="1" t="s">
        <v>141</v>
      </c>
      <c r="B67" s="39">
        <f>(100)/B63</f>
        <v>1.1627906976744186E-6</v>
      </c>
    </row>
    <row r="68" spans="1:3">
      <c r="A68" s="1" t="s">
        <v>142</v>
      </c>
      <c r="B68" s="39">
        <f>100/EXP((B61*B70*LN(2))+LN(B66))</f>
        <v>6.3984052922771574E-6</v>
      </c>
    </row>
    <row r="69" spans="1:3">
      <c r="A69" s="1" t="s">
        <v>143</v>
      </c>
      <c r="B69" s="48">
        <f>((LN((10000000)/B66)/LN(2))/B61)</f>
        <v>0.9392822134460026</v>
      </c>
    </row>
    <row r="70" spans="1:3">
      <c r="A70" s="1" t="s">
        <v>144</v>
      </c>
      <c r="B70" s="1">
        <v>1</v>
      </c>
      <c r="C70" t="s">
        <v>154</v>
      </c>
    </row>
    <row r="71" spans="1:3">
      <c r="A71" s="1" t="s">
        <v>147</v>
      </c>
      <c r="B71" s="1"/>
    </row>
    <row r="72" spans="1:3">
      <c r="A72" s="1" t="s">
        <v>148</v>
      </c>
      <c r="B72" s="1"/>
    </row>
    <row r="73" spans="1:3">
      <c r="A73" s="1" t="s">
        <v>149</v>
      </c>
      <c r="B73" s="1"/>
    </row>
    <row r="74" spans="1:3">
      <c r="A74" s="74" t="s">
        <v>150</v>
      </c>
      <c r="B74" s="49">
        <f>100/B63</f>
        <v>1.1627906976744186E-6</v>
      </c>
    </row>
  </sheetData>
  <pageMargins left="0.7" right="0.7" top="0.75" bottom="0.75" header="0.3" footer="0.3"/>
  <pageSetup scale="58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EEBB-BAD6-429B-A60C-58F7087F1DEC}">
  <sheetPr>
    <pageSetUpPr fitToPage="1"/>
  </sheetPr>
  <dimension ref="A1:F74"/>
  <sheetViews>
    <sheetView topLeftCell="A42" workbookViewId="0">
      <selection activeCellId="1" sqref="A74:E74 A1:F73"/>
    </sheetView>
  </sheetViews>
  <sheetFormatPr defaultRowHeight="14.45"/>
  <cols>
    <col min="1" max="1" width="44.28515625" bestFit="1" customWidth="1"/>
    <col min="2" max="2" width="19.42578125" bestFit="1" customWidth="1"/>
    <col min="3" max="3" width="13.7109375" customWidth="1"/>
    <col min="4" max="4" width="44.28515625" bestFit="1" customWidth="1"/>
    <col min="5" max="5" width="19.42578125" bestFit="1" customWidth="1"/>
  </cols>
  <sheetData>
    <row r="1" spans="1:6">
      <c r="A1" t="s">
        <v>188</v>
      </c>
    </row>
    <row r="2" spans="1:6">
      <c r="A2" t="s">
        <v>189</v>
      </c>
    </row>
    <row r="4" spans="1:6">
      <c r="A4" s="1" t="s">
        <v>129</v>
      </c>
      <c r="B4" s="40">
        <v>233</v>
      </c>
      <c r="D4" s="1" t="s">
        <v>129</v>
      </c>
      <c r="E4" s="40">
        <v>45</v>
      </c>
    </row>
    <row r="5" spans="1:6">
      <c r="A5" s="1" t="s">
        <v>1</v>
      </c>
      <c r="B5" s="41" t="s">
        <v>169</v>
      </c>
      <c r="D5" s="1" t="s">
        <v>1</v>
      </c>
      <c r="E5" s="41" t="s">
        <v>170</v>
      </c>
    </row>
    <row r="6" spans="1:6">
      <c r="A6" s="1" t="s">
        <v>133</v>
      </c>
      <c r="B6" s="43">
        <v>6.14</v>
      </c>
      <c r="D6" s="1" t="s">
        <v>133</v>
      </c>
      <c r="E6" s="43">
        <v>13.66</v>
      </c>
    </row>
    <row r="7" spans="1:6">
      <c r="A7" s="1" t="s">
        <v>134</v>
      </c>
      <c r="B7" s="43">
        <v>9.86</v>
      </c>
      <c r="D7" s="1" t="s">
        <v>134</v>
      </c>
      <c r="E7" s="43">
        <v>13.41</v>
      </c>
    </row>
    <row r="8" spans="1:6">
      <c r="A8" s="1" t="s">
        <v>135</v>
      </c>
      <c r="B8" s="1">
        <v>5</v>
      </c>
      <c r="D8" s="1" t="s">
        <v>135</v>
      </c>
      <c r="E8" s="1">
        <v>5</v>
      </c>
    </row>
    <row r="9" spans="1:6">
      <c r="A9" s="1" t="s">
        <v>136</v>
      </c>
      <c r="B9" s="46">
        <v>37000000</v>
      </c>
      <c r="D9" s="1" t="s">
        <v>136</v>
      </c>
      <c r="E9" s="46">
        <v>7200000</v>
      </c>
    </row>
    <row r="10" spans="1:6">
      <c r="A10" s="1" t="s">
        <v>137</v>
      </c>
      <c r="B10" s="39">
        <f>(100000)/B9</f>
        <v>2.7027027027027029E-3</v>
      </c>
      <c r="D10" s="1" t="s">
        <v>137</v>
      </c>
      <c r="E10" s="39">
        <f>(100000)/E9</f>
        <v>1.3888888888888888E-2</v>
      </c>
    </row>
    <row r="11" spans="1:6">
      <c r="A11" s="1" t="s">
        <v>138</v>
      </c>
      <c r="B11" s="48">
        <f>B10*1000</f>
        <v>2.7027027027027026</v>
      </c>
      <c r="D11" s="1" t="s">
        <v>138</v>
      </c>
      <c r="E11" s="48">
        <f>E10*1000</f>
        <v>13.888888888888888</v>
      </c>
    </row>
    <row r="12" spans="1:6">
      <c r="A12" s="1" t="s">
        <v>140</v>
      </c>
      <c r="B12" s="39">
        <f>(B10*B9)/10</f>
        <v>10000</v>
      </c>
      <c r="D12" s="1" t="s">
        <v>140</v>
      </c>
      <c r="E12" s="39">
        <f>(E10*E9)/10</f>
        <v>10000</v>
      </c>
    </row>
    <row r="13" spans="1:6">
      <c r="A13" s="1" t="s">
        <v>141</v>
      </c>
      <c r="B13" s="39">
        <f>(100)/B9</f>
        <v>2.7027027027027026E-6</v>
      </c>
      <c r="D13" s="1" t="s">
        <v>141</v>
      </c>
      <c r="E13" s="39">
        <f>(100)/E9</f>
        <v>1.388888888888889E-5</v>
      </c>
    </row>
    <row r="14" spans="1:6">
      <c r="A14" s="1" t="s">
        <v>142</v>
      </c>
      <c r="B14" s="39">
        <f>100/EXP((B7*B16*LN(2))+LN(B12))</f>
        <v>1.0760792147232529E-5</v>
      </c>
      <c r="D14" s="1" t="s">
        <v>142</v>
      </c>
      <c r="E14" s="39">
        <f>100/EXP((E7*E16*LN(2))+LN(E12))</f>
        <v>9.3840609224710223E-6</v>
      </c>
    </row>
    <row r="15" spans="1:6">
      <c r="A15" s="1" t="s">
        <v>143</v>
      </c>
      <c r="B15" s="48">
        <f>((LN((10000000)/B12)/LN(2))/B7)</f>
        <v>1.0107286292760738</v>
      </c>
      <c r="D15" s="1" t="s">
        <v>143</v>
      </c>
      <c r="E15" s="48">
        <f>((LN((10000000)/E12)/LN(2))/E7)</f>
        <v>0.74316064762580814</v>
      </c>
    </row>
    <row r="16" spans="1:6">
      <c r="A16" s="1" t="s">
        <v>144</v>
      </c>
      <c r="B16" s="1">
        <v>1</v>
      </c>
      <c r="C16" t="s">
        <v>154</v>
      </c>
      <c r="D16" s="1" t="s">
        <v>144</v>
      </c>
      <c r="E16" s="1">
        <v>0.75</v>
      </c>
      <c r="F16" s="65" t="s">
        <v>146</v>
      </c>
    </row>
    <row r="17" spans="1:5">
      <c r="A17" s="1" t="s">
        <v>147</v>
      </c>
      <c r="B17" s="1"/>
      <c r="D17" s="1" t="s">
        <v>147</v>
      </c>
      <c r="E17" s="1"/>
    </row>
    <row r="18" spans="1:5">
      <c r="A18" s="1" t="s">
        <v>148</v>
      </c>
      <c r="B18" s="1"/>
      <c r="D18" s="1" t="s">
        <v>148</v>
      </c>
      <c r="E18" s="1"/>
    </row>
    <row r="19" spans="1:5">
      <c r="A19" s="1" t="s">
        <v>149</v>
      </c>
      <c r="B19" s="1"/>
      <c r="D19" s="1" t="s">
        <v>149</v>
      </c>
      <c r="E19" s="1"/>
    </row>
    <row r="20" spans="1:5">
      <c r="A20" s="74" t="s">
        <v>150</v>
      </c>
      <c r="B20" s="49">
        <f>100/B9</f>
        <v>2.7027027027027026E-6</v>
      </c>
      <c r="C20" s="62"/>
      <c r="D20" s="49" t="s">
        <v>150</v>
      </c>
      <c r="E20" s="49">
        <f>100/E9</f>
        <v>1.388888888888889E-5</v>
      </c>
    </row>
    <row r="22" spans="1:5">
      <c r="A22" s="1" t="s">
        <v>129</v>
      </c>
      <c r="B22" s="40">
        <v>52</v>
      </c>
      <c r="D22" s="1" t="s">
        <v>129</v>
      </c>
      <c r="E22" s="40" t="s">
        <v>101</v>
      </c>
    </row>
    <row r="23" spans="1:5">
      <c r="A23" s="1" t="s">
        <v>1</v>
      </c>
      <c r="B23" s="41" t="s">
        <v>171</v>
      </c>
      <c r="D23" s="1" t="s">
        <v>1</v>
      </c>
      <c r="E23" s="41" t="s">
        <v>172</v>
      </c>
    </row>
    <row r="24" spans="1:5">
      <c r="A24" s="1" t="s">
        <v>133</v>
      </c>
      <c r="B24" s="43">
        <v>15.64</v>
      </c>
      <c r="D24" s="1" t="s">
        <v>133</v>
      </c>
      <c r="E24" s="43">
        <v>18.170000000000002</v>
      </c>
    </row>
    <row r="25" spans="1:5">
      <c r="A25" s="1" t="s">
        <v>134</v>
      </c>
      <c r="B25" s="98">
        <v>15.56</v>
      </c>
      <c r="D25" s="1" t="s">
        <v>134</v>
      </c>
      <c r="E25" s="43">
        <v>19.350000000000001</v>
      </c>
    </row>
    <row r="26" spans="1:5">
      <c r="A26" s="1" t="s">
        <v>135</v>
      </c>
      <c r="B26" s="1">
        <v>5</v>
      </c>
      <c r="D26" s="1" t="s">
        <v>135</v>
      </c>
      <c r="E26" s="1">
        <v>5</v>
      </c>
    </row>
    <row r="27" spans="1:5">
      <c r="A27" s="1" t="s">
        <v>136</v>
      </c>
      <c r="B27" s="46">
        <v>25000000</v>
      </c>
      <c r="D27" s="1" t="s">
        <v>136</v>
      </c>
      <c r="E27" s="46">
        <v>28000000</v>
      </c>
    </row>
    <row r="28" spans="1:5">
      <c r="A28" s="1" t="s">
        <v>137</v>
      </c>
      <c r="B28" s="39">
        <f>(100000)/B27</f>
        <v>4.0000000000000001E-3</v>
      </c>
      <c r="D28" s="1" t="s">
        <v>137</v>
      </c>
      <c r="E28" s="39">
        <f>(100000)/E27</f>
        <v>3.5714285714285713E-3</v>
      </c>
    </row>
    <row r="29" spans="1:5">
      <c r="A29" s="1" t="s">
        <v>138</v>
      </c>
      <c r="B29" s="48">
        <f>B28*1000</f>
        <v>4</v>
      </c>
      <c r="D29" s="1" t="s">
        <v>138</v>
      </c>
      <c r="E29" s="48">
        <f>E28*1000</f>
        <v>3.5714285714285712</v>
      </c>
    </row>
    <row r="30" spans="1:5">
      <c r="A30" s="1" t="s">
        <v>140</v>
      </c>
      <c r="B30" s="39">
        <f>(B28*B27)/10</f>
        <v>10000</v>
      </c>
      <c r="D30" s="1" t="s">
        <v>140</v>
      </c>
      <c r="E30" s="39">
        <f>(E28*E27)/10</f>
        <v>10000</v>
      </c>
    </row>
    <row r="31" spans="1:5">
      <c r="A31" s="1" t="s">
        <v>141</v>
      </c>
      <c r="B31" s="39">
        <f>(100)/B27</f>
        <v>3.9999999999999998E-6</v>
      </c>
      <c r="D31" s="1" t="s">
        <v>141</v>
      </c>
      <c r="E31" s="39">
        <f>(100)/E27</f>
        <v>3.5714285714285714E-6</v>
      </c>
    </row>
    <row r="32" spans="1:5">
      <c r="A32" s="1" t="s">
        <v>142</v>
      </c>
      <c r="B32" s="39">
        <f>100/EXP((B25*B34*LN(2))+LN(B30))</f>
        <v>3.0688803088911736E-6</v>
      </c>
      <c r="D32" s="1" t="s">
        <v>142</v>
      </c>
      <c r="E32" s="39">
        <f>100/EXP((E25*E34*LN(2))+LN(E30))</f>
        <v>3.1992026461385723E-6</v>
      </c>
    </row>
    <row r="33" spans="1:6">
      <c r="A33" s="1" t="s">
        <v>143</v>
      </c>
      <c r="B33" s="48">
        <f>((LN((10000000)/B30)/LN(2))/B25)</f>
        <v>0.64047456842301331</v>
      </c>
      <c r="D33" s="1" t="s">
        <v>143</v>
      </c>
      <c r="E33" s="48">
        <f>((LN((10000000)/E30)/LN(2))/E25)</f>
        <v>0.51502761161044375</v>
      </c>
    </row>
    <row r="34" spans="1:6">
      <c r="A34" s="1" t="s">
        <v>144</v>
      </c>
      <c r="B34" s="1">
        <v>0.75</v>
      </c>
      <c r="C34" t="s">
        <v>146</v>
      </c>
      <c r="D34" s="1" t="s">
        <v>144</v>
      </c>
      <c r="E34" s="1">
        <v>0.6</v>
      </c>
      <c r="F34" s="65" t="s">
        <v>145</v>
      </c>
    </row>
    <row r="35" spans="1:6">
      <c r="A35" s="1" t="s">
        <v>147</v>
      </c>
      <c r="B35" s="1"/>
      <c r="D35" s="1" t="s">
        <v>147</v>
      </c>
      <c r="E35" s="1"/>
    </row>
    <row r="36" spans="1:6">
      <c r="A36" s="1" t="s">
        <v>148</v>
      </c>
      <c r="B36" s="1"/>
      <c r="D36" s="1" t="s">
        <v>148</v>
      </c>
      <c r="E36" s="1"/>
    </row>
    <row r="37" spans="1:6">
      <c r="A37" s="1" t="s">
        <v>149</v>
      </c>
      <c r="B37" s="1"/>
      <c r="D37" s="1" t="s">
        <v>149</v>
      </c>
      <c r="E37" s="1"/>
    </row>
    <row r="38" spans="1:6">
      <c r="A38" s="50" t="s">
        <v>150</v>
      </c>
      <c r="B38" s="6">
        <f>100/B27</f>
        <v>3.9999999999999998E-6</v>
      </c>
      <c r="C38" s="62"/>
      <c r="D38" s="74" t="s">
        <v>150</v>
      </c>
      <c r="E38" s="49">
        <f>100/E27</f>
        <v>3.5714285714285714E-6</v>
      </c>
    </row>
    <row r="39" spans="1:6">
      <c r="A39" s="50"/>
      <c r="B39" s="6"/>
      <c r="C39" s="62"/>
      <c r="D39" s="4"/>
      <c r="E39" s="6"/>
    </row>
    <row r="40" spans="1:6">
      <c r="A40" s="1" t="s">
        <v>129</v>
      </c>
      <c r="B40" s="40">
        <v>214</v>
      </c>
      <c r="D40" s="1" t="s">
        <v>129</v>
      </c>
      <c r="E40" s="40">
        <v>217</v>
      </c>
    </row>
    <row r="41" spans="1:6">
      <c r="A41" s="1" t="s">
        <v>1</v>
      </c>
      <c r="B41" s="41" t="s">
        <v>173</v>
      </c>
      <c r="D41" s="1" t="s">
        <v>1</v>
      </c>
      <c r="E41" s="41" t="s">
        <v>174</v>
      </c>
    </row>
    <row r="42" spans="1:6">
      <c r="A42" s="1" t="s">
        <v>133</v>
      </c>
      <c r="B42" s="43">
        <v>4.22</v>
      </c>
      <c r="D42" s="1" t="s">
        <v>133</v>
      </c>
      <c r="E42" s="43">
        <v>7.93</v>
      </c>
    </row>
    <row r="43" spans="1:6">
      <c r="A43" s="1" t="s">
        <v>134</v>
      </c>
      <c r="B43" s="43">
        <v>7.04</v>
      </c>
      <c r="D43" s="1" t="s">
        <v>134</v>
      </c>
      <c r="E43" s="43">
        <v>11.75</v>
      </c>
    </row>
    <row r="44" spans="1:6">
      <c r="A44" s="1" t="s">
        <v>135</v>
      </c>
      <c r="B44" s="1">
        <v>5</v>
      </c>
      <c r="D44" s="1" t="s">
        <v>135</v>
      </c>
      <c r="E44" s="1">
        <v>5</v>
      </c>
    </row>
    <row r="45" spans="1:6">
      <c r="A45" s="1" t="s">
        <v>136</v>
      </c>
      <c r="B45" s="46">
        <v>27600000000</v>
      </c>
      <c r="D45" s="1" t="s">
        <v>136</v>
      </c>
      <c r="E45" s="46">
        <v>19400000</v>
      </c>
    </row>
    <row r="46" spans="1:6">
      <c r="A46" s="1" t="s">
        <v>137</v>
      </c>
      <c r="B46" s="39">
        <f>(100000)/B45</f>
        <v>3.6231884057971013E-6</v>
      </c>
      <c r="D46" s="1" t="s">
        <v>137</v>
      </c>
      <c r="E46" s="39">
        <f>(100000)/E45</f>
        <v>5.1546391752577319E-3</v>
      </c>
    </row>
    <row r="47" spans="1:6">
      <c r="A47" s="1" t="s">
        <v>138</v>
      </c>
      <c r="B47" s="100">
        <f>B46*1000</f>
        <v>3.6231884057971011E-3</v>
      </c>
      <c r="C47" s="101" t="s">
        <v>190</v>
      </c>
      <c r="D47" s="1" t="s">
        <v>138</v>
      </c>
      <c r="E47" s="48">
        <f>E46*1000</f>
        <v>5.1546391752577323</v>
      </c>
    </row>
    <row r="48" spans="1:6">
      <c r="A48" s="1" t="s">
        <v>140</v>
      </c>
      <c r="B48" s="39">
        <f>(B46*B45)/10</f>
        <v>10000</v>
      </c>
      <c r="D48" s="1" t="s">
        <v>140</v>
      </c>
      <c r="E48" s="39">
        <f>(E46*E45)/10</f>
        <v>10000</v>
      </c>
    </row>
    <row r="49" spans="1:6">
      <c r="A49" s="1" t="s">
        <v>141</v>
      </c>
      <c r="B49" s="39">
        <f>(100)/B45</f>
        <v>3.6231884057971014E-9</v>
      </c>
      <c r="D49" s="1" t="s">
        <v>141</v>
      </c>
      <c r="E49" s="39">
        <f>(100)/E45</f>
        <v>5.1546391752577319E-6</v>
      </c>
    </row>
    <row r="50" spans="1:6">
      <c r="A50" s="1" t="s">
        <v>142</v>
      </c>
      <c r="B50" s="39">
        <f>100/EXP((B43*B52*LN(2))+LN(B48))</f>
        <v>6.6240445676155685E-6</v>
      </c>
      <c r="D50" s="1" t="s">
        <v>142</v>
      </c>
      <c r="E50" s="39">
        <f>100/EXP((E43*E52*LN(2))+LN(E48))</f>
        <v>2.903337683112108E-6</v>
      </c>
    </row>
    <row r="51" spans="1:6">
      <c r="A51" s="1" t="s">
        <v>143</v>
      </c>
      <c r="B51" s="48">
        <f>((LN((10000000)/B48)/LN(2))/B43)</f>
        <v>1.4155943586167736</v>
      </c>
      <c r="D51" s="1" t="s">
        <v>143</v>
      </c>
      <c r="E51" s="48">
        <f>((LN((10000000)/E48)/LN(2))/E43)</f>
        <v>0.84815185401379467</v>
      </c>
    </row>
    <row r="52" spans="1:6">
      <c r="A52" s="1" t="s">
        <v>144</v>
      </c>
      <c r="B52" s="1">
        <v>1.5</v>
      </c>
      <c r="C52" t="s">
        <v>178</v>
      </c>
      <c r="D52" s="1" t="s">
        <v>144</v>
      </c>
      <c r="E52" s="1">
        <v>1</v>
      </c>
      <c r="F52" s="65" t="s">
        <v>154</v>
      </c>
    </row>
    <row r="53" spans="1:6">
      <c r="A53" s="1" t="s">
        <v>147</v>
      </c>
      <c r="B53" s="1"/>
      <c r="D53" s="1" t="s">
        <v>147</v>
      </c>
      <c r="E53" s="1"/>
    </row>
    <row r="54" spans="1:6">
      <c r="A54" s="1" t="s">
        <v>148</v>
      </c>
      <c r="B54" s="1"/>
      <c r="D54" s="1" t="s">
        <v>148</v>
      </c>
      <c r="E54" s="1"/>
    </row>
    <row r="55" spans="1:6">
      <c r="A55" s="1" t="s">
        <v>149</v>
      </c>
      <c r="B55" s="1"/>
      <c r="D55" s="1" t="s">
        <v>149</v>
      </c>
      <c r="E55" s="1"/>
    </row>
    <row r="56" spans="1:6">
      <c r="A56" s="74" t="s">
        <v>150</v>
      </c>
      <c r="B56" s="81">
        <f>100/B45</f>
        <v>3.6231884057971014E-9</v>
      </c>
      <c r="C56" s="7"/>
      <c r="D56" s="74" t="s">
        <v>150</v>
      </c>
      <c r="E56" s="81">
        <f>100/E45</f>
        <v>5.1546391752577319E-6</v>
      </c>
    </row>
    <row r="57" spans="1:6">
      <c r="A57" s="7"/>
      <c r="C57" s="7"/>
      <c r="D57" s="7"/>
    </row>
    <row r="58" spans="1:6">
      <c r="A58" s="1" t="s">
        <v>129</v>
      </c>
      <c r="B58" s="40">
        <v>234</v>
      </c>
      <c r="D58" s="7"/>
      <c r="E58" s="1" t="s">
        <v>155</v>
      </c>
    </row>
    <row r="59" spans="1:6">
      <c r="A59" s="1" t="s">
        <v>1</v>
      </c>
      <c r="B59" s="41" t="s">
        <v>175</v>
      </c>
      <c r="D59" s="7"/>
      <c r="E59" s="44">
        <v>9.9999999999999995E-7</v>
      </c>
    </row>
    <row r="60" spans="1:6">
      <c r="A60" s="1" t="s">
        <v>133</v>
      </c>
      <c r="B60" s="43">
        <v>8.2899999999999991</v>
      </c>
      <c r="D60" s="7"/>
      <c r="E60" s="44">
        <v>5.0000000000000004E-6</v>
      </c>
    </row>
    <row r="61" spans="1:6">
      <c r="A61" s="1" t="s">
        <v>134</v>
      </c>
      <c r="B61" s="43">
        <v>12.65</v>
      </c>
      <c r="D61" s="7"/>
      <c r="E61" s="45">
        <v>1.0000000000000001E-5</v>
      </c>
    </row>
    <row r="62" spans="1:6">
      <c r="A62" s="1" t="s">
        <v>135</v>
      </c>
      <c r="B62" s="1">
        <v>5</v>
      </c>
      <c r="E62" s="47">
        <v>5.0000000000000002E-5</v>
      </c>
    </row>
    <row r="63" spans="1:6">
      <c r="A63" s="1" t="s">
        <v>136</v>
      </c>
      <c r="B63" s="46">
        <v>20200000</v>
      </c>
    </row>
    <row r="64" spans="1:6">
      <c r="A64" s="1" t="s">
        <v>137</v>
      </c>
      <c r="B64" s="39">
        <f>(100000)/B63</f>
        <v>4.9504950495049506E-3</v>
      </c>
    </row>
    <row r="65" spans="1:3">
      <c r="A65" s="1" t="s">
        <v>138</v>
      </c>
      <c r="B65" s="48">
        <f>B64*1000</f>
        <v>4.9504950495049505</v>
      </c>
    </row>
    <row r="66" spans="1:3">
      <c r="A66" s="1" t="s">
        <v>140</v>
      </c>
      <c r="B66" s="39">
        <f>(B64*B63)/10</f>
        <v>10000</v>
      </c>
    </row>
    <row r="67" spans="1:3">
      <c r="A67" s="1" t="s">
        <v>141</v>
      </c>
      <c r="B67" s="39">
        <f>(100)/B63</f>
        <v>4.9504950495049507E-6</v>
      </c>
    </row>
    <row r="68" spans="1:3">
      <c r="A68" s="1" t="s">
        <v>142</v>
      </c>
      <c r="B68" s="39">
        <f>100/EXP((B61*B70*LN(2))+LN(B66))</f>
        <v>1.55586014077058E-6</v>
      </c>
    </row>
    <row r="69" spans="1:3">
      <c r="A69" s="1" t="s">
        <v>143</v>
      </c>
      <c r="B69" s="48">
        <f>((LN((10000000)/B66)/LN(2))/B61)</f>
        <v>0.78780903436063932</v>
      </c>
    </row>
    <row r="70" spans="1:3">
      <c r="A70" s="1" t="s">
        <v>144</v>
      </c>
      <c r="B70" s="1">
        <v>1</v>
      </c>
      <c r="C70" t="s">
        <v>154</v>
      </c>
    </row>
    <row r="71" spans="1:3">
      <c r="A71" s="1" t="s">
        <v>147</v>
      </c>
      <c r="B71" s="1"/>
    </row>
    <row r="72" spans="1:3">
      <c r="A72" s="1" t="s">
        <v>148</v>
      </c>
      <c r="B72" s="1"/>
    </row>
    <row r="73" spans="1:3">
      <c r="A73" s="1" t="s">
        <v>149</v>
      </c>
      <c r="B73" s="1"/>
    </row>
    <row r="74" spans="1:3">
      <c r="A74" s="74" t="s">
        <v>150</v>
      </c>
      <c r="B74" s="49">
        <f>100/B63</f>
        <v>4.9504950495049507E-6</v>
      </c>
    </row>
  </sheetData>
  <pageMargins left="0.7" right="0.7" top="0.75" bottom="0.75" header="0.3" footer="0.3"/>
  <pageSetup scale="60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4A7A4-FD4B-4936-992E-115CF1E5FD50}">
  <sheetPr>
    <pageSetUpPr fitToPage="1"/>
  </sheetPr>
  <dimension ref="A1:F62"/>
  <sheetViews>
    <sheetView workbookViewId="0">
      <selection activeCell="I59" sqref="I59"/>
    </sheetView>
  </sheetViews>
  <sheetFormatPr defaultRowHeight="14.45"/>
  <cols>
    <col min="1" max="1" width="44.28515625" bestFit="1" customWidth="1"/>
    <col min="2" max="2" width="19.42578125" bestFit="1" customWidth="1"/>
    <col min="3" max="3" width="13.7109375" customWidth="1"/>
    <col min="4" max="4" width="44.28515625" bestFit="1" customWidth="1"/>
    <col min="5" max="5" width="19.42578125" bestFit="1" customWidth="1"/>
  </cols>
  <sheetData>
    <row r="1" spans="1:6">
      <c r="A1" t="s">
        <v>191</v>
      </c>
    </row>
    <row r="2" spans="1:6">
      <c r="A2" t="s">
        <v>192</v>
      </c>
    </row>
    <row r="4" spans="1:6">
      <c r="A4" s="1" t="s">
        <v>129</v>
      </c>
      <c r="B4" s="40">
        <v>42</v>
      </c>
      <c r="D4" s="1" t="s">
        <v>129</v>
      </c>
      <c r="E4" s="40">
        <v>55</v>
      </c>
    </row>
    <row r="5" spans="1:6">
      <c r="A5" s="1" t="s">
        <v>1</v>
      </c>
      <c r="B5" s="41" t="s">
        <v>193</v>
      </c>
      <c r="D5" s="1" t="s">
        <v>1</v>
      </c>
      <c r="E5" s="41" t="s">
        <v>194</v>
      </c>
    </row>
    <row r="6" spans="1:6">
      <c r="A6" s="1" t="s">
        <v>133</v>
      </c>
      <c r="B6" s="43">
        <v>16.989999999999998</v>
      </c>
      <c r="D6" s="1" t="s">
        <v>133</v>
      </c>
      <c r="E6" s="43">
        <v>12.07</v>
      </c>
    </row>
    <row r="7" spans="1:6">
      <c r="A7" s="1" t="s">
        <v>134</v>
      </c>
      <c r="B7" s="43">
        <v>16.989999999999998</v>
      </c>
      <c r="D7" s="1" t="s">
        <v>134</v>
      </c>
      <c r="E7" s="43">
        <v>12.07</v>
      </c>
    </row>
    <row r="8" spans="1:6">
      <c r="A8" s="1" t="s">
        <v>135</v>
      </c>
      <c r="B8" s="1">
        <v>1</v>
      </c>
      <c r="D8" s="1" t="s">
        <v>135</v>
      </c>
      <c r="E8" s="1">
        <v>1</v>
      </c>
    </row>
    <row r="9" spans="1:6">
      <c r="A9" s="1" t="s">
        <v>136</v>
      </c>
      <c r="B9" s="46">
        <v>170000000</v>
      </c>
      <c r="D9" s="1" t="s">
        <v>136</v>
      </c>
      <c r="E9" s="46">
        <v>11600000</v>
      </c>
    </row>
    <row r="10" spans="1:6">
      <c r="A10" s="1" t="s">
        <v>137</v>
      </c>
      <c r="B10" s="39">
        <f>(100000)/B9</f>
        <v>5.8823529411764701E-4</v>
      </c>
      <c r="D10" s="1" t="s">
        <v>137</v>
      </c>
      <c r="E10" s="39">
        <f>(100000)/E9</f>
        <v>8.6206896551724137E-3</v>
      </c>
    </row>
    <row r="11" spans="1:6">
      <c r="A11" s="1" t="s">
        <v>138</v>
      </c>
      <c r="B11" s="48">
        <f>B10*1000</f>
        <v>0.58823529411764697</v>
      </c>
      <c r="C11" t="s">
        <v>195</v>
      </c>
      <c r="D11" s="1" t="s">
        <v>138</v>
      </c>
      <c r="E11" s="48">
        <f>E10*1000</f>
        <v>8.6206896551724128</v>
      </c>
    </row>
    <row r="12" spans="1:6">
      <c r="A12" s="1" t="s">
        <v>140</v>
      </c>
      <c r="B12" s="39">
        <f>(B10*B9)/10</f>
        <v>9999.9999999999982</v>
      </c>
      <c r="D12" s="1" t="s">
        <v>140</v>
      </c>
      <c r="E12" s="39">
        <f>(E10*E9)/10</f>
        <v>10000</v>
      </c>
    </row>
    <row r="13" spans="1:6">
      <c r="A13" s="1" t="s">
        <v>141</v>
      </c>
      <c r="B13" s="39">
        <f>(100)/B9</f>
        <v>5.8823529411764701E-7</v>
      </c>
      <c r="D13" s="1" t="s">
        <v>141</v>
      </c>
      <c r="E13" s="39">
        <f>(100)/E9</f>
        <v>8.6206896551724141E-6</v>
      </c>
    </row>
    <row r="14" spans="1:6">
      <c r="A14" s="1" t="s">
        <v>142</v>
      </c>
      <c r="B14" s="39">
        <f>100/EXP((B7*B16*LN(2))+LN(B12))</f>
        <v>1.459235142852095E-6</v>
      </c>
      <c r="D14" s="1" t="s">
        <v>142</v>
      </c>
      <c r="E14" s="39">
        <f>100/EXP((E7*E16*LN(2))+LN(E12))</f>
        <v>2.3257763624119581E-6</v>
      </c>
    </row>
    <row r="15" spans="1:6">
      <c r="A15" s="1" t="s">
        <v>143</v>
      </c>
      <c r="B15" s="48">
        <f>((LN((10000000)/B12)/LN(2))/B7)</f>
        <v>0.58656764477116474</v>
      </c>
      <c r="D15" s="1" t="s">
        <v>143</v>
      </c>
      <c r="E15" s="48">
        <f>((LN((10000000)/E12)/LN(2))/E7)</f>
        <v>0.82566564081707428</v>
      </c>
    </row>
    <row r="16" spans="1:6">
      <c r="A16" s="1" t="s">
        <v>144</v>
      </c>
      <c r="B16" s="1">
        <v>0.75</v>
      </c>
      <c r="C16" t="s">
        <v>146</v>
      </c>
      <c r="D16" s="1" t="s">
        <v>144</v>
      </c>
      <c r="E16" s="1">
        <v>1</v>
      </c>
      <c r="F16" s="65" t="s">
        <v>154</v>
      </c>
    </row>
    <row r="17" spans="1:5">
      <c r="A17" s="1" t="s">
        <v>147</v>
      </c>
      <c r="B17" s="1"/>
      <c r="D17" s="1" t="s">
        <v>147</v>
      </c>
      <c r="E17" s="1"/>
    </row>
    <row r="18" spans="1:5">
      <c r="A18" s="1" t="s">
        <v>148</v>
      </c>
      <c r="B18" s="1"/>
      <c r="D18" s="1" t="s">
        <v>148</v>
      </c>
      <c r="E18" s="1"/>
    </row>
    <row r="19" spans="1:5">
      <c r="A19" s="1" t="s">
        <v>149</v>
      </c>
      <c r="B19" s="1"/>
      <c r="D19" s="1" t="s">
        <v>149</v>
      </c>
      <c r="E19" s="1"/>
    </row>
    <row r="20" spans="1:5">
      <c r="A20" s="74" t="s">
        <v>150</v>
      </c>
      <c r="B20" s="49">
        <f>100/B9</f>
        <v>5.8823529411764701E-7</v>
      </c>
      <c r="C20" s="62"/>
      <c r="D20" s="49" t="s">
        <v>150</v>
      </c>
      <c r="E20" s="49">
        <f>100/E9</f>
        <v>8.6206896551724141E-6</v>
      </c>
    </row>
    <row r="22" spans="1:5">
      <c r="A22" s="1" t="s">
        <v>129</v>
      </c>
      <c r="B22" s="40" t="s">
        <v>113</v>
      </c>
      <c r="D22" s="1" t="s">
        <v>129</v>
      </c>
      <c r="E22" s="40">
        <v>215</v>
      </c>
    </row>
    <row r="23" spans="1:5">
      <c r="A23" s="1" t="s">
        <v>1</v>
      </c>
      <c r="B23" s="41" t="s">
        <v>196</v>
      </c>
      <c r="D23" s="1" t="s">
        <v>1</v>
      </c>
      <c r="E23" s="41" t="s">
        <v>197</v>
      </c>
    </row>
    <row r="24" spans="1:5">
      <c r="A24" s="1" t="s">
        <v>133</v>
      </c>
      <c r="B24" s="43">
        <v>16.7</v>
      </c>
      <c r="D24" s="1" t="s">
        <v>133</v>
      </c>
      <c r="E24" s="43">
        <v>3.77</v>
      </c>
    </row>
    <row r="25" spans="1:5">
      <c r="A25" s="1" t="s">
        <v>134</v>
      </c>
      <c r="B25" s="98">
        <v>16.7</v>
      </c>
      <c r="D25" s="1" t="s">
        <v>134</v>
      </c>
      <c r="E25" s="43">
        <v>3.77</v>
      </c>
    </row>
    <row r="26" spans="1:5">
      <c r="A26" s="1" t="s">
        <v>135</v>
      </c>
      <c r="B26" s="1">
        <v>1</v>
      </c>
      <c r="D26" s="1" t="s">
        <v>135</v>
      </c>
      <c r="E26" s="1">
        <v>1</v>
      </c>
    </row>
    <row r="27" spans="1:5">
      <c r="A27" s="1" t="s">
        <v>136</v>
      </c>
      <c r="B27" s="46">
        <v>3730000</v>
      </c>
      <c r="D27" s="1" t="s">
        <v>136</v>
      </c>
      <c r="E27" s="46">
        <v>5800000</v>
      </c>
    </row>
    <row r="28" spans="1:5">
      <c r="A28" s="1" t="s">
        <v>137</v>
      </c>
      <c r="B28" s="39">
        <f>(100000)/B27</f>
        <v>2.6809651474530832E-2</v>
      </c>
      <c r="D28" s="1" t="s">
        <v>137</v>
      </c>
      <c r="E28" s="39">
        <f>(100000)/E27</f>
        <v>1.7241379310344827E-2</v>
      </c>
    </row>
    <row r="29" spans="1:5">
      <c r="A29" s="1" t="s">
        <v>138</v>
      </c>
      <c r="B29" s="48">
        <f>B28*1000</f>
        <v>26.809651474530831</v>
      </c>
      <c r="D29" s="1" t="s">
        <v>138</v>
      </c>
      <c r="E29" s="48">
        <f>E28*1000</f>
        <v>17.241379310344826</v>
      </c>
    </row>
    <row r="30" spans="1:5">
      <c r="A30" s="1" t="s">
        <v>140</v>
      </c>
      <c r="B30" s="39">
        <f>(B28*B27)/10</f>
        <v>10000</v>
      </c>
      <c r="D30" s="1" t="s">
        <v>140</v>
      </c>
      <c r="E30" s="39">
        <f>(E28*E27)/10</f>
        <v>10000</v>
      </c>
    </row>
    <row r="31" spans="1:5">
      <c r="A31" s="1" t="s">
        <v>141</v>
      </c>
      <c r="B31" s="39">
        <f>(100)/B27</f>
        <v>2.680965147453083E-5</v>
      </c>
      <c r="D31" s="1" t="s">
        <v>141</v>
      </c>
      <c r="E31" s="39">
        <f>(100)/E27</f>
        <v>1.7241379310344828E-5</v>
      </c>
    </row>
    <row r="32" spans="1:5">
      <c r="A32" s="1" t="s">
        <v>142</v>
      </c>
      <c r="B32" s="39">
        <f>100/EXP((B25*B34*LN(2))+LN(B30))</f>
        <v>1.6966775144559741E-6</v>
      </c>
      <c r="D32" s="1" t="s">
        <v>142</v>
      </c>
      <c r="E32" s="39">
        <f>100/EXP((E25*E34*LN(2))+LN(E30))</f>
        <v>7.5695754111496328E-6</v>
      </c>
    </row>
    <row r="33" spans="1:6">
      <c r="A33" s="1" t="s">
        <v>143</v>
      </c>
      <c r="B33" s="48">
        <f>((LN((10000000)/B30)/LN(2))/B25)</f>
        <v>0.59675354997976571</v>
      </c>
      <c r="D33" s="1" t="s">
        <v>143</v>
      </c>
      <c r="E33" s="48">
        <f>((LN((10000000)/E30)/LN(2))/E25)</f>
        <v>2.6434441073374235</v>
      </c>
    </row>
    <row r="34" spans="1:6">
      <c r="A34" s="1" t="s">
        <v>144</v>
      </c>
      <c r="B34" s="1">
        <v>0.75</v>
      </c>
      <c r="C34" t="s">
        <v>146</v>
      </c>
      <c r="D34" s="1" t="s">
        <v>144</v>
      </c>
      <c r="E34" s="1">
        <v>2.75</v>
      </c>
      <c r="F34" s="65" t="s">
        <v>198</v>
      </c>
    </row>
    <row r="35" spans="1:6">
      <c r="A35" s="1" t="s">
        <v>147</v>
      </c>
      <c r="B35" s="1"/>
      <c r="D35" s="1" t="s">
        <v>147</v>
      </c>
      <c r="E35" s="1"/>
    </row>
    <row r="36" spans="1:6">
      <c r="A36" s="1" t="s">
        <v>148</v>
      </c>
      <c r="B36" s="1"/>
      <c r="D36" s="1" t="s">
        <v>148</v>
      </c>
      <c r="E36" s="1"/>
    </row>
    <row r="37" spans="1:6">
      <c r="A37" s="1" t="s">
        <v>149</v>
      </c>
      <c r="B37" s="1"/>
      <c r="D37" s="1" t="s">
        <v>149</v>
      </c>
      <c r="E37" s="1"/>
    </row>
    <row r="38" spans="1:6">
      <c r="A38" s="50" t="s">
        <v>150</v>
      </c>
      <c r="B38" s="6">
        <f>100/B27</f>
        <v>2.680965147453083E-5</v>
      </c>
      <c r="C38" s="62"/>
      <c r="D38" s="74" t="s">
        <v>150</v>
      </c>
      <c r="E38" s="49">
        <f>100/E27</f>
        <v>1.7241379310344828E-5</v>
      </c>
    </row>
    <row r="39" spans="1:6">
      <c r="A39" s="50"/>
      <c r="B39" s="6"/>
      <c r="C39" s="62"/>
      <c r="D39" s="4"/>
      <c r="E39" s="6"/>
    </row>
    <row r="40" spans="1:6">
      <c r="A40" s="1" t="s">
        <v>129</v>
      </c>
      <c r="B40" s="40">
        <v>218</v>
      </c>
      <c r="D40" s="1" t="s">
        <v>129</v>
      </c>
      <c r="E40" s="40">
        <v>235</v>
      </c>
    </row>
    <row r="41" spans="1:6">
      <c r="A41" s="1" t="s">
        <v>1</v>
      </c>
      <c r="B41" s="41" t="s">
        <v>199</v>
      </c>
      <c r="D41" s="1" t="s">
        <v>1</v>
      </c>
      <c r="E41" s="41" t="s">
        <v>200</v>
      </c>
    </row>
    <row r="42" spans="1:6">
      <c r="A42" s="1" t="s">
        <v>133</v>
      </c>
      <c r="B42" s="43">
        <v>7.95</v>
      </c>
      <c r="D42" s="1" t="s">
        <v>133</v>
      </c>
      <c r="E42" s="43">
        <v>5.5</v>
      </c>
    </row>
    <row r="43" spans="1:6">
      <c r="A43" s="1" t="s">
        <v>134</v>
      </c>
      <c r="B43" s="43">
        <v>7.95</v>
      </c>
      <c r="D43" s="1" t="s">
        <v>134</v>
      </c>
      <c r="E43" s="43">
        <v>5.5</v>
      </c>
    </row>
    <row r="44" spans="1:6">
      <c r="A44" s="1" t="s">
        <v>135</v>
      </c>
      <c r="B44" s="1">
        <v>1</v>
      </c>
      <c r="D44" s="1" t="s">
        <v>135</v>
      </c>
      <c r="E44" s="1">
        <v>1</v>
      </c>
    </row>
    <row r="45" spans="1:6">
      <c r="A45" s="1" t="s">
        <v>136</v>
      </c>
      <c r="B45" s="46">
        <v>15000000</v>
      </c>
      <c r="D45" s="1" t="s">
        <v>136</v>
      </c>
      <c r="E45" s="46">
        <v>95000</v>
      </c>
    </row>
    <row r="46" spans="1:6">
      <c r="A46" s="1" t="s">
        <v>137</v>
      </c>
      <c r="B46" s="39">
        <f>(100000)/B45</f>
        <v>6.6666666666666671E-3</v>
      </c>
      <c r="D46" s="1" t="s">
        <v>137</v>
      </c>
      <c r="E46" s="39">
        <f>(10000)/E45</f>
        <v>0.10526315789473684</v>
      </c>
    </row>
    <row r="47" spans="1:6">
      <c r="A47" s="1" t="s">
        <v>138</v>
      </c>
      <c r="B47" s="48">
        <f>B46*1000</f>
        <v>6.666666666666667</v>
      </c>
      <c r="C47" s="102"/>
      <c r="D47" s="1" t="s">
        <v>138</v>
      </c>
      <c r="E47" s="48">
        <f>E46*1000</f>
        <v>105.26315789473684</v>
      </c>
      <c r="F47" t="s">
        <v>201</v>
      </c>
    </row>
    <row r="48" spans="1:6">
      <c r="A48" s="1" t="s">
        <v>140</v>
      </c>
      <c r="B48" s="39">
        <f>(B46*B45)/10</f>
        <v>10000</v>
      </c>
      <c r="D48" s="1" t="s">
        <v>140</v>
      </c>
      <c r="E48" s="39">
        <f>(E46*E45)/10</f>
        <v>1000</v>
      </c>
    </row>
    <row r="49" spans="1:6">
      <c r="A49" s="1" t="s">
        <v>141</v>
      </c>
      <c r="B49" s="39">
        <f>(100)/B45</f>
        <v>6.6666666666666666E-6</v>
      </c>
      <c r="D49" s="1" t="s">
        <v>141</v>
      </c>
      <c r="E49" s="39">
        <f>(100)/E45</f>
        <v>1.0526315789473684E-3</v>
      </c>
    </row>
    <row r="50" spans="1:6">
      <c r="A50" s="1" t="s">
        <v>142</v>
      </c>
      <c r="B50" s="39">
        <f>100/EXP((B43*B52*LN(2))+LN(B48))</f>
        <v>1.0197986156517697E-5</v>
      </c>
      <c r="D50" s="1" t="s">
        <v>142</v>
      </c>
      <c r="E50" s="39">
        <f>100/EXP((E43*E52*LN(2))+LN(E48))</f>
        <v>7.2583442077803016E-6</v>
      </c>
    </row>
    <row r="51" spans="1:6">
      <c r="A51" s="1" t="s">
        <v>143</v>
      </c>
      <c r="B51" s="48">
        <f>((LN((10000000)/B48)/LN(2))/B43)</f>
        <v>1.2535577716556083</v>
      </c>
      <c r="D51" s="1" t="s">
        <v>143</v>
      </c>
      <c r="E51" s="48">
        <f>((LN((10000000)/E48)/LN(2))/E43)</f>
        <v>2.4159477053726275</v>
      </c>
    </row>
    <row r="52" spans="1:6">
      <c r="A52" s="1" t="s">
        <v>144</v>
      </c>
      <c r="B52" s="1">
        <v>1.25</v>
      </c>
      <c r="C52" t="s">
        <v>158</v>
      </c>
      <c r="D52" s="1" t="s">
        <v>144</v>
      </c>
      <c r="E52" s="1">
        <v>2.5</v>
      </c>
      <c r="F52" s="65" t="s">
        <v>153</v>
      </c>
    </row>
    <row r="53" spans="1:6">
      <c r="A53" s="1" t="s">
        <v>147</v>
      </c>
      <c r="B53" s="1"/>
      <c r="D53" s="1" t="s">
        <v>147</v>
      </c>
      <c r="E53" s="1"/>
    </row>
    <row r="54" spans="1:6">
      <c r="A54" s="1" t="s">
        <v>148</v>
      </c>
      <c r="B54" s="1"/>
      <c r="D54" s="1" t="s">
        <v>148</v>
      </c>
      <c r="E54" s="1"/>
    </row>
    <row r="55" spans="1:6">
      <c r="A55" s="1" t="s">
        <v>149</v>
      </c>
      <c r="B55" s="1"/>
      <c r="D55" s="1" t="s">
        <v>149</v>
      </c>
      <c r="E55" s="1"/>
    </row>
    <row r="56" spans="1:6">
      <c r="A56" s="74" t="s">
        <v>150</v>
      </c>
      <c r="B56" s="81">
        <f>100/B45</f>
        <v>6.6666666666666666E-6</v>
      </c>
      <c r="C56" s="7"/>
      <c r="D56" s="74" t="s">
        <v>150</v>
      </c>
      <c r="E56" s="81">
        <f>100/E45</f>
        <v>1.0526315789473684E-3</v>
      </c>
    </row>
    <row r="57" spans="1:6">
      <c r="A57" s="7"/>
      <c r="C57" s="7"/>
      <c r="D57" s="7"/>
    </row>
    <row r="58" spans="1:6">
      <c r="A58" s="7"/>
      <c r="B58" s="1" t="s">
        <v>155</v>
      </c>
    </row>
    <row r="59" spans="1:6">
      <c r="A59" s="7"/>
      <c r="B59" s="44">
        <v>9.9999999999999995E-7</v>
      </c>
    </row>
    <row r="60" spans="1:6">
      <c r="A60" s="7"/>
      <c r="B60" s="44">
        <v>5.0000000000000004E-6</v>
      </c>
    </row>
    <row r="61" spans="1:6">
      <c r="A61" s="7"/>
      <c r="B61" s="45">
        <v>1.0000000000000001E-5</v>
      </c>
    </row>
    <row r="62" spans="1:6">
      <c r="B62" s="47">
        <v>5.0000000000000002E-5</v>
      </c>
    </row>
  </sheetData>
  <pageMargins left="0.7" right="0.7" top="0.75" bottom="0.75" header="0.3" footer="0.3"/>
  <pageSetup scale="56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8DA79-BBD2-40A0-8034-FBCF5FF3D24D}">
  <sheetPr>
    <pageSetUpPr fitToPage="1"/>
  </sheetPr>
  <dimension ref="A1:L98"/>
  <sheetViews>
    <sheetView workbookViewId="0">
      <selection activeCell="O29" sqref="O29"/>
    </sheetView>
  </sheetViews>
  <sheetFormatPr defaultRowHeight="14.45"/>
  <cols>
    <col min="1" max="1" width="44.28515625" bestFit="1" customWidth="1"/>
    <col min="2" max="2" width="19.42578125" bestFit="1" customWidth="1"/>
    <col min="3" max="3" width="13.7109375" customWidth="1"/>
    <col min="4" max="4" width="44.28515625" bestFit="1" customWidth="1"/>
    <col min="5" max="5" width="19.42578125" bestFit="1" customWidth="1"/>
  </cols>
  <sheetData>
    <row r="1" spans="1:6">
      <c r="A1" t="s">
        <v>202</v>
      </c>
    </row>
    <row r="2" spans="1:6">
      <c r="A2" t="s">
        <v>203</v>
      </c>
    </row>
    <row r="4" spans="1:6">
      <c r="A4" s="1" t="s">
        <v>129</v>
      </c>
      <c r="B4" s="40">
        <v>42</v>
      </c>
      <c r="D4" s="1" t="s">
        <v>129</v>
      </c>
      <c r="E4" s="40">
        <v>55</v>
      </c>
    </row>
    <row r="5" spans="1:6">
      <c r="A5" s="1" t="s">
        <v>1</v>
      </c>
      <c r="B5" s="41" t="s">
        <v>193</v>
      </c>
      <c r="D5" s="1" t="s">
        <v>1</v>
      </c>
      <c r="E5" s="41" t="s">
        <v>194</v>
      </c>
    </row>
    <row r="6" spans="1:6">
      <c r="A6" s="1" t="s">
        <v>133</v>
      </c>
      <c r="B6" s="43">
        <v>16.989999999999998</v>
      </c>
      <c r="D6" s="1" t="s">
        <v>133</v>
      </c>
      <c r="E6" s="43">
        <v>12.07</v>
      </c>
    </row>
    <row r="7" spans="1:6">
      <c r="A7" s="1" t="s">
        <v>134</v>
      </c>
      <c r="B7" s="43">
        <v>14.51</v>
      </c>
      <c r="D7" s="1" t="s">
        <v>134</v>
      </c>
      <c r="E7" s="43">
        <v>16.04</v>
      </c>
    </row>
    <row r="8" spans="1:6">
      <c r="A8" s="1" t="s">
        <v>135</v>
      </c>
      <c r="B8" s="1">
        <v>2</v>
      </c>
      <c r="D8" s="1" t="s">
        <v>135</v>
      </c>
      <c r="E8" s="1">
        <v>2</v>
      </c>
    </row>
    <row r="9" spans="1:6">
      <c r="A9" s="1" t="s">
        <v>136</v>
      </c>
      <c r="B9" s="46">
        <v>48600000</v>
      </c>
      <c r="D9" s="1" t="s">
        <v>136</v>
      </c>
      <c r="E9" s="46">
        <v>70000000</v>
      </c>
    </row>
    <row r="10" spans="1:6">
      <c r="A10" s="1" t="s">
        <v>137</v>
      </c>
      <c r="B10" s="39">
        <f>(100000)/B9</f>
        <v>2.05761316872428E-3</v>
      </c>
      <c r="D10" s="1" t="s">
        <v>137</v>
      </c>
      <c r="E10" s="39">
        <f>(100000)/E9</f>
        <v>1.4285714285714286E-3</v>
      </c>
    </row>
    <row r="11" spans="1:6">
      <c r="A11" s="1" t="s">
        <v>138</v>
      </c>
      <c r="B11" s="48">
        <f>B10*1000</f>
        <v>2.0576131687242798</v>
      </c>
      <c r="D11" s="1" t="s">
        <v>138</v>
      </c>
      <c r="E11" s="48">
        <f>E10*1000</f>
        <v>1.4285714285714286</v>
      </c>
    </row>
    <row r="12" spans="1:6">
      <c r="A12" s="1" t="s">
        <v>140</v>
      </c>
      <c r="B12" s="39">
        <f>(B10*B9)/10</f>
        <v>10000.000000000002</v>
      </c>
      <c r="D12" s="1" t="s">
        <v>140</v>
      </c>
      <c r="E12" s="39">
        <f>(E10*E9)/10</f>
        <v>10000</v>
      </c>
    </row>
    <row r="13" spans="1:6">
      <c r="A13" s="1" t="s">
        <v>141</v>
      </c>
      <c r="B13" s="39">
        <f>(100)/B9</f>
        <v>2.05761316872428E-6</v>
      </c>
      <c r="D13" s="1" t="s">
        <v>141</v>
      </c>
      <c r="E13" s="39">
        <f>(100)/E9</f>
        <v>1.4285714285714286E-6</v>
      </c>
    </row>
    <row r="14" spans="1:6">
      <c r="A14" s="1" t="s">
        <v>142</v>
      </c>
      <c r="B14" s="39">
        <f>100/EXP((B7*B16*LN(2))+LN(B12))</f>
        <v>5.2971353770009889E-6</v>
      </c>
      <c r="D14" s="1" t="s">
        <v>142</v>
      </c>
      <c r="E14" s="39">
        <f>100/EXP((E7*E16*LN(2))+LN(E12))</f>
        <v>2.3911628359055791E-6</v>
      </c>
    </row>
    <row r="15" spans="1:6">
      <c r="A15" s="1" t="s">
        <v>143</v>
      </c>
      <c r="B15" s="48">
        <f>((LN((10000000)/B12)/LN(2))/B7)</f>
        <v>0.68682179770241814</v>
      </c>
      <c r="D15" s="1" t="s">
        <v>143</v>
      </c>
      <c r="E15" s="48">
        <f>((LN((10000000)/E12)/LN(2))/E7)</f>
        <v>0.6213082471734469</v>
      </c>
    </row>
    <row r="16" spans="1:6">
      <c r="A16" s="1" t="s">
        <v>144</v>
      </c>
      <c r="B16" s="1">
        <v>0.75</v>
      </c>
      <c r="C16" t="s">
        <v>146</v>
      </c>
      <c r="D16" s="1" t="s">
        <v>144</v>
      </c>
      <c r="E16" s="1">
        <v>0.75</v>
      </c>
      <c r="F16" s="65" t="s">
        <v>146</v>
      </c>
    </row>
    <row r="17" spans="1:6">
      <c r="A17" s="1" t="s">
        <v>147</v>
      </c>
      <c r="B17" s="1"/>
      <c r="D17" s="1" t="s">
        <v>147</v>
      </c>
      <c r="E17" s="1"/>
    </row>
    <row r="18" spans="1:6">
      <c r="A18" s="1" t="s">
        <v>148</v>
      </c>
      <c r="B18" s="1"/>
      <c r="D18" s="1" t="s">
        <v>148</v>
      </c>
      <c r="E18" s="1"/>
    </row>
    <row r="19" spans="1:6">
      <c r="A19" s="1" t="s">
        <v>149</v>
      </c>
      <c r="B19" s="1"/>
      <c r="D19" s="1" t="s">
        <v>149</v>
      </c>
      <c r="E19" s="1"/>
    </row>
    <row r="20" spans="1:6">
      <c r="A20" s="74" t="s">
        <v>150</v>
      </c>
      <c r="B20" s="49">
        <f>100/B9</f>
        <v>2.05761316872428E-6</v>
      </c>
      <c r="C20" s="62"/>
      <c r="D20" s="49" t="s">
        <v>150</v>
      </c>
      <c r="E20" s="49">
        <f>100/E9</f>
        <v>1.4285714285714286E-6</v>
      </c>
    </row>
    <row r="22" spans="1:6">
      <c r="A22" s="1" t="s">
        <v>129</v>
      </c>
      <c r="B22" s="40" t="s">
        <v>113</v>
      </c>
      <c r="D22" s="1" t="s">
        <v>129</v>
      </c>
      <c r="E22" s="40">
        <v>215</v>
      </c>
    </row>
    <row r="23" spans="1:6">
      <c r="A23" s="1" t="s">
        <v>1</v>
      </c>
      <c r="B23" s="41" t="s">
        <v>196</v>
      </c>
      <c r="D23" s="1" t="s">
        <v>1</v>
      </c>
      <c r="E23" s="41" t="s">
        <v>197</v>
      </c>
    </row>
    <row r="24" spans="1:6">
      <c r="A24" s="1" t="s">
        <v>133</v>
      </c>
      <c r="B24" s="43">
        <v>16.7</v>
      </c>
      <c r="D24" s="1" t="s">
        <v>133</v>
      </c>
      <c r="E24" s="43">
        <v>3.77</v>
      </c>
    </row>
    <row r="25" spans="1:6">
      <c r="A25" s="1" t="s">
        <v>134</v>
      </c>
      <c r="B25" s="98">
        <v>16.22</v>
      </c>
      <c r="D25" s="1" t="s">
        <v>134</v>
      </c>
      <c r="E25" s="43">
        <v>6.8</v>
      </c>
    </row>
    <row r="26" spans="1:6">
      <c r="A26" s="1" t="s">
        <v>135</v>
      </c>
      <c r="B26" s="1">
        <v>2</v>
      </c>
      <c r="D26" s="1" t="s">
        <v>135</v>
      </c>
      <c r="E26" s="1">
        <v>1</v>
      </c>
    </row>
    <row r="27" spans="1:6">
      <c r="A27" s="1" t="s">
        <v>136</v>
      </c>
      <c r="B27" s="46">
        <v>8600000</v>
      </c>
      <c r="D27" s="1" t="s">
        <v>136</v>
      </c>
      <c r="E27" s="46">
        <v>1560000000</v>
      </c>
    </row>
    <row r="28" spans="1:6">
      <c r="A28" s="1" t="s">
        <v>137</v>
      </c>
      <c r="B28" s="39">
        <f>(100000)/B27</f>
        <v>1.1627906976744186E-2</v>
      </c>
      <c r="D28" s="1" t="s">
        <v>137</v>
      </c>
      <c r="E28" s="39">
        <f>(100000)/E27</f>
        <v>6.4102564102564103E-5</v>
      </c>
    </row>
    <row r="29" spans="1:6">
      <c r="A29" s="1" t="s">
        <v>138</v>
      </c>
      <c r="B29" s="48">
        <f>B28*1000</f>
        <v>11.627906976744185</v>
      </c>
      <c r="D29" s="1" t="s">
        <v>138</v>
      </c>
      <c r="E29" s="99">
        <f>E28*1000</f>
        <v>6.4102564102564097E-2</v>
      </c>
      <c r="F29" t="s">
        <v>204</v>
      </c>
    </row>
    <row r="30" spans="1:6">
      <c r="A30" s="1" t="s">
        <v>140</v>
      </c>
      <c r="B30" s="39">
        <f>(B28*B27)/10</f>
        <v>10000</v>
      </c>
      <c r="D30" s="1" t="s">
        <v>140</v>
      </c>
      <c r="E30" s="39">
        <f>(E28*E27)/10</f>
        <v>10000</v>
      </c>
    </row>
    <row r="31" spans="1:6">
      <c r="A31" s="1" t="s">
        <v>141</v>
      </c>
      <c r="B31" s="39">
        <f>(100)/B27</f>
        <v>1.1627906976744185E-5</v>
      </c>
      <c r="D31" s="1" t="s">
        <v>141</v>
      </c>
      <c r="E31" s="39">
        <f>(100)/E27</f>
        <v>6.4102564102564104E-8</v>
      </c>
    </row>
    <row r="32" spans="1:6">
      <c r="A32" s="1" t="s">
        <v>142</v>
      </c>
      <c r="B32" s="39">
        <f>100/EXP((B25*B34*LN(2))+LN(B30))</f>
        <v>2.1775598618654615E-6</v>
      </c>
      <c r="D32" s="1" t="s">
        <v>142</v>
      </c>
      <c r="E32" s="39">
        <f>100/EXP((E25*E34*LN(2))+LN(E30))</f>
        <v>8.5014703446887122E-6</v>
      </c>
    </row>
    <row r="33" spans="1:6">
      <c r="A33" s="1" t="s">
        <v>143</v>
      </c>
      <c r="B33" s="48">
        <f>((LN((10000000)/B30)/LN(2))/B25)</f>
        <v>0.61441333444279211</v>
      </c>
      <c r="D33" s="1" t="s">
        <v>143</v>
      </c>
      <c r="E33" s="48">
        <f>((LN((10000000)/E30)/LN(2))/E25)</f>
        <v>1.4655565124503069</v>
      </c>
    </row>
    <row r="34" spans="1:6">
      <c r="A34" s="1" t="s">
        <v>144</v>
      </c>
      <c r="B34" s="1">
        <v>0.75</v>
      </c>
      <c r="C34" t="s">
        <v>146</v>
      </c>
      <c r="D34" s="1" t="s">
        <v>144</v>
      </c>
      <c r="E34" s="1">
        <v>1.5</v>
      </c>
      <c r="F34" s="65" t="s">
        <v>178</v>
      </c>
    </row>
    <row r="35" spans="1:6">
      <c r="A35" s="1" t="s">
        <v>147</v>
      </c>
      <c r="B35" s="1"/>
      <c r="D35" s="1" t="s">
        <v>147</v>
      </c>
      <c r="E35" s="1"/>
    </row>
    <row r="36" spans="1:6">
      <c r="A36" s="1" t="s">
        <v>148</v>
      </c>
      <c r="B36" s="1"/>
      <c r="D36" s="1" t="s">
        <v>148</v>
      </c>
      <c r="E36" s="1"/>
    </row>
    <row r="37" spans="1:6">
      <c r="A37" s="1" t="s">
        <v>149</v>
      </c>
      <c r="B37" s="1"/>
      <c r="D37" s="1" t="s">
        <v>149</v>
      </c>
      <c r="E37" s="1"/>
    </row>
    <row r="38" spans="1:6">
      <c r="A38" s="50" t="s">
        <v>150</v>
      </c>
      <c r="B38" s="6">
        <f>100/B27</f>
        <v>1.1627906976744185E-5</v>
      </c>
      <c r="C38" s="62"/>
      <c r="D38" s="74" t="s">
        <v>150</v>
      </c>
      <c r="E38" s="49">
        <f>100/E27</f>
        <v>6.4102564102564104E-8</v>
      </c>
    </row>
    <row r="39" spans="1:6">
      <c r="A39" s="50"/>
      <c r="B39" s="6"/>
      <c r="C39" s="62"/>
      <c r="D39" s="4"/>
      <c r="E39" s="6"/>
    </row>
    <row r="40" spans="1:6">
      <c r="A40" s="1" t="s">
        <v>129</v>
      </c>
      <c r="B40" s="40">
        <v>218</v>
      </c>
      <c r="D40" s="1" t="s">
        <v>129</v>
      </c>
      <c r="E40" s="40">
        <v>235</v>
      </c>
    </row>
    <row r="41" spans="1:6">
      <c r="A41" s="1" t="s">
        <v>1</v>
      </c>
      <c r="B41" s="41" t="s">
        <v>199</v>
      </c>
      <c r="D41" s="1" t="s">
        <v>1</v>
      </c>
      <c r="E41" s="41" t="s">
        <v>200</v>
      </c>
    </row>
    <row r="42" spans="1:6">
      <c r="A42" s="1" t="s">
        <v>133</v>
      </c>
      <c r="B42" s="43">
        <v>7.95</v>
      </c>
      <c r="D42" s="1" t="s">
        <v>133</v>
      </c>
      <c r="E42" s="43">
        <v>5.5</v>
      </c>
    </row>
    <row r="43" spans="1:6">
      <c r="A43" s="1" t="s">
        <v>134</v>
      </c>
      <c r="B43" s="98">
        <v>9.76</v>
      </c>
      <c r="D43" s="1" t="s">
        <v>134</v>
      </c>
      <c r="E43" s="98">
        <v>5.62</v>
      </c>
    </row>
    <row r="44" spans="1:6">
      <c r="A44" s="1" t="s">
        <v>135</v>
      </c>
      <c r="B44" s="1">
        <v>2</v>
      </c>
      <c r="D44" s="1" t="s">
        <v>135</v>
      </c>
      <c r="E44" s="1">
        <v>2</v>
      </c>
    </row>
    <row r="45" spans="1:6">
      <c r="A45" s="1" t="s">
        <v>136</v>
      </c>
      <c r="B45" s="46">
        <v>13000000</v>
      </c>
      <c r="D45" s="1" t="s">
        <v>136</v>
      </c>
      <c r="E45" s="46">
        <v>1120000</v>
      </c>
    </row>
    <row r="46" spans="1:6">
      <c r="A46" s="1" t="s">
        <v>137</v>
      </c>
      <c r="B46" s="39">
        <f>(100000)/B45</f>
        <v>7.6923076923076927E-3</v>
      </c>
      <c r="D46" s="1" t="s">
        <v>137</v>
      </c>
      <c r="E46" s="39">
        <f>(10000)/E45</f>
        <v>8.9285714285714281E-3</v>
      </c>
    </row>
    <row r="47" spans="1:6">
      <c r="A47" s="1" t="s">
        <v>138</v>
      </c>
      <c r="B47" s="48">
        <f>B46*1000</f>
        <v>7.6923076923076925</v>
      </c>
      <c r="C47" s="102"/>
      <c r="D47" s="1" t="s">
        <v>138</v>
      </c>
      <c r="E47" s="48">
        <f>E46*1000</f>
        <v>8.9285714285714288</v>
      </c>
    </row>
    <row r="48" spans="1:6">
      <c r="A48" s="1" t="s">
        <v>140</v>
      </c>
      <c r="B48" s="39">
        <f>(B46*B45)/10</f>
        <v>10000</v>
      </c>
      <c r="D48" s="1" t="s">
        <v>140</v>
      </c>
      <c r="E48" s="39">
        <f>(E46*E45)/10</f>
        <v>1000</v>
      </c>
    </row>
    <row r="49" spans="1:6">
      <c r="A49" s="1" t="s">
        <v>141</v>
      </c>
      <c r="B49" s="39">
        <f>(100)/B45</f>
        <v>7.6923076923076919E-6</v>
      </c>
      <c r="D49" s="1" t="s">
        <v>141</v>
      </c>
      <c r="E49" s="39">
        <f>(100)/E45</f>
        <v>8.9285714285714286E-5</v>
      </c>
    </row>
    <row r="50" spans="1:6">
      <c r="A50" s="1" t="s">
        <v>142</v>
      </c>
      <c r="B50" s="39">
        <f>100/EXP((B43*B52*LN(2))+LN(B48))</f>
        <v>1.1533131459272751E-5</v>
      </c>
      <c r="D50" s="1" t="s">
        <v>142</v>
      </c>
      <c r="E50" s="39">
        <f>100/EXP((E43*E52*LN(2))+LN(E48))</f>
        <v>5.8956074763479361E-6</v>
      </c>
    </row>
    <row r="51" spans="1:6">
      <c r="A51" s="1" t="s">
        <v>143</v>
      </c>
      <c r="B51" s="48">
        <f>((LN((10000000)/B48)/LN(2))/B43)</f>
        <v>1.0210844553957057</v>
      </c>
      <c r="D51" s="1" t="s">
        <v>143</v>
      </c>
      <c r="E51" s="48">
        <f>((LN((10000000)/E48)/LN(2))/E43)</f>
        <v>2.3643616333717885</v>
      </c>
    </row>
    <row r="52" spans="1:6">
      <c r="A52" s="1" t="s">
        <v>144</v>
      </c>
      <c r="B52" s="1">
        <v>1</v>
      </c>
      <c r="C52" t="s">
        <v>154</v>
      </c>
      <c r="D52" s="1" t="s">
        <v>144</v>
      </c>
      <c r="E52" s="1">
        <v>2.5</v>
      </c>
      <c r="F52" s="65" t="s">
        <v>153</v>
      </c>
    </row>
    <row r="53" spans="1:6">
      <c r="A53" s="1" t="s">
        <v>147</v>
      </c>
      <c r="B53" s="1"/>
      <c r="D53" s="1" t="s">
        <v>147</v>
      </c>
      <c r="E53" s="1"/>
    </row>
    <row r="54" spans="1:6">
      <c r="A54" s="1" t="s">
        <v>148</v>
      </c>
      <c r="B54" s="1"/>
      <c r="D54" s="1" t="s">
        <v>148</v>
      </c>
      <c r="E54" s="1"/>
    </row>
    <row r="55" spans="1:6">
      <c r="A55" s="1" t="s">
        <v>149</v>
      </c>
      <c r="B55" s="1"/>
      <c r="D55" s="1" t="s">
        <v>149</v>
      </c>
      <c r="E55" s="1"/>
    </row>
    <row r="56" spans="1:6">
      <c r="A56" s="74" t="s">
        <v>150</v>
      </c>
      <c r="B56" s="81">
        <f>100/B45</f>
        <v>7.6923076923076919E-6</v>
      </c>
      <c r="C56" s="7"/>
      <c r="D56" s="74" t="s">
        <v>150</v>
      </c>
      <c r="E56" s="81">
        <f>100/E45</f>
        <v>8.9285714285714286E-5</v>
      </c>
    </row>
    <row r="57" spans="1:6">
      <c r="A57" s="74"/>
      <c r="B57" s="81"/>
      <c r="C57" s="7"/>
      <c r="D57" s="74"/>
      <c r="E57" s="81"/>
    </row>
    <row r="58" spans="1:6">
      <c r="A58" s="1" t="s">
        <v>129</v>
      </c>
      <c r="B58" s="40">
        <v>44</v>
      </c>
      <c r="D58" s="1" t="s">
        <v>129</v>
      </c>
      <c r="E58" s="40" t="s">
        <v>122</v>
      </c>
    </row>
    <row r="59" spans="1:6">
      <c r="A59" s="1" t="s">
        <v>1</v>
      </c>
      <c r="B59" s="41" t="s">
        <v>205</v>
      </c>
      <c r="D59" s="1" t="s">
        <v>1</v>
      </c>
      <c r="E59" s="41" t="s">
        <v>206</v>
      </c>
    </row>
    <row r="60" spans="1:6">
      <c r="A60" s="1" t="s">
        <v>133</v>
      </c>
      <c r="B60" s="43">
        <v>9.9700000000000006</v>
      </c>
      <c r="D60" s="1" t="s">
        <v>133</v>
      </c>
      <c r="E60" s="43">
        <v>11.35</v>
      </c>
    </row>
    <row r="61" spans="1:6">
      <c r="A61" s="1" t="s">
        <v>134</v>
      </c>
      <c r="B61" s="43">
        <v>9.9700000000000006</v>
      </c>
      <c r="D61" s="1" t="s">
        <v>134</v>
      </c>
      <c r="E61" s="43">
        <v>11.35</v>
      </c>
    </row>
    <row r="62" spans="1:6">
      <c r="A62" s="1" t="s">
        <v>135</v>
      </c>
      <c r="B62" s="1">
        <v>1</v>
      </c>
      <c r="D62" s="1" t="s">
        <v>135</v>
      </c>
      <c r="E62" s="1">
        <v>1</v>
      </c>
    </row>
    <row r="63" spans="1:6">
      <c r="A63" s="1" t="s">
        <v>136</v>
      </c>
      <c r="B63" s="46">
        <v>47000000</v>
      </c>
      <c r="D63" s="1" t="s">
        <v>136</v>
      </c>
      <c r="E63" s="46">
        <v>2600000</v>
      </c>
    </row>
    <row r="64" spans="1:6">
      <c r="A64" s="1" t="s">
        <v>137</v>
      </c>
      <c r="B64" s="39">
        <f>(100000)/B63</f>
        <v>2.1276595744680851E-3</v>
      </c>
      <c r="D64" s="1" t="s">
        <v>137</v>
      </c>
      <c r="E64" s="39">
        <f>(100000)/E63</f>
        <v>3.8461538461538464E-2</v>
      </c>
    </row>
    <row r="65" spans="1:6">
      <c r="A65" s="1" t="s">
        <v>138</v>
      </c>
      <c r="B65" s="48">
        <f>B64*1000</f>
        <v>2.1276595744680851</v>
      </c>
      <c r="D65" s="1" t="s">
        <v>138</v>
      </c>
      <c r="E65" s="48">
        <f>E64*1000</f>
        <v>38.461538461538467</v>
      </c>
    </row>
    <row r="66" spans="1:6">
      <c r="A66" s="1" t="s">
        <v>140</v>
      </c>
      <c r="B66" s="39">
        <f>(B64*B63)/10</f>
        <v>10000</v>
      </c>
      <c r="D66" s="1" t="s">
        <v>140</v>
      </c>
      <c r="E66" s="39">
        <f>(E64*E63)/10</f>
        <v>10000</v>
      </c>
    </row>
    <row r="67" spans="1:6">
      <c r="A67" s="1" t="s">
        <v>141</v>
      </c>
      <c r="B67" s="39">
        <f>(100)/B63</f>
        <v>2.1276595744680853E-6</v>
      </c>
      <c r="D67" s="1" t="s">
        <v>141</v>
      </c>
      <c r="E67" s="39">
        <f>(100)/E63</f>
        <v>3.8461538461538463E-5</v>
      </c>
    </row>
    <row r="68" spans="1:6">
      <c r="A68" s="1" t="s">
        <v>142</v>
      </c>
      <c r="B68" s="39">
        <f>100/EXP((B61*B70*LN(2))+LN(B66))</f>
        <v>9.9708215401092919E-6</v>
      </c>
      <c r="D68" s="1" t="s">
        <v>142</v>
      </c>
      <c r="E68" s="39">
        <f>100/EXP((E61*E70*LN(2))+LN(E66))</f>
        <v>3.8309770405114732E-6</v>
      </c>
    </row>
    <row r="69" spans="1:6">
      <c r="A69" s="1" t="s">
        <v>143</v>
      </c>
      <c r="B69" s="48">
        <f>((LN((10000000)/B66)/LN(2))/B61)</f>
        <v>0.99957715994604679</v>
      </c>
      <c r="D69" s="1" t="s">
        <v>143</v>
      </c>
      <c r="E69" s="48">
        <f>((LN((10000000)/E66)/LN(2))/E61)</f>
        <v>0.87804266825216626</v>
      </c>
    </row>
    <row r="70" spans="1:6">
      <c r="A70" s="1" t="s">
        <v>144</v>
      </c>
      <c r="B70" s="1">
        <v>1</v>
      </c>
      <c r="C70" t="s">
        <v>154</v>
      </c>
      <c r="D70" s="1" t="s">
        <v>144</v>
      </c>
      <c r="E70" s="1">
        <v>1</v>
      </c>
      <c r="F70" s="65" t="s">
        <v>154</v>
      </c>
    </row>
    <row r="71" spans="1:6">
      <c r="A71" s="1" t="s">
        <v>147</v>
      </c>
      <c r="B71" s="1"/>
      <c r="D71" s="1" t="s">
        <v>147</v>
      </c>
      <c r="E71" s="1"/>
    </row>
    <row r="72" spans="1:6">
      <c r="A72" s="1" t="s">
        <v>148</v>
      </c>
      <c r="B72" s="1"/>
      <c r="D72" s="1" t="s">
        <v>148</v>
      </c>
      <c r="E72" s="1"/>
    </row>
    <row r="73" spans="1:6">
      <c r="A73" s="42" t="s">
        <v>149</v>
      </c>
      <c r="B73" s="42"/>
      <c r="D73" s="42" t="s">
        <v>149</v>
      </c>
      <c r="E73" s="42"/>
    </row>
    <row r="74" spans="1:6">
      <c r="A74" s="74" t="s">
        <v>150</v>
      </c>
      <c r="B74" s="49">
        <f>100/B63</f>
        <v>2.1276595744680853E-6</v>
      </c>
      <c r="C74" s="62"/>
      <c r="D74" s="49" t="s">
        <v>150</v>
      </c>
      <c r="E74" s="49">
        <f>100/E63</f>
        <v>3.8461538461538463E-5</v>
      </c>
    </row>
    <row r="75" spans="1:6" s="4" customFormat="1">
      <c r="A75" s="7"/>
      <c r="B75" s="13"/>
      <c r="C75" s="7"/>
      <c r="D75" s="7"/>
      <c r="E75" s="13"/>
    </row>
    <row r="76" spans="1:6">
      <c r="A76" s="1" t="s">
        <v>129</v>
      </c>
      <c r="B76" s="40" t="s">
        <v>124</v>
      </c>
      <c r="C76" s="4"/>
      <c r="D76" s="1" t="s">
        <v>129</v>
      </c>
      <c r="E76" s="1" t="s">
        <v>126</v>
      </c>
    </row>
    <row r="77" spans="1:6">
      <c r="A77" s="105" t="s">
        <v>1</v>
      </c>
      <c r="B77" s="106" t="s">
        <v>207</v>
      </c>
      <c r="D77" s="105" t="s">
        <v>1</v>
      </c>
      <c r="E77" s="40" t="s">
        <v>208</v>
      </c>
    </row>
    <row r="78" spans="1:6">
      <c r="A78" s="1" t="s">
        <v>133</v>
      </c>
      <c r="B78" s="43">
        <v>7.72</v>
      </c>
      <c r="D78" s="1" t="s">
        <v>133</v>
      </c>
      <c r="E78" s="43">
        <v>6.41</v>
      </c>
    </row>
    <row r="79" spans="1:6">
      <c r="A79" s="1" t="s">
        <v>134</v>
      </c>
      <c r="B79" s="43">
        <v>7.72</v>
      </c>
      <c r="D79" s="1" t="s">
        <v>134</v>
      </c>
      <c r="E79" s="43">
        <v>6.41</v>
      </c>
    </row>
    <row r="80" spans="1:6">
      <c r="A80" s="1" t="s">
        <v>135</v>
      </c>
      <c r="B80" s="1">
        <v>1</v>
      </c>
      <c r="D80" s="1" t="s">
        <v>135</v>
      </c>
      <c r="E80" s="1">
        <v>1</v>
      </c>
    </row>
    <row r="81" spans="1:12">
      <c r="A81" s="1" t="s">
        <v>136</v>
      </c>
      <c r="B81" s="46">
        <v>1620000</v>
      </c>
      <c r="D81" s="1" t="s">
        <v>136</v>
      </c>
      <c r="E81" s="46">
        <v>3200000</v>
      </c>
    </row>
    <row r="82" spans="1:12">
      <c r="A82" s="1" t="s">
        <v>137</v>
      </c>
      <c r="B82" s="39">
        <f>(100000)/B81</f>
        <v>6.1728395061728392E-2</v>
      </c>
      <c r="D82" s="1" t="s">
        <v>137</v>
      </c>
      <c r="E82" s="39">
        <f>(100000)/E81</f>
        <v>3.125E-2</v>
      </c>
    </row>
    <row r="83" spans="1:12">
      <c r="A83" s="1" t="s">
        <v>138</v>
      </c>
      <c r="B83" s="48">
        <f>B82*1000</f>
        <v>61.728395061728392</v>
      </c>
      <c r="D83" s="1" t="s">
        <v>138</v>
      </c>
      <c r="E83" s="48">
        <f>E82*1000</f>
        <v>31.25</v>
      </c>
    </row>
    <row r="84" spans="1:12">
      <c r="A84" s="1" t="s">
        <v>140</v>
      </c>
      <c r="B84" s="39">
        <f>(B82*B81)/10</f>
        <v>10000</v>
      </c>
      <c r="D84" s="1" t="s">
        <v>140</v>
      </c>
      <c r="E84" s="39">
        <f>(E82*E81)/10</f>
        <v>10000</v>
      </c>
    </row>
    <row r="85" spans="1:12">
      <c r="A85" s="1" t="s">
        <v>141</v>
      </c>
      <c r="B85" s="39">
        <f>(100)/B81</f>
        <v>6.1728395061728397E-5</v>
      </c>
      <c r="D85" s="1" t="s">
        <v>141</v>
      </c>
      <c r="E85" s="39">
        <f>(100)/E81</f>
        <v>3.1250000000000001E-5</v>
      </c>
    </row>
    <row r="86" spans="1:12">
      <c r="A86" s="1" t="s">
        <v>142</v>
      </c>
      <c r="B86" s="39">
        <f>100/EXP((B79*B88*LN(2))+LN(B84))</f>
        <v>3.2664246943020327E-6</v>
      </c>
      <c r="D86" s="1" t="s">
        <v>142</v>
      </c>
      <c r="E86" s="39">
        <f>100/EXP((E79*E88*LN(2))+LN(E84))</f>
        <v>4.1994848963635241E-6</v>
      </c>
    </row>
    <row r="87" spans="1:12">
      <c r="A87" s="1" t="s">
        <v>143</v>
      </c>
      <c r="B87" s="48">
        <f>((LN((10000000)/B84)/LN(2))/B79)</f>
        <v>1.2909047000857625</v>
      </c>
      <c r="D87" s="1" t="s">
        <v>143</v>
      </c>
      <c r="E87" s="48">
        <f>((LN((10000000)/E84)/LN(2))/E79)</f>
        <v>1.554724537388781</v>
      </c>
    </row>
    <row r="88" spans="1:12">
      <c r="A88" s="1" t="s">
        <v>144</v>
      </c>
      <c r="B88" s="1">
        <v>1.5</v>
      </c>
      <c r="C88" t="s">
        <v>178</v>
      </c>
      <c r="D88" s="1" t="s">
        <v>144</v>
      </c>
      <c r="E88" s="1">
        <v>1.75</v>
      </c>
      <c r="F88" s="65" t="s">
        <v>209</v>
      </c>
    </row>
    <row r="89" spans="1:12">
      <c r="A89" s="1" t="s">
        <v>147</v>
      </c>
      <c r="B89" s="1"/>
      <c r="D89" s="1" t="s">
        <v>147</v>
      </c>
      <c r="E89" s="1"/>
    </row>
    <row r="90" spans="1:12">
      <c r="A90" s="1" t="s">
        <v>148</v>
      </c>
      <c r="B90" s="1"/>
      <c r="D90" s="1" t="s">
        <v>148</v>
      </c>
      <c r="E90" s="1"/>
    </row>
    <row r="91" spans="1:12">
      <c r="A91" s="1" t="s">
        <v>149</v>
      </c>
      <c r="B91" s="1"/>
      <c r="D91" s="1" t="s">
        <v>149</v>
      </c>
      <c r="E91" s="1"/>
    </row>
    <row r="92" spans="1:12">
      <c r="A92" s="74" t="s">
        <v>150</v>
      </c>
      <c r="B92" s="49">
        <f>100/B81</f>
        <v>6.1728395061728397E-5</v>
      </c>
      <c r="C92" s="62"/>
      <c r="D92" s="49" t="s">
        <v>150</v>
      </c>
      <c r="E92" s="49">
        <f>100/E81</f>
        <v>3.1250000000000001E-5</v>
      </c>
    </row>
    <row r="93" spans="1:12">
      <c r="A93" s="7"/>
      <c r="C93" s="7"/>
      <c r="D93" s="7"/>
      <c r="L93" t="s">
        <v>85</v>
      </c>
    </row>
    <row r="94" spans="1:12">
      <c r="A94" s="7"/>
      <c r="B94" s="1" t="s">
        <v>155</v>
      </c>
    </row>
    <row r="95" spans="1:12">
      <c r="A95" s="7"/>
      <c r="B95" s="44">
        <v>9.9999999999999995E-7</v>
      </c>
    </row>
    <row r="96" spans="1:12">
      <c r="A96" s="7"/>
      <c r="B96" s="44">
        <v>5.0000000000000004E-6</v>
      </c>
    </row>
    <row r="97" spans="1:2">
      <c r="A97" s="7"/>
      <c r="B97" s="45">
        <v>1.0000000000000001E-5</v>
      </c>
    </row>
    <row r="98" spans="1:2">
      <c r="B98" s="47">
        <v>5.0000000000000002E-5</v>
      </c>
    </row>
  </sheetData>
  <pageMargins left="0.7" right="0.7" top="0.75" bottom="0.75" header="0.3" footer="0.3"/>
  <pageSetup scale="44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A305D-06F0-43F8-9A21-23659A537C65}">
  <sheetPr>
    <pageSetUpPr fitToPage="1"/>
  </sheetPr>
  <dimension ref="A1:F98"/>
  <sheetViews>
    <sheetView topLeftCell="A94" workbookViewId="0">
      <selection sqref="A1:F98"/>
    </sheetView>
  </sheetViews>
  <sheetFormatPr defaultRowHeight="14.45"/>
  <cols>
    <col min="1" max="1" width="44.28515625" bestFit="1" customWidth="1"/>
    <col min="2" max="2" width="19.42578125" bestFit="1" customWidth="1"/>
    <col min="3" max="3" width="13.7109375" customWidth="1"/>
    <col min="4" max="4" width="44.28515625" bestFit="1" customWidth="1"/>
    <col min="5" max="5" width="19.42578125" bestFit="1" customWidth="1"/>
  </cols>
  <sheetData>
    <row r="1" spans="1:6">
      <c r="A1" t="s">
        <v>210</v>
      </c>
    </row>
    <row r="2" spans="1:6">
      <c r="A2" t="s">
        <v>211</v>
      </c>
    </row>
    <row r="4" spans="1:6">
      <c r="A4" s="1" t="s">
        <v>129</v>
      </c>
      <c r="B4" s="40">
        <v>42</v>
      </c>
      <c r="D4" s="1" t="s">
        <v>129</v>
      </c>
      <c r="E4" s="40">
        <v>55</v>
      </c>
    </row>
    <row r="5" spans="1:6">
      <c r="A5" s="1" t="s">
        <v>1</v>
      </c>
      <c r="B5" s="41" t="s">
        <v>193</v>
      </c>
      <c r="D5" s="1" t="s">
        <v>1</v>
      </c>
      <c r="E5" s="41" t="s">
        <v>194</v>
      </c>
    </row>
    <row r="6" spans="1:6">
      <c r="A6" s="1" t="s">
        <v>133</v>
      </c>
      <c r="B6" s="43">
        <v>16.989999999999998</v>
      </c>
      <c r="D6" s="1" t="s">
        <v>133</v>
      </c>
      <c r="E6" s="43">
        <v>12.07</v>
      </c>
    </row>
    <row r="7" spans="1:6">
      <c r="A7" s="1" t="s">
        <v>134</v>
      </c>
      <c r="B7" s="43">
        <v>15.57</v>
      </c>
      <c r="D7" s="1" t="s">
        <v>134</v>
      </c>
      <c r="E7" s="43">
        <v>11.91</v>
      </c>
    </row>
    <row r="8" spans="1:6">
      <c r="A8" s="1" t="s">
        <v>135</v>
      </c>
      <c r="B8" s="1">
        <v>3</v>
      </c>
      <c r="D8" s="1" t="s">
        <v>135</v>
      </c>
      <c r="E8" s="1">
        <v>3</v>
      </c>
    </row>
    <row r="9" spans="1:6">
      <c r="A9" s="1" t="s">
        <v>136</v>
      </c>
      <c r="B9" s="46">
        <v>30600000</v>
      </c>
      <c r="D9" s="1" t="s">
        <v>136</v>
      </c>
      <c r="E9" s="46">
        <v>4600000</v>
      </c>
    </row>
    <row r="10" spans="1:6">
      <c r="A10" s="1" t="s">
        <v>137</v>
      </c>
      <c r="B10" s="39">
        <f>(100000)/B9</f>
        <v>3.2679738562091504E-3</v>
      </c>
      <c r="D10" s="1" t="s">
        <v>137</v>
      </c>
      <c r="E10" s="39">
        <f>(100000)/E9</f>
        <v>2.1739130434782608E-2</v>
      </c>
    </row>
    <row r="11" spans="1:6">
      <c r="A11" s="1" t="s">
        <v>138</v>
      </c>
      <c r="B11" s="48">
        <f>B10*1000</f>
        <v>3.2679738562091503</v>
      </c>
      <c r="D11" s="1" t="s">
        <v>138</v>
      </c>
      <c r="E11" s="48">
        <f>E10*1000</f>
        <v>21.739130434782609</v>
      </c>
    </row>
    <row r="12" spans="1:6">
      <c r="A12" s="1" t="s">
        <v>140</v>
      </c>
      <c r="B12" s="39">
        <f>(B10*B9)/10</f>
        <v>10000</v>
      </c>
      <c r="D12" s="1" t="s">
        <v>140</v>
      </c>
      <c r="E12" s="39">
        <f>(E10*E9)/10</f>
        <v>10000</v>
      </c>
    </row>
    <row r="13" spans="1:6">
      <c r="A13" s="1" t="s">
        <v>141</v>
      </c>
      <c r="B13" s="39">
        <f>(100)/B9</f>
        <v>3.2679738562091501E-6</v>
      </c>
      <c r="D13" s="1" t="s">
        <v>141</v>
      </c>
      <c r="E13" s="39">
        <f>(100)/E9</f>
        <v>2.173913043478261E-5</v>
      </c>
    </row>
    <row r="14" spans="1:6">
      <c r="A14" s="1" t="s">
        <v>142</v>
      </c>
      <c r="B14" s="39">
        <f>100/EXP((B7*B16*LN(2))+LN(B12))</f>
        <v>3.0529678131071487E-6</v>
      </c>
      <c r="D14" s="1" t="s">
        <v>142</v>
      </c>
      <c r="E14" s="39">
        <f>100/EXP((E7*E16*LN(2))+LN(E12))</f>
        <v>2.5985600157552674E-6</v>
      </c>
    </row>
    <row r="15" spans="1:6">
      <c r="A15" s="1" t="s">
        <v>143</v>
      </c>
      <c r="B15" s="48">
        <f>((LN((10000000)/B12)/LN(2))/B7)</f>
        <v>0.64006321674130295</v>
      </c>
      <c r="D15" s="1" t="s">
        <v>143</v>
      </c>
      <c r="E15" s="48">
        <f>((LN((10000000)/E12)/LN(2))/E7)</f>
        <v>0.83675770652074621</v>
      </c>
    </row>
    <row r="16" spans="1:6">
      <c r="A16" s="1" t="s">
        <v>144</v>
      </c>
      <c r="B16" s="1">
        <v>0.75</v>
      </c>
      <c r="C16" t="s">
        <v>146</v>
      </c>
      <c r="D16" s="1" t="s">
        <v>144</v>
      </c>
      <c r="E16" s="1">
        <v>1</v>
      </c>
      <c r="F16" s="65" t="s">
        <v>154</v>
      </c>
    </row>
    <row r="17" spans="1:6">
      <c r="A17" s="1" t="s">
        <v>147</v>
      </c>
      <c r="B17" s="1"/>
      <c r="D17" s="1" t="s">
        <v>147</v>
      </c>
      <c r="E17" s="1"/>
    </row>
    <row r="18" spans="1:6">
      <c r="A18" s="1" t="s">
        <v>148</v>
      </c>
      <c r="B18" s="1"/>
      <c r="D18" s="1" t="s">
        <v>148</v>
      </c>
      <c r="E18" s="1"/>
    </row>
    <row r="19" spans="1:6">
      <c r="A19" s="1" t="s">
        <v>149</v>
      </c>
      <c r="B19" s="1"/>
      <c r="D19" s="1" t="s">
        <v>149</v>
      </c>
      <c r="E19" s="1"/>
    </row>
    <row r="20" spans="1:6">
      <c r="A20" s="74" t="s">
        <v>150</v>
      </c>
      <c r="B20" s="49">
        <f>100/B9</f>
        <v>3.2679738562091501E-6</v>
      </c>
      <c r="C20" s="62"/>
      <c r="D20" s="49" t="s">
        <v>150</v>
      </c>
      <c r="E20" s="49">
        <f>100/E9</f>
        <v>2.173913043478261E-5</v>
      </c>
    </row>
    <row r="22" spans="1:6">
      <c r="A22" s="1" t="s">
        <v>129</v>
      </c>
      <c r="B22" s="40" t="s">
        <v>113</v>
      </c>
      <c r="D22" s="1" t="s">
        <v>129</v>
      </c>
      <c r="E22" s="40">
        <v>215</v>
      </c>
    </row>
    <row r="23" spans="1:6">
      <c r="A23" s="1" t="s">
        <v>1</v>
      </c>
      <c r="B23" s="41" t="s">
        <v>196</v>
      </c>
      <c r="D23" s="1" t="s">
        <v>1</v>
      </c>
      <c r="E23" s="41" t="s">
        <v>197</v>
      </c>
    </row>
    <row r="24" spans="1:6">
      <c r="A24" s="1" t="s">
        <v>133</v>
      </c>
      <c r="B24" s="43">
        <v>16.7</v>
      </c>
      <c r="D24" s="1" t="s">
        <v>133</v>
      </c>
      <c r="E24" s="43">
        <v>3.77</v>
      </c>
    </row>
    <row r="25" spans="1:6">
      <c r="A25" s="1" t="s">
        <v>134</v>
      </c>
      <c r="B25" s="98">
        <v>13.09</v>
      </c>
      <c r="D25" s="1" t="s">
        <v>134</v>
      </c>
      <c r="E25" s="43">
        <v>9.2200000000000006</v>
      </c>
    </row>
    <row r="26" spans="1:6">
      <c r="A26" s="1" t="s">
        <v>135</v>
      </c>
      <c r="B26" s="1">
        <v>3</v>
      </c>
      <c r="D26" s="1" t="s">
        <v>135</v>
      </c>
      <c r="E26" s="1">
        <v>3</v>
      </c>
    </row>
    <row r="27" spans="1:6">
      <c r="A27" s="1" t="s">
        <v>136</v>
      </c>
      <c r="B27" s="46">
        <v>30600000</v>
      </c>
      <c r="D27" s="1" t="s">
        <v>136</v>
      </c>
      <c r="E27" s="46">
        <v>2480000000</v>
      </c>
    </row>
    <row r="28" spans="1:6">
      <c r="A28" s="1" t="s">
        <v>137</v>
      </c>
      <c r="B28" s="39">
        <f>(100000)/B27</f>
        <v>3.2679738562091504E-3</v>
      </c>
      <c r="D28" s="1" t="s">
        <v>137</v>
      </c>
      <c r="E28" s="39">
        <f>(100000)/E27</f>
        <v>4.032258064516129E-5</v>
      </c>
    </row>
    <row r="29" spans="1:6">
      <c r="A29" s="1" t="s">
        <v>138</v>
      </c>
      <c r="B29" s="48">
        <f>B28*1000</f>
        <v>3.2679738562091503</v>
      </c>
      <c r="D29" s="1" t="s">
        <v>138</v>
      </c>
      <c r="E29" s="99">
        <f>E28*1000</f>
        <v>4.0322580645161289E-2</v>
      </c>
      <c r="F29" t="s">
        <v>212</v>
      </c>
    </row>
    <row r="30" spans="1:6">
      <c r="A30" s="1" t="s">
        <v>140</v>
      </c>
      <c r="B30" s="39">
        <f>(B28*B27)/10</f>
        <v>10000</v>
      </c>
      <c r="D30" s="1" t="s">
        <v>140</v>
      </c>
      <c r="E30" s="39">
        <f>(E28*E27)/10</f>
        <v>10000</v>
      </c>
    </row>
    <row r="31" spans="1:6">
      <c r="A31" s="1" t="s">
        <v>141</v>
      </c>
      <c r="B31" s="39">
        <f>(100)/B27</f>
        <v>3.2679738562091501E-6</v>
      </c>
      <c r="D31" s="1" t="s">
        <v>141</v>
      </c>
      <c r="E31" s="39">
        <f>(100)/E27</f>
        <v>4.0322580645161287E-8</v>
      </c>
    </row>
    <row r="32" spans="1:6">
      <c r="A32" s="1" t="s">
        <v>142</v>
      </c>
      <c r="B32" s="39">
        <f>100/EXP((B25*B34*LN(2))+LN(B30))</f>
        <v>1.1082507083845938E-5</v>
      </c>
      <c r="D32" s="1" t="s">
        <v>142</v>
      </c>
      <c r="E32" s="39">
        <f>100/EXP((E25*E34*LN(2))+LN(E30))</f>
        <v>6.8668120403369458E-7</v>
      </c>
    </row>
    <row r="33" spans="1:6">
      <c r="A33" s="1" t="s">
        <v>143</v>
      </c>
      <c r="B33" s="48">
        <f>((LN((10000000)/B30)/LN(2))/B25)</f>
        <v>0.7613280584157438</v>
      </c>
      <c r="D33" s="1" t="s">
        <v>143</v>
      </c>
      <c r="E33" s="48">
        <f>((LN((10000000)/E30)/LN(2))/E25)</f>
        <v>1.0808876664492502</v>
      </c>
    </row>
    <row r="34" spans="1:6">
      <c r="A34" s="1" t="s">
        <v>144</v>
      </c>
      <c r="B34" s="1">
        <v>0.75</v>
      </c>
      <c r="C34" t="s">
        <v>146</v>
      </c>
      <c r="D34" s="1" t="s">
        <v>144</v>
      </c>
      <c r="E34" s="1">
        <v>1.5</v>
      </c>
      <c r="F34" s="65" t="s">
        <v>178</v>
      </c>
    </row>
    <row r="35" spans="1:6">
      <c r="A35" s="1" t="s">
        <v>147</v>
      </c>
      <c r="B35" s="1"/>
      <c r="D35" s="1" t="s">
        <v>147</v>
      </c>
      <c r="E35" s="1"/>
    </row>
    <row r="36" spans="1:6">
      <c r="A36" s="1" t="s">
        <v>148</v>
      </c>
      <c r="B36" s="1"/>
      <c r="D36" s="1" t="s">
        <v>148</v>
      </c>
      <c r="E36" s="1"/>
    </row>
    <row r="37" spans="1:6">
      <c r="A37" s="1" t="s">
        <v>149</v>
      </c>
      <c r="B37" s="1"/>
      <c r="D37" s="1" t="s">
        <v>149</v>
      </c>
      <c r="E37" s="1"/>
    </row>
    <row r="38" spans="1:6">
      <c r="A38" s="50" t="s">
        <v>150</v>
      </c>
      <c r="B38" s="6">
        <f>100/B27</f>
        <v>3.2679738562091501E-6</v>
      </c>
      <c r="C38" s="62"/>
      <c r="D38" s="74" t="s">
        <v>150</v>
      </c>
      <c r="E38" s="49">
        <f>100/E27</f>
        <v>4.0322580645161287E-8</v>
      </c>
    </row>
    <row r="39" spans="1:6">
      <c r="A39" s="50"/>
      <c r="B39" s="6"/>
      <c r="C39" s="62"/>
      <c r="D39" s="4"/>
      <c r="E39" s="6"/>
    </row>
    <row r="40" spans="1:6">
      <c r="A40" s="1" t="s">
        <v>129</v>
      </c>
      <c r="B40" s="40">
        <v>218</v>
      </c>
      <c r="D40" s="1" t="s">
        <v>129</v>
      </c>
      <c r="E40" s="40">
        <v>235</v>
      </c>
    </row>
    <row r="41" spans="1:6">
      <c r="A41" s="1" t="s">
        <v>1</v>
      </c>
      <c r="B41" s="41" t="s">
        <v>199</v>
      </c>
      <c r="D41" s="1" t="s">
        <v>1</v>
      </c>
      <c r="E41" s="41" t="s">
        <v>200</v>
      </c>
    </row>
    <row r="42" spans="1:6">
      <c r="A42" s="1" t="s">
        <v>133</v>
      </c>
      <c r="B42" s="43">
        <v>7.95</v>
      </c>
      <c r="D42" s="1" t="s">
        <v>133</v>
      </c>
      <c r="E42" s="43">
        <v>5.5</v>
      </c>
    </row>
    <row r="43" spans="1:6">
      <c r="A43" s="1" t="s">
        <v>134</v>
      </c>
      <c r="B43" s="98">
        <v>9.2799999999999994</v>
      </c>
      <c r="D43" s="1" t="s">
        <v>134</v>
      </c>
      <c r="E43" s="98">
        <v>5.33</v>
      </c>
    </row>
    <row r="44" spans="1:6">
      <c r="A44" s="1" t="s">
        <v>135</v>
      </c>
      <c r="B44" s="1">
        <v>3</v>
      </c>
      <c r="D44" s="1" t="s">
        <v>135</v>
      </c>
      <c r="E44" s="1">
        <v>3</v>
      </c>
    </row>
    <row r="45" spans="1:6">
      <c r="A45" s="1" t="s">
        <v>136</v>
      </c>
      <c r="B45" s="46">
        <v>5200000</v>
      </c>
      <c r="D45" s="1" t="s">
        <v>136</v>
      </c>
      <c r="E45" s="46">
        <v>6200000</v>
      </c>
    </row>
    <row r="46" spans="1:6">
      <c r="A46" s="1" t="s">
        <v>137</v>
      </c>
      <c r="B46" s="39">
        <f>(100000)/B45</f>
        <v>1.9230769230769232E-2</v>
      </c>
      <c r="D46" s="1" t="s">
        <v>137</v>
      </c>
      <c r="E46" s="39">
        <f>(10000)/E45</f>
        <v>1.6129032258064516E-3</v>
      </c>
    </row>
    <row r="47" spans="1:6">
      <c r="A47" s="1" t="s">
        <v>138</v>
      </c>
      <c r="B47" s="48">
        <f>B46*1000</f>
        <v>19.230769230769234</v>
      </c>
      <c r="C47" s="102"/>
      <c r="D47" s="1" t="s">
        <v>138</v>
      </c>
      <c r="E47" s="48">
        <f>E46*1000</f>
        <v>1.6129032258064515</v>
      </c>
      <c r="F47" t="s">
        <v>213</v>
      </c>
    </row>
    <row r="48" spans="1:6">
      <c r="A48" s="1" t="s">
        <v>140</v>
      </c>
      <c r="B48" s="39">
        <f>(B46*B45)/10</f>
        <v>10000</v>
      </c>
      <c r="D48" s="1" t="s">
        <v>140</v>
      </c>
      <c r="E48" s="39">
        <f>(E46*E45)/10</f>
        <v>1000</v>
      </c>
    </row>
    <row r="49" spans="1:6">
      <c r="A49" s="1" t="s">
        <v>141</v>
      </c>
      <c r="B49" s="39">
        <f>(100)/B45</f>
        <v>1.9230769230769231E-5</v>
      </c>
      <c r="D49" s="1" t="s">
        <v>141</v>
      </c>
      <c r="E49" s="39">
        <f>(100)/E45</f>
        <v>1.6129032258064517E-5</v>
      </c>
    </row>
    <row r="50" spans="1:6">
      <c r="A50" s="1" t="s">
        <v>142</v>
      </c>
      <c r="B50" s="39">
        <f>100/EXP((B43*B52*LN(2))+LN(B48))</f>
        <v>1.6085762056007283E-5</v>
      </c>
      <c r="D50" s="1" t="s">
        <v>142</v>
      </c>
      <c r="E50" s="39">
        <f>100/EXP((E43*E52*LN(2))+LN(E48))</f>
        <v>9.7448533490802231E-6</v>
      </c>
    </row>
    <row r="51" spans="1:6">
      <c r="A51" s="1" t="s">
        <v>143</v>
      </c>
      <c r="B51" s="48">
        <f>((LN((10000000)/B48)/LN(2))/B43)</f>
        <v>1.0738991686058283</v>
      </c>
      <c r="D51" s="1" t="s">
        <v>143</v>
      </c>
      <c r="E51" s="48">
        <f>((LN((10000000)/E48)/LN(2))/E43)</f>
        <v>2.4930041987897655</v>
      </c>
    </row>
    <row r="52" spans="1:6">
      <c r="A52" s="1" t="s">
        <v>144</v>
      </c>
      <c r="B52" s="1">
        <v>1</v>
      </c>
      <c r="C52" t="s">
        <v>154</v>
      </c>
      <c r="D52" s="1" t="s">
        <v>144</v>
      </c>
      <c r="E52" s="1">
        <v>2.5</v>
      </c>
      <c r="F52" s="65" t="s">
        <v>153</v>
      </c>
    </row>
    <row r="53" spans="1:6">
      <c r="A53" s="1" t="s">
        <v>147</v>
      </c>
      <c r="B53" s="1"/>
      <c r="D53" s="1" t="s">
        <v>147</v>
      </c>
      <c r="E53" s="1"/>
    </row>
    <row r="54" spans="1:6">
      <c r="A54" s="1" t="s">
        <v>148</v>
      </c>
      <c r="B54" s="1"/>
      <c r="D54" s="1" t="s">
        <v>148</v>
      </c>
      <c r="E54" s="1"/>
    </row>
    <row r="55" spans="1:6">
      <c r="A55" s="1" t="s">
        <v>149</v>
      </c>
      <c r="B55" s="1"/>
      <c r="D55" s="1" t="s">
        <v>149</v>
      </c>
      <c r="E55" s="1"/>
    </row>
    <row r="56" spans="1:6">
      <c r="A56" s="74" t="s">
        <v>150</v>
      </c>
      <c r="B56" s="81">
        <f>100/B45</f>
        <v>1.9230769230769231E-5</v>
      </c>
      <c r="C56" s="7"/>
      <c r="D56" s="74" t="s">
        <v>150</v>
      </c>
      <c r="E56" s="81">
        <f>100/E45</f>
        <v>1.6129032258064517E-5</v>
      </c>
    </row>
    <row r="57" spans="1:6">
      <c r="A57" s="74"/>
      <c r="B57" s="81"/>
      <c r="C57" s="7"/>
      <c r="D57" s="74"/>
      <c r="E57" s="81"/>
    </row>
    <row r="58" spans="1:6">
      <c r="A58" s="1" t="s">
        <v>129</v>
      </c>
      <c r="B58" s="40">
        <v>44</v>
      </c>
      <c r="D58" s="1" t="s">
        <v>129</v>
      </c>
      <c r="E58" s="40" t="s">
        <v>122</v>
      </c>
    </row>
    <row r="59" spans="1:6">
      <c r="A59" s="1" t="s">
        <v>1</v>
      </c>
      <c r="B59" s="41" t="s">
        <v>205</v>
      </c>
      <c r="D59" s="1" t="s">
        <v>1</v>
      </c>
      <c r="E59" s="41" t="s">
        <v>206</v>
      </c>
    </row>
    <row r="60" spans="1:6">
      <c r="A60" s="1" t="s">
        <v>133</v>
      </c>
      <c r="B60" s="43">
        <v>9.9700000000000006</v>
      </c>
      <c r="D60" s="1" t="s">
        <v>133</v>
      </c>
      <c r="E60" s="43">
        <v>11.35</v>
      </c>
    </row>
    <row r="61" spans="1:6">
      <c r="A61" s="1" t="s">
        <v>134</v>
      </c>
      <c r="B61" s="43">
        <v>9.81</v>
      </c>
      <c r="D61" s="1" t="s">
        <v>134</v>
      </c>
      <c r="E61" s="43">
        <v>11.37</v>
      </c>
    </row>
    <row r="62" spans="1:6">
      <c r="A62" s="1" t="s">
        <v>135</v>
      </c>
      <c r="B62" s="1">
        <v>2</v>
      </c>
      <c r="D62" s="1" t="s">
        <v>135</v>
      </c>
      <c r="E62" s="1">
        <v>2</v>
      </c>
    </row>
    <row r="63" spans="1:6">
      <c r="A63" s="1" t="s">
        <v>136</v>
      </c>
      <c r="B63" s="46">
        <v>13400000</v>
      </c>
      <c r="D63" s="1" t="s">
        <v>136</v>
      </c>
      <c r="E63" s="46">
        <v>43400000</v>
      </c>
    </row>
    <row r="64" spans="1:6">
      <c r="A64" s="1" t="s">
        <v>137</v>
      </c>
      <c r="B64" s="39">
        <f>(100000)/B63</f>
        <v>7.462686567164179E-3</v>
      </c>
      <c r="D64" s="1" t="s">
        <v>137</v>
      </c>
      <c r="E64" s="39">
        <f>(100000)/E63</f>
        <v>2.304147465437788E-3</v>
      </c>
    </row>
    <row r="65" spans="1:6">
      <c r="A65" s="1" t="s">
        <v>138</v>
      </c>
      <c r="B65" s="48">
        <f>B64*1000</f>
        <v>7.4626865671641793</v>
      </c>
      <c r="D65" s="1" t="s">
        <v>138</v>
      </c>
      <c r="E65" s="48">
        <f>E64*1000</f>
        <v>2.3041474654377878</v>
      </c>
    </row>
    <row r="66" spans="1:6">
      <c r="A66" s="1" t="s">
        <v>140</v>
      </c>
      <c r="B66" s="39">
        <f>(B64*B63)/10</f>
        <v>10000</v>
      </c>
      <c r="D66" s="1" t="s">
        <v>140</v>
      </c>
      <c r="E66" s="39">
        <f>(E64*E63)/10</f>
        <v>10000</v>
      </c>
    </row>
    <row r="67" spans="1:6">
      <c r="A67" s="1" t="s">
        <v>141</v>
      </c>
      <c r="B67" s="39">
        <f>(100)/B63</f>
        <v>7.4626865671641793E-6</v>
      </c>
      <c r="D67" s="1" t="s">
        <v>141</v>
      </c>
      <c r="E67" s="39">
        <f>(100)/E63</f>
        <v>2.3041474654377879E-6</v>
      </c>
    </row>
    <row r="68" spans="1:6">
      <c r="A68" s="1" t="s">
        <v>142</v>
      </c>
      <c r="B68" s="39">
        <f>100/EXP((B61*B70*LN(2))+LN(B66))</f>
        <v>1.1140270662777562E-5</v>
      </c>
      <c r="D68" s="1" t="s">
        <v>142</v>
      </c>
      <c r="E68" s="39">
        <f>100/EXP((E61*E70*LN(2))+LN(E66))</f>
        <v>3.7782348475155995E-6</v>
      </c>
    </row>
    <row r="69" spans="1:6">
      <c r="A69" s="1" t="s">
        <v>143</v>
      </c>
      <c r="B69" s="48">
        <f>((LN((10000000)/B66)/LN(2))/B61)</f>
        <v>1.0158801513417011</v>
      </c>
      <c r="D69" s="1" t="s">
        <v>143</v>
      </c>
      <c r="E69" s="48">
        <f>((LN((10000000)/E66)/LN(2))/E61)</f>
        <v>0.8764981780705442</v>
      </c>
    </row>
    <row r="70" spans="1:6">
      <c r="A70" s="1" t="s">
        <v>144</v>
      </c>
      <c r="B70" s="1">
        <v>1</v>
      </c>
      <c r="C70" t="s">
        <v>154</v>
      </c>
      <c r="D70" s="1" t="s">
        <v>144</v>
      </c>
      <c r="E70" s="1">
        <v>1</v>
      </c>
      <c r="F70" s="65" t="s">
        <v>154</v>
      </c>
    </row>
    <row r="71" spans="1:6">
      <c r="A71" s="1" t="s">
        <v>147</v>
      </c>
      <c r="B71" s="1"/>
      <c r="D71" s="1" t="s">
        <v>147</v>
      </c>
      <c r="E71" s="1"/>
    </row>
    <row r="72" spans="1:6">
      <c r="A72" s="1" t="s">
        <v>148</v>
      </c>
      <c r="B72" s="1"/>
      <c r="D72" s="1" t="s">
        <v>148</v>
      </c>
      <c r="E72" s="1"/>
    </row>
    <row r="73" spans="1:6">
      <c r="A73" s="42" t="s">
        <v>149</v>
      </c>
      <c r="B73" s="42"/>
      <c r="D73" s="42" t="s">
        <v>149</v>
      </c>
      <c r="E73" s="42"/>
    </row>
    <row r="74" spans="1:6">
      <c r="A74" s="74" t="s">
        <v>150</v>
      </c>
      <c r="B74" s="49">
        <f>100/B63</f>
        <v>7.4626865671641793E-6</v>
      </c>
      <c r="C74" s="62"/>
      <c r="D74" s="49" t="s">
        <v>150</v>
      </c>
      <c r="E74" s="49">
        <f>100/E63</f>
        <v>2.3041474654377879E-6</v>
      </c>
    </row>
    <row r="75" spans="1:6">
      <c r="A75" s="7"/>
      <c r="B75" s="13"/>
      <c r="C75" s="7"/>
      <c r="D75" s="7"/>
      <c r="E75" s="13"/>
      <c r="F75" s="4"/>
    </row>
    <row r="76" spans="1:6">
      <c r="A76" s="1" t="s">
        <v>129</v>
      </c>
      <c r="B76" s="40" t="s">
        <v>124</v>
      </c>
      <c r="C76" s="4"/>
      <c r="D76" s="1" t="s">
        <v>129</v>
      </c>
      <c r="E76" s="1" t="s">
        <v>126</v>
      </c>
    </row>
    <row r="77" spans="1:6">
      <c r="A77" s="105" t="s">
        <v>1</v>
      </c>
      <c r="B77" s="106" t="s">
        <v>207</v>
      </c>
      <c r="D77" s="105" t="s">
        <v>1</v>
      </c>
      <c r="E77" s="40" t="s">
        <v>208</v>
      </c>
    </row>
    <row r="78" spans="1:6">
      <c r="A78" s="1" t="s">
        <v>133</v>
      </c>
      <c r="B78" s="43">
        <v>7.72</v>
      </c>
      <c r="D78" s="1" t="s">
        <v>133</v>
      </c>
      <c r="E78" s="43">
        <v>6.41</v>
      </c>
    </row>
    <row r="79" spans="1:6">
      <c r="A79" s="1" t="s">
        <v>134</v>
      </c>
      <c r="B79" s="43">
        <v>9.2799999999999994</v>
      </c>
      <c r="D79" s="1" t="s">
        <v>134</v>
      </c>
      <c r="E79" s="43">
        <v>7.76</v>
      </c>
    </row>
    <row r="80" spans="1:6">
      <c r="A80" s="1" t="s">
        <v>135</v>
      </c>
      <c r="B80" s="1">
        <v>2</v>
      </c>
      <c r="D80" s="1" t="s">
        <v>135</v>
      </c>
      <c r="E80" s="1">
        <v>2</v>
      </c>
    </row>
    <row r="81" spans="1:6">
      <c r="A81" s="1" t="s">
        <v>136</v>
      </c>
      <c r="B81" s="46">
        <v>223000000</v>
      </c>
      <c r="D81" s="1" t="s">
        <v>136</v>
      </c>
      <c r="E81" s="46">
        <v>179000000</v>
      </c>
    </row>
    <row r="82" spans="1:6">
      <c r="A82" s="1" t="s">
        <v>137</v>
      </c>
      <c r="B82" s="39">
        <f>(100000)/B81</f>
        <v>4.4843049327354261E-4</v>
      </c>
      <c r="D82" s="1" t="s">
        <v>137</v>
      </c>
      <c r="E82" s="39">
        <f>(100000)/E81</f>
        <v>5.5865921787709492E-4</v>
      </c>
    </row>
    <row r="83" spans="1:6">
      <c r="A83" s="1" t="s">
        <v>138</v>
      </c>
      <c r="B83" s="48">
        <f>B82*1000</f>
        <v>0.44843049327354262</v>
      </c>
      <c r="C83" t="s">
        <v>214</v>
      </c>
      <c r="D83" s="1" t="s">
        <v>138</v>
      </c>
      <c r="E83" s="48">
        <f>E82*1000</f>
        <v>0.55865921787709494</v>
      </c>
      <c r="F83" s="65" t="s">
        <v>215</v>
      </c>
    </row>
    <row r="84" spans="1:6">
      <c r="A84" s="1" t="s">
        <v>140</v>
      </c>
      <c r="B84" s="39">
        <f>(B82*B81)/10</f>
        <v>10000</v>
      </c>
      <c r="D84" s="1" t="s">
        <v>140</v>
      </c>
      <c r="E84" s="39">
        <f>(E82*E81)/10</f>
        <v>9999.9999999999982</v>
      </c>
    </row>
    <row r="85" spans="1:6">
      <c r="A85" s="1" t="s">
        <v>141</v>
      </c>
      <c r="B85" s="39">
        <f>(100)/B81</f>
        <v>4.4843049327354261E-7</v>
      </c>
      <c r="D85" s="1" t="s">
        <v>141</v>
      </c>
      <c r="E85" s="39">
        <f>(100)/E81</f>
        <v>5.5865921787709501E-7</v>
      </c>
    </row>
    <row r="86" spans="1:6">
      <c r="A86" s="1" t="s">
        <v>142</v>
      </c>
      <c r="B86" s="39">
        <f>100/EXP((B79*B88*LN(2))+LN(B84))</f>
        <v>3.2214548602853799E-6</v>
      </c>
      <c r="D86" s="1" t="s">
        <v>142</v>
      </c>
      <c r="E86" s="39">
        <f>100/EXP((E79*E88*LN(2))+LN(E84))</f>
        <v>3.1333640077219358E-6</v>
      </c>
    </row>
    <row r="87" spans="1:6">
      <c r="A87" s="1" t="s">
        <v>143</v>
      </c>
      <c r="B87" s="48">
        <f>((LN((10000000)/B84)/LN(2))/B79)</f>
        <v>1.0738991686058283</v>
      </c>
      <c r="D87" s="1" t="s">
        <v>143</v>
      </c>
      <c r="E87" s="48">
        <f>((LN((10000000)/E84)/LN(2))/E79)</f>
        <v>1.2842505521471763</v>
      </c>
    </row>
    <row r="88" spans="1:6">
      <c r="A88" s="1" t="s">
        <v>144</v>
      </c>
      <c r="B88" s="1">
        <v>1.25</v>
      </c>
      <c r="C88" t="s">
        <v>158</v>
      </c>
      <c r="D88" s="1" t="s">
        <v>144</v>
      </c>
      <c r="E88" s="1">
        <v>1.5</v>
      </c>
      <c r="F88" s="65" t="s">
        <v>178</v>
      </c>
    </row>
    <row r="89" spans="1:6">
      <c r="A89" s="1" t="s">
        <v>147</v>
      </c>
      <c r="B89" s="1"/>
      <c r="D89" s="1" t="s">
        <v>147</v>
      </c>
      <c r="E89" s="1"/>
    </row>
    <row r="90" spans="1:6">
      <c r="A90" s="1" t="s">
        <v>148</v>
      </c>
      <c r="B90" s="1"/>
      <c r="D90" s="1" t="s">
        <v>148</v>
      </c>
      <c r="E90" s="1"/>
    </row>
    <row r="91" spans="1:6">
      <c r="A91" s="1" t="s">
        <v>149</v>
      </c>
      <c r="B91" s="1"/>
      <c r="D91" s="1" t="s">
        <v>149</v>
      </c>
      <c r="E91" s="1"/>
    </row>
    <row r="92" spans="1:6">
      <c r="A92" s="74" t="s">
        <v>150</v>
      </c>
      <c r="B92" s="49">
        <f>100/B81</f>
        <v>4.4843049327354261E-7</v>
      </c>
      <c r="C92" s="62"/>
      <c r="D92" s="49" t="s">
        <v>150</v>
      </c>
      <c r="E92" s="49">
        <f>100/E81</f>
        <v>5.5865921787709501E-7</v>
      </c>
    </row>
    <row r="93" spans="1:6">
      <c r="A93" s="7"/>
      <c r="C93" s="7"/>
      <c r="D93" s="7"/>
    </row>
    <row r="94" spans="1:6">
      <c r="A94" s="7"/>
      <c r="B94" s="1" t="s">
        <v>155</v>
      </c>
    </row>
    <row r="95" spans="1:6">
      <c r="A95" s="7"/>
      <c r="B95" s="44">
        <v>9.9999999999999995E-7</v>
      </c>
    </row>
    <row r="96" spans="1:6">
      <c r="A96" s="7"/>
      <c r="B96" s="44">
        <v>5.0000000000000004E-6</v>
      </c>
    </row>
    <row r="97" spans="1:2">
      <c r="A97" s="7"/>
      <c r="B97" s="45">
        <v>1.0000000000000001E-5</v>
      </c>
    </row>
    <row r="98" spans="1:2">
      <c r="B98" s="47">
        <v>5.0000000000000002E-5</v>
      </c>
    </row>
  </sheetData>
  <pageMargins left="0.7" right="0.7" top="0.75" bottom="0.75" header="0.3" footer="0.3"/>
  <pageSetup scale="48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A8A4-3A22-492A-A228-2AA7190B1311}">
  <sheetPr>
    <pageSetUpPr fitToPage="1"/>
  </sheetPr>
  <dimension ref="A1:F98"/>
  <sheetViews>
    <sheetView topLeftCell="A61" workbookViewId="0">
      <selection activeCell="B44" sqref="B44"/>
    </sheetView>
  </sheetViews>
  <sheetFormatPr defaultRowHeight="14.45"/>
  <cols>
    <col min="1" max="1" width="44.28515625" bestFit="1" customWidth="1"/>
    <col min="2" max="2" width="19.42578125" bestFit="1" customWidth="1"/>
    <col min="3" max="3" width="13.7109375" customWidth="1"/>
    <col min="4" max="4" width="44.28515625" bestFit="1" customWidth="1"/>
    <col min="5" max="5" width="19.42578125" bestFit="1" customWidth="1"/>
  </cols>
  <sheetData>
    <row r="1" spans="1:6">
      <c r="A1" t="s">
        <v>216</v>
      </c>
    </row>
    <row r="2" spans="1:6">
      <c r="A2" t="s">
        <v>217</v>
      </c>
    </row>
    <row r="4" spans="1:6">
      <c r="A4" s="1" t="s">
        <v>129</v>
      </c>
      <c r="B4" s="40">
        <v>42</v>
      </c>
      <c r="D4" s="1" t="s">
        <v>129</v>
      </c>
      <c r="E4" s="40">
        <v>55</v>
      </c>
    </row>
    <row r="5" spans="1:6">
      <c r="A5" s="1" t="s">
        <v>1</v>
      </c>
      <c r="B5" s="41" t="s">
        <v>193</v>
      </c>
      <c r="D5" s="1" t="s">
        <v>1</v>
      </c>
      <c r="E5" s="41" t="s">
        <v>194</v>
      </c>
    </row>
    <row r="6" spans="1:6">
      <c r="A6" s="1" t="s">
        <v>133</v>
      </c>
      <c r="B6" s="43">
        <v>16.989999999999998</v>
      </c>
      <c r="D6" s="1" t="s">
        <v>133</v>
      </c>
      <c r="E6" s="43">
        <v>12.07</v>
      </c>
    </row>
    <row r="7" spans="1:6">
      <c r="A7" s="1" t="s">
        <v>134</v>
      </c>
      <c r="B7" s="43">
        <v>16.28</v>
      </c>
      <c r="D7" s="1" t="s">
        <v>134</v>
      </c>
      <c r="E7" s="43">
        <v>11.91</v>
      </c>
    </row>
    <row r="8" spans="1:6">
      <c r="A8" s="1" t="s">
        <v>135</v>
      </c>
      <c r="B8" s="1">
        <v>4</v>
      </c>
      <c r="D8" s="1" t="s">
        <v>135</v>
      </c>
      <c r="E8" s="93" t="s">
        <v>218</v>
      </c>
    </row>
    <row r="9" spans="1:6">
      <c r="A9" s="1" t="s">
        <v>136</v>
      </c>
      <c r="B9" s="46">
        <v>48000000</v>
      </c>
      <c r="D9" s="1" t="s">
        <v>136</v>
      </c>
      <c r="E9" s="46">
        <v>4600000</v>
      </c>
    </row>
    <row r="10" spans="1:6">
      <c r="A10" s="1" t="s">
        <v>137</v>
      </c>
      <c r="B10" s="39">
        <f>(100000)/B9</f>
        <v>2.0833333333333333E-3</v>
      </c>
      <c r="D10" s="1" t="s">
        <v>137</v>
      </c>
      <c r="E10" s="39">
        <f>(100000)/E9</f>
        <v>2.1739130434782608E-2</v>
      </c>
    </row>
    <row r="11" spans="1:6">
      <c r="A11" s="1" t="s">
        <v>138</v>
      </c>
      <c r="B11" s="48">
        <f>B10*1000</f>
        <v>2.0833333333333335</v>
      </c>
      <c r="D11" s="1" t="s">
        <v>138</v>
      </c>
      <c r="E11" s="48">
        <f>E10*1000</f>
        <v>21.739130434782609</v>
      </c>
    </row>
    <row r="12" spans="1:6">
      <c r="A12" s="1" t="s">
        <v>140</v>
      </c>
      <c r="B12" s="39">
        <f>(B10*B9)/10</f>
        <v>10000</v>
      </c>
      <c r="D12" s="1" t="s">
        <v>140</v>
      </c>
      <c r="E12" s="39">
        <f>(E10*E9)/10</f>
        <v>10000</v>
      </c>
    </row>
    <row r="13" spans="1:6">
      <c r="A13" s="1" t="s">
        <v>141</v>
      </c>
      <c r="B13" s="39">
        <f>(100)/B9</f>
        <v>2.0833333333333334E-6</v>
      </c>
      <c r="D13" s="1" t="s">
        <v>141</v>
      </c>
      <c r="E13" s="39">
        <f>(100)/E9</f>
        <v>2.173913043478261E-5</v>
      </c>
    </row>
    <row r="14" spans="1:6">
      <c r="A14" s="1" t="s">
        <v>142</v>
      </c>
      <c r="B14" s="39">
        <f>100/EXP((B7*B16*LN(2))+LN(B12))</f>
        <v>1.1469355187633321E-5</v>
      </c>
      <c r="D14" s="1" t="s">
        <v>142</v>
      </c>
      <c r="E14" s="39">
        <f>100/EXP((E7*E16*LN(2))+LN(E12))</f>
        <v>2.5985600157552674E-6</v>
      </c>
    </row>
    <row r="15" spans="1:6">
      <c r="A15" s="1" t="s">
        <v>143</v>
      </c>
      <c r="B15" s="48">
        <f>((LN((10000000)/B12)/LN(2))/B7)</f>
        <v>0.61214891183428044</v>
      </c>
      <c r="D15" s="1" t="s">
        <v>143</v>
      </c>
      <c r="E15" s="48">
        <f>((LN((10000000)/E12)/LN(2))/E7)</f>
        <v>0.83675770652074621</v>
      </c>
    </row>
    <row r="16" spans="1:6">
      <c r="A16" s="1" t="s">
        <v>144</v>
      </c>
      <c r="B16" s="1">
        <v>0.6</v>
      </c>
      <c r="C16" t="s">
        <v>145</v>
      </c>
      <c r="D16" s="1" t="s">
        <v>144</v>
      </c>
      <c r="E16" s="1">
        <v>1</v>
      </c>
      <c r="F16" s="65" t="s">
        <v>154</v>
      </c>
    </row>
    <row r="17" spans="1:6">
      <c r="A17" s="1" t="s">
        <v>147</v>
      </c>
      <c r="B17" s="1"/>
      <c r="D17" s="1" t="s">
        <v>147</v>
      </c>
      <c r="E17" s="1"/>
    </row>
    <row r="18" spans="1:6">
      <c r="A18" s="1" t="s">
        <v>148</v>
      </c>
      <c r="B18" s="1"/>
      <c r="D18" s="1" t="s">
        <v>148</v>
      </c>
      <c r="E18" s="1"/>
    </row>
    <row r="19" spans="1:6">
      <c r="A19" s="1" t="s">
        <v>149</v>
      </c>
      <c r="B19" s="1"/>
      <c r="D19" s="1" t="s">
        <v>149</v>
      </c>
      <c r="E19" s="1"/>
    </row>
    <row r="20" spans="1:6">
      <c r="A20" s="74" t="s">
        <v>150</v>
      </c>
      <c r="B20" s="49">
        <f>100/B9</f>
        <v>2.0833333333333334E-6</v>
      </c>
      <c r="C20" s="62"/>
      <c r="D20" s="49" t="s">
        <v>150</v>
      </c>
      <c r="E20" s="49">
        <f>100/E9</f>
        <v>2.173913043478261E-5</v>
      </c>
    </row>
    <row r="22" spans="1:6">
      <c r="A22" s="1" t="s">
        <v>129</v>
      </c>
      <c r="B22" s="40" t="s">
        <v>113</v>
      </c>
      <c r="D22" s="1" t="s">
        <v>129</v>
      </c>
      <c r="E22" s="40">
        <v>215</v>
      </c>
    </row>
    <row r="23" spans="1:6">
      <c r="A23" s="1" t="s">
        <v>1</v>
      </c>
      <c r="B23" s="41" t="s">
        <v>196</v>
      </c>
      <c r="D23" s="1" t="s">
        <v>1</v>
      </c>
      <c r="E23" s="41" t="s">
        <v>197</v>
      </c>
    </row>
    <row r="24" spans="1:6">
      <c r="A24" s="1" t="s">
        <v>133</v>
      </c>
      <c r="B24" s="43">
        <v>16.7</v>
      </c>
      <c r="D24" s="1" t="s">
        <v>133</v>
      </c>
      <c r="E24" s="43">
        <v>3.77</v>
      </c>
    </row>
    <row r="25" spans="1:6">
      <c r="A25" s="1" t="s">
        <v>134</v>
      </c>
      <c r="B25" s="98">
        <v>17.079999999999998</v>
      </c>
      <c r="D25" s="1" t="s">
        <v>134</v>
      </c>
      <c r="E25" s="43">
        <v>9.2200000000000006</v>
      </c>
    </row>
    <row r="26" spans="1:6">
      <c r="A26" s="1" t="s">
        <v>135</v>
      </c>
      <c r="B26" s="1">
        <v>4</v>
      </c>
      <c r="D26" s="1" t="s">
        <v>135</v>
      </c>
      <c r="E26" s="93" t="s">
        <v>218</v>
      </c>
    </row>
    <row r="27" spans="1:6">
      <c r="A27" s="1" t="s">
        <v>136</v>
      </c>
      <c r="B27" s="46">
        <v>68000000</v>
      </c>
      <c r="D27" s="1" t="s">
        <v>136</v>
      </c>
      <c r="E27" s="46">
        <v>2480000000</v>
      </c>
    </row>
    <row r="28" spans="1:6">
      <c r="A28" s="1" t="s">
        <v>137</v>
      </c>
      <c r="B28" s="39">
        <f>(100000)/B27</f>
        <v>1.4705882352941176E-3</v>
      </c>
      <c r="D28" s="1" t="s">
        <v>137</v>
      </c>
      <c r="E28" s="39">
        <f>(100000)/E27</f>
        <v>4.032258064516129E-5</v>
      </c>
    </row>
    <row r="29" spans="1:6">
      <c r="A29" s="1" t="s">
        <v>138</v>
      </c>
      <c r="B29" s="48">
        <f>B28*1000</f>
        <v>1.4705882352941175</v>
      </c>
      <c r="C29" t="s">
        <v>219</v>
      </c>
      <c r="D29" s="1" t="s">
        <v>138</v>
      </c>
      <c r="E29" s="99">
        <f>E28*1000</f>
        <v>4.0322580645161289E-2</v>
      </c>
      <c r="F29" t="s">
        <v>212</v>
      </c>
    </row>
    <row r="30" spans="1:6">
      <c r="A30" s="1" t="s">
        <v>140</v>
      </c>
      <c r="B30" s="39">
        <f>(B28*B27)/10</f>
        <v>10000</v>
      </c>
      <c r="D30" s="1" t="s">
        <v>140</v>
      </c>
      <c r="E30" s="39">
        <f>(E28*E27)/10</f>
        <v>10000</v>
      </c>
    </row>
    <row r="31" spans="1:6">
      <c r="A31" s="1" t="s">
        <v>141</v>
      </c>
      <c r="B31" s="39">
        <f>(100)/B27</f>
        <v>1.4705882352941177E-6</v>
      </c>
      <c r="D31" s="1" t="s">
        <v>141</v>
      </c>
      <c r="E31" s="39">
        <f>(100)/E27</f>
        <v>4.0322580645161287E-8</v>
      </c>
    </row>
    <row r="32" spans="1:6">
      <c r="A32" s="1" t="s">
        <v>142</v>
      </c>
      <c r="B32" s="39">
        <f>100/EXP((B25*B34*LN(2))+LN(B30))</f>
        <v>8.2232710313321895E-6</v>
      </c>
      <c r="D32" s="1" t="s">
        <v>142</v>
      </c>
      <c r="E32" s="39">
        <f>100/EXP((E25*E34*LN(2))+LN(E30))</f>
        <v>6.8668120403369458E-7</v>
      </c>
    </row>
    <row r="33" spans="1:6">
      <c r="A33" s="1" t="s">
        <v>143</v>
      </c>
      <c r="B33" s="48">
        <f>((LN((10000000)/B30)/LN(2))/B25)</f>
        <v>0.583476831654689</v>
      </c>
      <c r="D33" s="1" t="s">
        <v>143</v>
      </c>
      <c r="E33" s="48">
        <f>((LN((10000000)/E30)/LN(2))/E25)</f>
        <v>1.0808876664492502</v>
      </c>
    </row>
    <row r="34" spans="1:6">
      <c r="A34" s="1" t="s">
        <v>144</v>
      </c>
      <c r="B34" s="1">
        <v>0.6</v>
      </c>
      <c r="C34" t="s">
        <v>145</v>
      </c>
      <c r="D34" s="1" t="s">
        <v>144</v>
      </c>
      <c r="E34" s="1">
        <v>1.5</v>
      </c>
      <c r="F34" s="65" t="s">
        <v>178</v>
      </c>
    </row>
    <row r="35" spans="1:6">
      <c r="A35" s="1" t="s">
        <v>147</v>
      </c>
      <c r="B35" s="1"/>
      <c r="D35" s="1" t="s">
        <v>147</v>
      </c>
      <c r="E35" s="1"/>
    </row>
    <row r="36" spans="1:6">
      <c r="A36" s="1" t="s">
        <v>148</v>
      </c>
      <c r="B36" s="1"/>
      <c r="D36" s="1" t="s">
        <v>148</v>
      </c>
      <c r="E36" s="1"/>
    </row>
    <row r="37" spans="1:6">
      <c r="A37" s="1" t="s">
        <v>149</v>
      </c>
      <c r="B37" s="1"/>
      <c r="D37" s="1" t="s">
        <v>149</v>
      </c>
      <c r="E37" s="1"/>
    </row>
    <row r="38" spans="1:6">
      <c r="A38" s="50" t="s">
        <v>150</v>
      </c>
      <c r="B38" s="6">
        <f>100/B27</f>
        <v>1.4705882352941177E-6</v>
      </c>
      <c r="C38" s="62"/>
      <c r="D38" s="74" t="s">
        <v>150</v>
      </c>
      <c r="E38" s="49">
        <f>100/E27</f>
        <v>4.0322580645161287E-8</v>
      </c>
    </row>
    <row r="39" spans="1:6">
      <c r="A39" s="50"/>
      <c r="B39" s="6"/>
      <c r="C39" s="62"/>
      <c r="D39" s="4"/>
      <c r="E39" s="6"/>
    </row>
    <row r="40" spans="1:6">
      <c r="A40" s="1" t="s">
        <v>129</v>
      </c>
      <c r="B40" s="40">
        <v>218</v>
      </c>
      <c r="D40" s="1" t="s">
        <v>129</v>
      </c>
      <c r="E40" s="40">
        <v>235</v>
      </c>
    </row>
    <row r="41" spans="1:6">
      <c r="A41" s="1" t="s">
        <v>1</v>
      </c>
      <c r="B41" s="41" t="s">
        <v>199</v>
      </c>
      <c r="D41" s="1" t="s">
        <v>1</v>
      </c>
      <c r="E41" s="41" t="s">
        <v>200</v>
      </c>
    </row>
    <row r="42" spans="1:6">
      <c r="A42" s="1" t="s">
        <v>133</v>
      </c>
      <c r="B42" s="43">
        <v>7.95</v>
      </c>
      <c r="D42" s="1" t="s">
        <v>133</v>
      </c>
      <c r="E42" s="43">
        <v>5.5</v>
      </c>
    </row>
    <row r="43" spans="1:6">
      <c r="A43" s="1" t="s">
        <v>134</v>
      </c>
      <c r="B43" s="98">
        <v>9.2799999999999994</v>
      </c>
      <c r="D43" s="1" t="s">
        <v>134</v>
      </c>
      <c r="E43" s="98">
        <v>5.12</v>
      </c>
    </row>
    <row r="44" spans="1:6">
      <c r="A44" s="1" t="s">
        <v>135</v>
      </c>
      <c r="B44" s="1">
        <v>4</v>
      </c>
      <c r="D44" s="1" t="s">
        <v>135</v>
      </c>
      <c r="E44" s="1">
        <v>4</v>
      </c>
    </row>
    <row r="45" spans="1:6">
      <c r="A45" s="1" t="s">
        <v>136</v>
      </c>
      <c r="B45" s="46">
        <v>5200000</v>
      </c>
      <c r="D45" s="1" t="s">
        <v>136</v>
      </c>
      <c r="E45" s="46">
        <v>5200000</v>
      </c>
    </row>
    <row r="46" spans="1:6">
      <c r="A46" s="1" t="s">
        <v>137</v>
      </c>
      <c r="B46" s="39">
        <f>(100000)/B45</f>
        <v>1.9230769230769232E-2</v>
      </c>
      <c r="D46" s="1" t="s">
        <v>137</v>
      </c>
      <c r="E46" s="39">
        <f>(10000)/E45</f>
        <v>1.9230769230769232E-3</v>
      </c>
    </row>
    <row r="47" spans="1:6">
      <c r="A47" s="1" t="s">
        <v>138</v>
      </c>
      <c r="B47" s="48">
        <f>B46*1000</f>
        <v>19.230769230769234</v>
      </c>
      <c r="C47" s="102"/>
      <c r="D47" s="1" t="s">
        <v>138</v>
      </c>
      <c r="E47" s="48">
        <f>E46*1000</f>
        <v>1.9230769230769231</v>
      </c>
      <c r="F47" t="s">
        <v>220</v>
      </c>
    </row>
    <row r="48" spans="1:6">
      <c r="A48" s="1" t="s">
        <v>140</v>
      </c>
      <c r="B48" s="39">
        <f>(B46*B45)/10</f>
        <v>10000</v>
      </c>
      <c r="D48" s="1" t="s">
        <v>140</v>
      </c>
      <c r="E48" s="39">
        <f>(E46*E45)/10</f>
        <v>1000</v>
      </c>
    </row>
    <row r="49" spans="1:6">
      <c r="A49" s="1" t="s">
        <v>141</v>
      </c>
      <c r="B49" s="39">
        <f>(100)/B45</f>
        <v>1.9230769230769231E-5</v>
      </c>
      <c r="D49" s="1" t="s">
        <v>141</v>
      </c>
      <c r="E49" s="39">
        <f>(100)/E45</f>
        <v>1.9230769230769231E-5</v>
      </c>
    </row>
    <row r="50" spans="1:6">
      <c r="A50" s="1" t="s">
        <v>142</v>
      </c>
      <c r="B50" s="39">
        <f>100/EXP((B43*B52*LN(2))+LN(B48))</f>
        <v>1.6085762056007283E-5</v>
      </c>
      <c r="D50" s="1" t="s">
        <v>142</v>
      </c>
      <c r="E50" s="39">
        <f>100/EXP((E43*E52*LN(2))+LN(E48))</f>
        <v>1.4022196716272412E-5</v>
      </c>
    </row>
    <row r="51" spans="1:6">
      <c r="A51" s="1" t="s">
        <v>143</v>
      </c>
      <c r="B51" s="48">
        <f>((LN((10000000)/B48)/LN(2))/B43)</f>
        <v>1.0738991686058283</v>
      </c>
      <c r="D51" s="1" t="s">
        <v>143</v>
      </c>
      <c r="E51" s="48">
        <f>((LN((10000000)/E48)/LN(2))/E43)</f>
        <v>2.595256324130752</v>
      </c>
    </row>
    <row r="52" spans="1:6">
      <c r="A52" s="1" t="s">
        <v>144</v>
      </c>
      <c r="B52" s="1">
        <v>1</v>
      </c>
      <c r="C52" t="s">
        <v>154</v>
      </c>
      <c r="D52" s="1" t="s">
        <v>144</v>
      </c>
      <c r="E52" s="1">
        <v>2.5</v>
      </c>
      <c r="F52" s="65" t="s">
        <v>153</v>
      </c>
    </row>
    <row r="53" spans="1:6">
      <c r="A53" s="1" t="s">
        <v>147</v>
      </c>
      <c r="B53" s="1"/>
      <c r="D53" s="1" t="s">
        <v>147</v>
      </c>
      <c r="E53" s="1"/>
    </row>
    <row r="54" spans="1:6">
      <c r="A54" s="1" t="s">
        <v>148</v>
      </c>
      <c r="B54" s="1"/>
      <c r="D54" s="1" t="s">
        <v>148</v>
      </c>
      <c r="E54" s="1"/>
    </row>
    <row r="55" spans="1:6">
      <c r="A55" s="1" t="s">
        <v>149</v>
      </c>
      <c r="B55" s="1"/>
      <c r="D55" s="1" t="s">
        <v>149</v>
      </c>
      <c r="E55" s="1"/>
    </row>
    <row r="56" spans="1:6">
      <c r="A56" s="74" t="s">
        <v>150</v>
      </c>
      <c r="B56" s="81">
        <f>100/B45</f>
        <v>1.9230769230769231E-5</v>
      </c>
      <c r="C56" s="7"/>
      <c r="D56" s="74" t="s">
        <v>150</v>
      </c>
      <c r="E56" s="81">
        <f>100/E45</f>
        <v>1.9230769230769231E-5</v>
      </c>
    </row>
    <row r="57" spans="1:6">
      <c r="A57" s="74"/>
      <c r="B57" s="81"/>
      <c r="C57" s="7"/>
      <c r="D57" s="74"/>
      <c r="E57" s="81"/>
    </row>
    <row r="58" spans="1:6">
      <c r="A58" s="1" t="s">
        <v>129</v>
      </c>
      <c r="B58" s="40">
        <v>44</v>
      </c>
      <c r="D58" s="1" t="s">
        <v>129</v>
      </c>
      <c r="E58" s="40" t="s">
        <v>122</v>
      </c>
    </row>
    <row r="59" spans="1:6">
      <c r="A59" s="1" t="s">
        <v>1</v>
      </c>
      <c r="B59" s="41" t="s">
        <v>205</v>
      </c>
      <c r="D59" s="1" t="s">
        <v>1</v>
      </c>
      <c r="E59" s="41" t="s">
        <v>206</v>
      </c>
    </row>
    <row r="60" spans="1:6">
      <c r="A60" s="1" t="s">
        <v>133</v>
      </c>
      <c r="B60" s="43">
        <v>9.9700000000000006</v>
      </c>
      <c r="D60" s="1" t="s">
        <v>133</v>
      </c>
      <c r="E60" s="43">
        <v>11.35</v>
      </c>
    </row>
    <row r="61" spans="1:6">
      <c r="A61" s="1" t="s">
        <v>134</v>
      </c>
      <c r="B61" s="43">
        <v>11.55</v>
      </c>
      <c r="D61" s="1" t="s">
        <v>134</v>
      </c>
      <c r="E61" s="43">
        <v>13.75</v>
      </c>
    </row>
    <row r="62" spans="1:6">
      <c r="A62" s="1" t="s">
        <v>135</v>
      </c>
      <c r="B62" s="1">
        <v>3</v>
      </c>
      <c r="D62" s="1" t="s">
        <v>135</v>
      </c>
      <c r="E62" s="1">
        <v>3</v>
      </c>
    </row>
    <row r="63" spans="1:6">
      <c r="A63" s="1" t="s">
        <v>136</v>
      </c>
      <c r="B63" s="46">
        <v>36600000</v>
      </c>
      <c r="D63" s="1" t="s">
        <v>136</v>
      </c>
      <c r="E63" s="46">
        <v>111000000</v>
      </c>
    </row>
    <row r="64" spans="1:6">
      <c r="A64" s="1" t="s">
        <v>137</v>
      </c>
      <c r="B64" s="39">
        <f>(100000)/B63</f>
        <v>2.7322404371584699E-3</v>
      </c>
      <c r="D64" s="1" t="s">
        <v>137</v>
      </c>
      <c r="E64" s="39">
        <f>(100000)/E63</f>
        <v>9.0090090090090091E-4</v>
      </c>
    </row>
    <row r="65" spans="1:6">
      <c r="A65" s="1" t="s">
        <v>138</v>
      </c>
      <c r="B65" s="48">
        <f>B64*1000</f>
        <v>2.7322404371584699</v>
      </c>
      <c r="D65" s="1" t="s">
        <v>138</v>
      </c>
      <c r="E65" s="48">
        <f>E64*1000</f>
        <v>0.90090090090090091</v>
      </c>
      <c r="F65" t="s">
        <v>221</v>
      </c>
    </row>
    <row r="66" spans="1:6">
      <c r="A66" s="1" t="s">
        <v>140</v>
      </c>
      <c r="B66" s="39">
        <f>(B64*B63)/10</f>
        <v>10000</v>
      </c>
      <c r="D66" s="1" t="s">
        <v>140</v>
      </c>
      <c r="E66" s="39">
        <f>(E64*E63)/10</f>
        <v>10000</v>
      </c>
    </row>
    <row r="67" spans="1:6">
      <c r="A67" s="1" t="s">
        <v>141</v>
      </c>
      <c r="B67" s="39">
        <f>(100)/B63</f>
        <v>2.73224043715847E-6</v>
      </c>
      <c r="D67" s="1" t="s">
        <v>141</v>
      </c>
      <c r="E67" s="39">
        <f>(100)/E63</f>
        <v>9.0090090090090086E-7</v>
      </c>
    </row>
    <row r="68" spans="1:6">
      <c r="A68" s="1" t="s">
        <v>142</v>
      </c>
      <c r="B68" s="39">
        <f>100/EXP((B61*B70*LN(2))+LN(B66))</f>
        <v>3.3350592205917753E-6</v>
      </c>
      <c r="D68" s="1" t="s">
        <v>142</v>
      </c>
      <c r="E68" s="39">
        <f>100/EXP((E61*E70*LN(2))+LN(E66))</f>
        <v>7.8637223239709788E-6</v>
      </c>
    </row>
    <row r="69" spans="1:6">
      <c r="A69" s="1" t="s">
        <v>143</v>
      </c>
      <c r="B69" s="48">
        <f>((LN((10000000)/B66)/LN(2))/B61)</f>
        <v>0.86283846620450966</v>
      </c>
      <c r="D69" s="1" t="s">
        <v>143</v>
      </c>
      <c r="E69" s="48">
        <f>((LN((10000000)/E66)/LN(2))/E61)</f>
        <v>0.72478431161178813</v>
      </c>
    </row>
    <row r="70" spans="1:6">
      <c r="A70" s="1" t="s">
        <v>144</v>
      </c>
      <c r="B70" s="1">
        <v>1</v>
      </c>
      <c r="C70" t="s">
        <v>154</v>
      </c>
      <c r="D70" s="1" t="s">
        <v>144</v>
      </c>
      <c r="E70" s="1">
        <v>0.75</v>
      </c>
      <c r="F70" s="65" t="s">
        <v>146</v>
      </c>
    </row>
    <row r="71" spans="1:6">
      <c r="A71" s="1" t="s">
        <v>147</v>
      </c>
      <c r="B71" s="1"/>
      <c r="D71" s="1" t="s">
        <v>147</v>
      </c>
      <c r="E71" s="1"/>
    </row>
    <row r="72" spans="1:6">
      <c r="A72" s="1" t="s">
        <v>148</v>
      </c>
      <c r="B72" s="1"/>
      <c r="D72" s="1" t="s">
        <v>148</v>
      </c>
      <c r="E72" s="1"/>
    </row>
    <row r="73" spans="1:6">
      <c r="A73" s="42" t="s">
        <v>149</v>
      </c>
      <c r="B73" s="42"/>
      <c r="D73" s="42" t="s">
        <v>149</v>
      </c>
      <c r="E73" s="42"/>
    </row>
    <row r="74" spans="1:6">
      <c r="A74" s="74" t="s">
        <v>150</v>
      </c>
      <c r="B74" s="49">
        <f>100/B63</f>
        <v>2.73224043715847E-6</v>
      </c>
      <c r="C74" s="62"/>
      <c r="D74" s="49" t="s">
        <v>150</v>
      </c>
      <c r="E74" s="49">
        <f>100/E63</f>
        <v>9.0090090090090086E-7</v>
      </c>
    </row>
    <row r="75" spans="1:6">
      <c r="A75" s="7"/>
      <c r="B75" s="13"/>
      <c r="C75" s="7"/>
      <c r="D75" s="7"/>
      <c r="E75" s="13"/>
      <c r="F75" s="4"/>
    </row>
    <row r="76" spans="1:6">
      <c r="A76" s="1" t="s">
        <v>129</v>
      </c>
      <c r="B76" s="40" t="s">
        <v>124</v>
      </c>
      <c r="C76" s="4"/>
      <c r="D76" s="1" t="s">
        <v>129</v>
      </c>
      <c r="E76" s="1" t="s">
        <v>126</v>
      </c>
    </row>
    <row r="77" spans="1:6">
      <c r="A77" s="105" t="s">
        <v>1</v>
      </c>
      <c r="B77" s="106" t="s">
        <v>207</v>
      </c>
      <c r="D77" s="105" t="s">
        <v>1</v>
      </c>
      <c r="E77" s="40" t="s">
        <v>208</v>
      </c>
    </row>
    <row r="78" spans="1:6">
      <c r="A78" s="1" t="s">
        <v>133</v>
      </c>
      <c r="B78" s="43">
        <v>7.72</v>
      </c>
      <c r="D78" s="1" t="s">
        <v>133</v>
      </c>
      <c r="E78" s="43">
        <v>6.41</v>
      </c>
    </row>
    <row r="79" spans="1:6">
      <c r="A79" s="1" t="s">
        <v>134</v>
      </c>
      <c r="B79" s="43">
        <v>9.94</v>
      </c>
      <c r="D79" s="1" t="s">
        <v>134</v>
      </c>
      <c r="E79" s="43">
        <v>9.94</v>
      </c>
    </row>
    <row r="80" spans="1:6">
      <c r="A80" s="1" t="s">
        <v>135</v>
      </c>
      <c r="B80" s="1">
        <v>3</v>
      </c>
      <c r="D80" s="1" t="s">
        <v>135</v>
      </c>
      <c r="E80" s="1">
        <v>3</v>
      </c>
    </row>
    <row r="81" spans="1:6">
      <c r="A81" s="1" t="s">
        <v>136</v>
      </c>
      <c r="B81" s="46">
        <v>67000000</v>
      </c>
      <c r="D81" s="1" t="s">
        <v>136</v>
      </c>
      <c r="E81" s="46">
        <v>261000000</v>
      </c>
    </row>
    <row r="82" spans="1:6">
      <c r="A82" s="1" t="s">
        <v>137</v>
      </c>
      <c r="B82" s="39">
        <f>(100000)/B81</f>
        <v>1.4925373134328358E-3</v>
      </c>
      <c r="D82" s="1" t="s">
        <v>137</v>
      </c>
      <c r="E82" s="39">
        <f>(100000)/E81</f>
        <v>3.8314176245210729E-4</v>
      </c>
    </row>
    <row r="83" spans="1:6">
      <c r="A83" s="1" t="s">
        <v>138</v>
      </c>
      <c r="B83" s="48">
        <f>B82*1000</f>
        <v>1.4925373134328359</v>
      </c>
      <c r="C83" t="s">
        <v>222</v>
      </c>
      <c r="D83" s="1" t="s">
        <v>138</v>
      </c>
      <c r="E83" s="48">
        <f>E82*1000</f>
        <v>0.38314176245210729</v>
      </c>
      <c r="F83" s="65" t="s">
        <v>223</v>
      </c>
    </row>
    <row r="84" spans="1:6">
      <c r="A84" s="1" t="s">
        <v>140</v>
      </c>
      <c r="B84" s="39">
        <f>(B82*B81)/10</f>
        <v>10000</v>
      </c>
      <c r="D84" s="1" t="s">
        <v>140</v>
      </c>
      <c r="E84" s="39">
        <f>(E82*E81)/10</f>
        <v>10000</v>
      </c>
    </row>
    <row r="85" spans="1:6">
      <c r="A85" s="1" t="s">
        <v>141</v>
      </c>
      <c r="B85" s="39">
        <f>(100)/B81</f>
        <v>1.4925373134328358E-6</v>
      </c>
      <c r="D85" s="1" t="s">
        <v>141</v>
      </c>
      <c r="E85" s="39">
        <f>(100)/E81</f>
        <v>3.8314176245210729E-7</v>
      </c>
    </row>
    <row r="86" spans="1:6">
      <c r="A86" s="1" t="s">
        <v>142</v>
      </c>
      <c r="B86" s="39">
        <f>100/EXP((B79*B88*LN(2))+LN(B84))</f>
        <v>1.0180329695714056E-5</v>
      </c>
      <c r="D86" s="1" t="s">
        <v>142</v>
      </c>
      <c r="E86" s="39">
        <f>100/EXP((E79*E88*LN(2))+LN(E84))</f>
        <v>1.0180329695714056E-5</v>
      </c>
    </row>
    <row r="87" spans="1:6">
      <c r="A87" s="1" t="s">
        <v>143</v>
      </c>
      <c r="B87" s="48">
        <f>((LN((10000000)/B84)/LN(2))/B79)</f>
        <v>1.0025939924207332</v>
      </c>
      <c r="D87" s="1" t="s">
        <v>143</v>
      </c>
      <c r="E87" s="48">
        <f>((LN((10000000)/E84)/LN(2))/E79)</f>
        <v>1.0025939924207332</v>
      </c>
    </row>
    <row r="88" spans="1:6">
      <c r="A88" s="1" t="s">
        <v>144</v>
      </c>
      <c r="B88" s="1">
        <v>1</v>
      </c>
      <c r="C88" t="s">
        <v>154</v>
      </c>
      <c r="D88" s="1" t="s">
        <v>144</v>
      </c>
      <c r="E88" s="1">
        <v>1</v>
      </c>
      <c r="F88" s="65" t="s">
        <v>154</v>
      </c>
    </row>
    <row r="89" spans="1:6">
      <c r="A89" s="1" t="s">
        <v>147</v>
      </c>
      <c r="B89" s="1"/>
      <c r="D89" s="1" t="s">
        <v>147</v>
      </c>
      <c r="E89" s="1"/>
    </row>
    <row r="90" spans="1:6">
      <c r="A90" s="1" t="s">
        <v>148</v>
      </c>
      <c r="B90" s="1"/>
      <c r="D90" s="1" t="s">
        <v>148</v>
      </c>
      <c r="E90" s="1"/>
    </row>
    <row r="91" spans="1:6">
      <c r="A91" s="1" t="s">
        <v>149</v>
      </c>
      <c r="B91" s="1"/>
      <c r="D91" s="1" t="s">
        <v>149</v>
      </c>
      <c r="E91" s="1"/>
    </row>
    <row r="92" spans="1:6">
      <c r="A92" s="74" t="s">
        <v>150</v>
      </c>
      <c r="B92" s="49">
        <f>100/B81</f>
        <v>1.4925373134328358E-6</v>
      </c>
      <c r="C92" s="62"/>
      <c r="D92" s="49" t="s">
        <v>150</v>
      </c>
      <c r="E92" s="49">
        <f>100/E81</f>
        <v>3.8314176245210729E-7</v>
      </c>
    </row>
    <row r="93" spans="1:6">
      <c r="A93" s="7"/>
      <c r="C93" s="7"/>
      <c r="D93" s="7"/>
    </row>
    <row r="94" spans="1:6">
      <c r="A94" s="7"/>
      <c r="B94" s="1" t="s">
        <v>155</v>
      </c>
    </row>
    <row r="95" spans="1:6">
      <c r="A95" s="7"/>
      <c r="B95" s="44">
        <v>9.9999999999999995E-7</v>
      </c>
    </row>
    <row r="96" spans="1:6">
      <c r="A96" s="7"/>
      <c r="B96" s="44">
        <v>5.0000000000000004E-6</v>
      </c>
    </row>
    <row r="97" spans="1:2">
      <c r="A97" s="7"/>
      <c r="B97" s="45">
        <v>1.0000000000000001E-5</v>
      </c>
    </row>
    <row r="98" spans="1:2">
      <c r="B98" s="47">
        <v>5.0000000000000002E-5</v>
      </c>
    </row>
  </sheetData>
  <pageMargins left="0.7" right="0.7" top="0.75" bottom="0.75" header="0.3" footer="0.3"/>
  <pageSetup scale="48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FD086-158D-4F3E-91D5-5475242D012B}">
  <sheetPr>
    <pageSetUpPr fitToPage="1"/>
  </sheetPr>
  <dimension ref="A1:F98"/>
  <sheetViews>
    <sheetView topLeftCell="A66" workbookViewId="0">
      <selection sqref="A1:F98"/>
    </sheetView>
  </sheetViews>
  <sheetFormatPr defaultRowHeight="14.45"/>
  <cols>
    <col min="1" max="1" width="44.28515625" bestFit="1" customWidth="1"/>
    <col min="2" max="2" width="19.42578125" bestFit="1" customWidth="1"/>
    <col min="3" max="3" width="13.7109375" customWidth="1"/>
    <col min="4" max="4" width="44.28515625" bestFit="1" customWidth="1"/>
    <col min="5" max="5" width="19.42578125" bestFit="1" customWidth="1"/>
  </cols>
  <sheetData>
    <row r="1" spans="1:6">
      <c r="A1" t="s">
        <v>224</v>
      </c>
    </row>
    <row r="2" spans="1:6">
      <c r="A2" t="s">
        <v>225</v>
      </c>
    </row>
    <row r="4" spans="1:6">
      <c r="A4" s="1" t="s">
        <v>129</v>
      </c>
      <c r="B4" s="40">
        <v>42</v>
      </c>
      <c r="D4" s="1" t="s">
        <v>129</v>
      </c>
      <c r="E4" s="40">
        <v>55</v>
      </c>
    </row>
    <row r="5" spans="1:6">
      <c r="A5" s="1" t="s">
        <v>1</v>
      </c>
      <c r="B5" s="41" t="s">
        <v>193</v>
      </c>
      <c r="D5" s="1" t="s">
        <v>1</v>
      </c>
      <c r="E5" s="41" t="s">
        <v>194</v>
      </c>
    </row>
    <row r="6" spans="1:6">
      <c r="A6" s="1" t="s">
        <v>133</v>
      </c>
      <c r="B6" s="43">
        <v>16.989999999999998</v>
      </c>
      <c r="D6" s="1" t="s">
        <v>133</v>
      </c>
      <c r="E6" s="43">
        <v>12.07</v>
      </c>
    </row>
    <row r="7" spans="1:6">
      <c r="A7" s="1" t="s">
        <v>134</v>
      </c>
      <c r="B7" s="43">
        <v>16.510000000000002</v>
      </c>
      <c r="D7" s="1" t="s">
        <v>134</v>
      </c>
      <c r="E7" s="43">
        <v>23.02</v>
      </c>
    </row>
    <row r="8" spans="1:6">
      <c r="A8" s="1" t="s">
        <v>135</v>
      </c>
      <c r="B8" s="1">
        <v>5</v>
      </c>
      <c r="D8" s="1" t="s">
        <v>135</v>
      </c>
      <c r="E8" s="93">
        <v>4</v>
      </c>
    </row>
    <row r="9" spans="1:6">
      <c r="A9" s="1" t="s">
        <v>136</v>
      </c>
      <c r="B9" s="46">
        <v>11200000</v>
      </c>
      <c r="D9" s="1" t="s">
        <v>136</v>
      </c>
      <c r="E9" s="46">
        <v>1700000000</v>
      </c>
    </row>
    <row r="10" spans="1:6">
      <c r="A10" s="1" t="s">
        <v>137</v>
      </c>
      <c r="B10" s="39">
        <f>(100000)/B9</f>
        <v>8.9285714285714281E-3</v>
      </c>
      <c r="D10" s="1" t="s">
        <v>137</v>
      </c>
      <c r="E10" s="39">
        <f>(100000)/E9</f>
        <v>5.8823529411764708E-5</v>
      </c>
    </row>
    <row r="11" spans="1:6">
      <c r="A11" s="1" t="s">
        <v>138</v>
      </c>
      <c r="B11" s="48">
        <f>B10*1000</f>
        <v>8.9285714285714288</v>
      </c>
      <c r="D11" s="1" t="s">
        <v>138</v>
      </c>
      <c r="E11" s="48">
        <f>E10*1000</f>
        <v>5.8823529411764705E-2</v>
      </c>
      <c r="F11" t="s">
        <v>226</v>
      </c>
    </row>
    <row r="12" spans="1:6">
      <c r="A12" s="1" t="s">
        <v>140</v>
      </c>
      <c r="B12" s="39">
        <f>(B10*B9)/10</f>
        <v>10000</v>
      </c>
      <c r="D12" s="1" t="s">
        <v>140</v>
      </c>
      <c r="E12" s="39">
        <f>(E10*E9)/10</f>
        <v>10000</v>
      </c>
    </row>
    <row r="13" spans="1:6">
      <c r="A13" s="1" t="s">
        <v>141</v>
      </c>
      <c r="B13" s="39">
        <f>(100)/B9</f>
        <v>8.9285714285714292E-6</v>
      </c>
      <c r="D13" s="1" t="s">
        <v>141</v>
      </c>
      <c r="E13" s="39">
        <f>(100)/E9</f>
        <v>5.8823529411764709E-8</v>
      </c>
    </row>
    <row r="14" spans="1:6">
      <c r="A14" s="1" t="s">
        <v>142</v>
      </c>
      <c r="B14" s="39">
        <f>100/EXP((B7*B16*LN(2))+LN(B12))</f>
        <v>1.0423099004296475E-5</v>
      </c>
      <c r="D14" s="1" t="s">
        <v>142</v>
      </c>
      <c r="E14" s="39">
        <f>100/EXP((E7*E16*LN(2))+LN(E12))</f>
        <v>6.9530235426154461E-7</v>
      </c>
    </row>
    <row r="15" spans="1:6">
      <c r="A15" s="1" t="s">
        <v>143</v>
      </c>
      <c r="B15" s="48">
        <f>((LN((10000000)/B12)/LN(2))/B7)</f>
        <v>0.60362109537626207</v>
      </c>
      <c r="D15" s="1" t="s">
        <v>143</v>
      </c>
      <c r="E15" s="48">
        <f>((LN((10000000)/E12)/LN(2))/E7)</f>
        <v>0.43291851801312281</v>
      </c>
    </row>
    <row r="16" spans="1:6">
      <c r="A16" s="1" t="s">
        <v>144</v>
      </c>
      <c r="B16" s="1">
        <v>0.6</v>
      </c>
      <c r="C16" t="s">
        <v>145</v>
      </c>
      <c r="D16" s="1" t="s">
        <v>144</v>
      </c>
      <c r="E16" s="1">
        <v>0.6</v>
      </c>
      <c r="F16" s="65" t="s">
        <v>145</v>
      </c>
    </row>
    <row r="17" spans="1:6">
      <c r="A17" s="1" t="s">
        <v>147</v>
      </c>
      <c r="B17" s="1"/>
      <c r="D17" s="1" t="s">
        <v>147</v>
      </c>
      <c r="E17" s="1"/>
    </row>
    <row r="18" spans="1:6">
      <c r="A18" s="1" t="s">
        <v>148</v>
      </c>
      <c r="B18" s="1"/>
      <c r="D18" s="1" t="s">
        <v>148</v>
      </c>
      <c r="E18" s="1"/>
    </row>
    <row r="19" spans="1:6">
      <c r="A19" s="1" t="s">
        <v>149</v>
      </c>
      <c r="B19" s="1"/>
      <c r="D19" s="1" t="s">
        <v>149</v>
      </c>
      <c r="E19" s="1"/>
    </row>
    <row r="20" spans="1:6">
      <c r="A20" s="74" t="s">
        <v>150</v>
      </c>
      <c r="B20" s="49">
        <f>100/B9</f>
        <v>8.9285714285714292E-6</v>
      </c>
      <c r="C20" s="62"/>
      <c r="D20" s="49" t="s">
        <v>150</v>
      </c>
      <c r="E20" s="49">
        <f>100/E9</f>
        <v>5.8823529411764709E-8</v>
      </c>
    </row>
    <row r="22" spans="1:6">
      <c r="A22" s="1" t="s">
        <v>129</v>
      </c>
      <c r="B22" s="40" t="s">
        <v>113</v>
      </c>
      <c r="D22" s="1" t="s">
        <v>129</v>
      </c>
      <c r="E22" s="40">
        <v>215</v>
      </c>
    </row>
    <row r="23" spans="1:6">
      <c r="A23" s="1" t="s">
        <v>1</v>
      </c>
      <c r="B23" s="41" t="s">
        <v>196</v>
      </c>
      <c r="D23" s="1" t="s">
        <v>1</v>
      </c>
      <c r="E23" s="41" t="s">
        <v>197</v>
      </c>
    </row>
    <row r="24" spans="1:6">
      <c r="A24" s="1" t="s">
        <v>133</v>
      </c>
      <c r="B24" s="43">
        <v>16.7</v>
      </c>
      <c r="D24" s="1" t="s">
        <v>133</v>
      </c>
      <c r="E24" s="43">
        <v>3.77</v>
      </c>
    </row>
    <row r="25" spans="1:6">
      <c r="A25" s="1" t="s">
        <v>134</v>
      </c>
      <c r="B25" s="98">
        <v>17.18</v>
      </c>
      <c r="D25" s="1" t="s">
        <v>134</v>
      </c>
      <c r="E25" s="43">
        <v>15.5</v>
      </c>
    </row>
    <row r="26" spans="1:6">
      <c r="A26" s="1" t="s">
        <v>135</v>
      </c>
      <c r="B26" s="1">
        <v>5</v>
      </c>
      <c r="D26" s="1" t="s">
        <v>135</v>
      </c>
      <c r="E26" s="93">
        <v>4</v>
      </c>
    </row>
    <row r="27" spans="1:6">
      <c r="A27" s="1" t="s">
        <v>136</v>
      </c>
      <c r="B27" s="46">
        <v>9800000</v>
      </c>
      <c r="D27" s="1" t="s">
        <v>136</v>
      </c>
      <c r="E27" s="46">
        <v>4300000000</v>
      </c>
    </row>
    <row r="28" spans="1:6">
      <c r="A28" s="1" t="s">
        <v>137</v>
      </c>
      <c r="B28" s="39">
        <f>(100000)/B27</f>
        <v>1.020408163265306E-2</v>
      </c>
      <c r="D28" s="1" t="s">
        <v>137</v>
      </c>
      <c r="E28" s="39">
        <f>(100000)/E27</f>
        <v>2.3255813953488371E-5</v>
      </c>
    </row>
    <row r="29" spans="1:6">
      <c r="A29" s="1" t="s">
        <v>138</v>
      </c>
      <c r="B29" s="48">
        <f>B28*1000</f>
        <v>10.204081632653061</v>
      </c>
      <c r="D29" s="1" t="s">
        <v>138</v>
      </c>
      <c r="E29" s="99">
        <f>E28*1000</f>
        <v>2.3255813953488372E-2</v>
      </c>
      <c r="F29" t="s">
        <v>227</v>
      </c>
    </row>
    <row r="30" spans="1:6">
      <c r="A30" s="1" t="s">
        <v>140</v>
      </c>
      <c r="B30" s="39">
        <f>(B28*B27)/10</f>
        <v>9999.9999999999982</v>
      </c>
      <c r="D30" s="1" t="s">
        <v>140</v>
      </c>
      <c r="E30" s="39">
        <f>(E28*E27)/10</f>
        <v>10000</v>
      </c>
    </row>
    <row r="31" spans="1:6">
      <c r="A31" s="1" t="s">
        <v>141</v>
      </c>
      <c r="B31" s="39">
        <f>(100)/B27</f>
        <v>1.0204081632653061E-5</v>
      </c>
      <c r="D31" s="1" t="s">
        <v>141</v>
      </c>
      <c r="E31" s="39">
        <f>(100)/E27</f>
        <v>2.3255813953488372E-8</v>
      </c>
    </row>
    <row r="32" spans="1:6">
      <c r="A32" s="1" t="s">
        <v>142</v>
      </c>
      <c r="B32" s="39">
        <f>100/EXP((B25*B34*LN(2))+LN(B30))</f>
        <v>7.8882888438438318E-6</v>
      </c>
      <c r="D32" s="1" t="s">
        <v>142</v>
      </c>
      <c r="E32" s="39">
        <f>100/EXP((E25*E34*LN(2))+LN(E30))</f>
        <v>1.586430461633274E-5</v>
      </c>
    </row>
    <row r="33" spans="1:6">
      <c r="A33" s="1" t="s">
        <v>143</v>
      </c>
      <c r="B33" s="48">
        <f>((LN((10000000)/B30)/LN(2))/B25)</f>
        <v>0.58008057535867807</v>
      </c>
      <c r="D33" s="1" t="s">
        <v>143</v>
      </c>
      <c r="E33" s="48">
        <f>((LN((10000000)/E30)/LN(2))/E25)</f>
        <v>0.64295382481690888</v>
      </c>
    </row>
    <row r="34" spans="1:6">
      <c r="A34" s="1" t="s">
        <v>144</v>
      </c>
      <c r="B34" s="1">
        <v>0.6</v>
      </c>
      <c r="C34" t="s">
        <v>145</v>
      </c>
      <c r="D34" s="1" t="s">
        <v>144</v>
      </c>
      <c r="E34" s="1">
        <v>0.6</v>
      </c>
      <c r="F34" s="65" t="s">
        <v>145</v>
      </c>
    </row>
    <row r="35" spans="1:6">
      <c r="A35" s="1" t="s">
        <v>147</v>
      </c>
      <c r="B35" s="1"/>
      <c r="D35" s="1" t="s">
        <v>147</v>
      </c>
      <c r="E35" s="1"/>
    </row>
    <row r="36" spans="1:6">
      <c r="A36" s="1" t="s">
        <v>148</v>
      </c>
      <c r="B36" s="1"/>
      <c r="D36" s="1" t="s">
        <v>148</v>
      </c>
      <c r="E36" s="1"/>
    </row>
    <row r="37" spans="1:6">
      <c r="A37" s="1" t="s">
        <v>149</v>
      </c>
      <c r="B37" s="1"/>
      <c r="D37" s="1" t="s">
        <v>149</v>
      </c>
      <c r="E37" s="1"/>
    </row>
    <row r="38" spans="1:6">
      <c r="A38" s="50" t="s">
        <v>150</v>
      </c>
      <c r="B38" s="6">
        <f>100/B27</f>
        <v>1.0204081632653061E-5</v>
      </c>
      <c r="C38" s="62"/>
      <c r="D38" s="74" t="s">
        <v>150</v>
      </c>
      <c r="E38" s="49">
        <f>100/E27</f>
        <v>2.3255813953488372E-8</v>
      </c>
    </row>
    <row r="39" spans="1:6">
      <c r="A39" s="50"/>
      <c r="B39" s="6"/>
      <c r="C39" s="62"/>
      <c r="D39" s="4"/>
      <c r="E39" s="6"/>
    </row>
    <row r="40" spans="1:6">
      <c r="A40" s="1" t="s">
        <v>129</v>
      </c>
      <c r="B40" s="40">
        <v>218</v>
      </c>
      <c r="D40" s="1" t="s">
        <v>129</v>
      </c>
      <c r="E40" s="40">
        <v>235</v>
      </c>
    </row>
    <row r="41" spans="1:6">
      <c r="A41" s="1" t="s">
        <v>1</v>
      </c>
      <c r="B41" s="41" t="s">
        <v>199</v>
      </c>
      <c r="D41" s="1" t="s">
        <v>1</v>
      </c>
      <c r="E41" s="41" t="s">
        <v>200</v>
      </c>
    </row>
    <row r="42" spans="1:6">
      <c r="A42" s="1" t="s">
        <v>133</v>
      </c>
      <c r="B42" s="43">
        <v>7.95</v>
      </c>
      <c r="D42" s="1" t="s">
        <v>133</v>
      </c>
      <c r="E42" s="43">
        <v>5.5</v>
      </c>
    </row>
    <row r="43" spans="1:6">
      <c r="A43" s="1" t="s">
        <v>134</v>
      </c>
      <c r="B43" s="98">
        <v>9.44</v>
      </c>
      <c r="D43" s="1" t="s">
        <v>134</v>
      </c>
      <c r="E43" s="98">
        <v>5.33</v>
      </c>
    </row>
    <row r="44" spans="1:6">
      <c r="A44" s="1" t="s">
        <v>135</v>
      </c>
      <c r="B44" s="1">
        <v>5</v>
      </c>
      <c r="D44" s="1" t="s">
        <v>135</v>
      </c>
      <c r="E44" s="93" t="s">
        <v>228</v>
      </c>
    </row>
    <row r="45" spans="1:6">
      <c r="A45" s="1" t="s">
        <v>136</v>
      </c>
      <c r="B45" s="46">
        <v>12800000</v>
      </c>
      <c r="D45" s="1" t="s">
        <v>136</v>
      </c>
      <c r="E45" s="46">
        <v>6200000</v>
      </c>
    </row>
    <row r="46" spans="1:6">
      <c r="A46" s="1" t="s">
        <v>137</v>
      </c>
      <c r="B46" s="39">
        <f>(100000)/B45</f>
        <v>7.8125E-3</v>
      </c>
      <c r="D46" s="1" t="s">
        <v>137</v>
      </c>
      <c r="E46" s="39">
        <f>(10000)/E45</f>
        <v>1.6129032258064516E-3</v>
      </c>
    </row>
    <row r="47" spans="1:6">
      <c r="A47" s="1" t="s">
        <v>138</v>
      </c>
      <c r="B47" s="48">
        <f>B46*1000</f>
        <v>7.8125</v>
      </c>
      <c r="C47" s="102"/>
      <c r="D47" s="1" t="s">
        <v>138</v>
      </c>
      <c r="E47" s="48">
        <f>E46*1000</f>
        <v>1.6129032258064515</v>
      </c>
      <c r="F47" t="s">
        <v>213</v>
      </c>
    </row>
    <row r="48" spans="1:6">
      <c r="A48" s="1" t="s">
        <v>140</v>
      </c>
      <c r="B48" s="39">
        <f>(B46*B45)/10</f>
        <v>10000</v>
      </c>
      <c r="D48" s="1" t="s">
        <v>140</v>
      </c>
      <c r="E48" s="39">
        <f>(E46*E45)/10</f>
        <v>1000</v>
      </c>
    </row>
    <row r="49" spans="1:6">
      <c r="A49" s="1" t="s">
        <v>141</v>
      </c>
      <c r="B49" s="39">
        <f>(100)/B45</f>
        <v>7.8125000000000002E-6</v>
      </c>
      <c r="D49" s="1" t="s">
        <v>141</v>
      </c>
      <c r="E49" s="39">
        <f>(100)/E45</f>
        <v>1.6129032258064517E-5</v>
      </c>
    </row>
    <row r="50" spans="1:6">
      <c r="A50" s="1" t="s">
        <v>142</v>
      </c>
      <c r="B50" s="39">
        <f>100/EXP((B43*B52*LN(2))+LN(B48))</f>
        <v>1.4397160325108395E-5</v>
      </c>
      <c r="D50" s="1" t="s">
        <v>142</v>
      </c>
      <c r="E50" s="39">
        <f>100/EXP((E43*E52*LN(2))+LN(E48))</f>
        <v>9.7448533490802231E-6</v>
      </c>
    </row>
    <row r="51" spans="1:6">
      <c r="A51" s="1" t="s">
        <v>143</v>
      </c>
      <c r="B51" s="48">
        <f>((LN((10000000)/B48)/LN(2))/B43)</f>
        <v>1.0556974877820009</v>
      </c>
      <c r="D51" s="1" t="s">
        <v>143</v>
      </c>
      <c r="E51" s="48">
        <f>((LN((10000000)/E48)/LN(2))/E43)</f>
        <v>2.4930041987897655</v>
      </c>
    </row>
    <row r="52" spans="1:6">
      <c r="A52" s="1" t="s">
        <v>144</v>
      </c>
      <c r="B52" s="1">
        <v>1</v>
      </c>
      <c r="C52" t="s">
        <v>154</v>
      </c>
      <c r="D52" s="1" t="s">
        <v>144</v>
      </c>
      <c r="E52" s="1">
        <v>2.5</v>
      </c>
      <c r="F52" s="65" t="s">
        <v>153</v>
      </c>
    </row>
    <row r="53" spans="1:6">
      <c r="A53" s="1" t="s">
        <v>147</v>
      </c>
      <c r="B53" s="1"/>
      <c r="D53" s="1" t="s">
        <v>147</v>
      </c>
      <c r="E53" s="1"/>
    </row>
    <row r="54" spans="1:6">
      <c r="A54" s="1" t="s">
        <v>148</v>
      </c>
      <c r="B54" s="1"/>
      <c r="D54" s="1" t="s">
        <v>148</v>
      </c>
      <c r="E54" s="1"/>
    </row>
    <row r="55" spans="1:6">
      <c r="A55" s="1" t="s">
        <v>149</v>
      </c>
      <c r="B55" s="1"/>
      <c r="D55" s="1" t="s">
        <v>149</v>
      </c>
      <c r="E55" s="1"/>
    </row>
    <row r="56" spans="1:6">
      <c r="A56" s="74" t="s">
        <v>150</v>
      </c>
      <c r="B56" s="81">
        <f>100/B45</f>
        <v>7.8125000000000002E-6</v>
      </c>
      <c r="C56" s="7"/>
      <c r="D56" s="74" t="s">
        <v>150</v>
      </c>
      <c r="E56" s="81">
        <f>100/E45</f>
        <v>1.6129032258064517E-5</v>
      </c>
    </row>
    <row r="57" spans="1:6">
      <c r="A57" s="74"/>
      <c r="B57" s="81"/>
      <c r="C57" s="7"/>
      <c r="D57" s="74"/>
      <c r="E57" s="81"/>
    </row>
    <row r="58" spans="1:6">
      <c r="A58" s="1" t="s">
        <v>129</v>
      </c>
      <c r="B58" s="40">
        <v>44</v>
      </c>
      <c r="D58" s="1" t="s">
        <v>129</v>
      </c>
      <c r="E58" s="40" t="s">
        <v>122</v>
      </c>
    </row>
    <row r="59" spans="1:6">
      <c r="A59" s="1" t="s">
        <v>1</v>
      </c>
      <c r="B59" s="41" t="s">
        <v>205</v>
      </c>
      <c r="D59" s="1" t="s">
        <v>1</v>
      </c>
      <c r="E59" s="41" t="s">
        <v>206</v>
      </c>
    </row>
    <row r="60" spans="1:6">
      <c r="A60" s="1" t="s">
        <v>133</v>
      </c>
      <c r="B60" s="43">
        <v>9.9700000000000006</v>
      </c>
      <c r="D60" s="1" t="s">
        <v>133</v>
      </c>
      <c r="E60" s="43">
        <v>11.35</v>
      </c>
    </row>
    <row r="61" spans="1:6">
      <c r="A61" s="1" t="s">
        <v>134</v>
      </c>
      <c r="B61" s="43">
        <v>14.34</v>
      </c>
      <c r="D61" s="1" t="s">
        <v>134</v>
      </c>
      <c r="E61" s="43">
        <v>13.91</v>
      </c>
    </row>
    <row r="62" spans="1:6">
      <c r="A62" s="1" t="s">
        <v>135</v>
      </c>
      <c r="B62" s="1">
        <v>4</v>
      </c>
      <c r="D62" s="1" t="s">
        <v>135</v>
      </c>
      <c r="E62" s="1">
        <v>4</v>
      </c>
    </row>
    <row r="63" spans="1:6">
      <c r="A63" s="1" t="s">
        <v>136</v>
      </c>
      <c r="B63" s="46">
        <v>17400000</v>
      </c>
      <c r="D63" s="1" t="s">
        <v>136</v>
      </c>
      <c r="E63" s="46">
        <v>11200000</v>
      </c>
    </row>
    <row r="64" spans="1:6">
      <c r="A64" s="1" t="s">
        <v>137</v>
      </c>
      <c r="B64" s="39">
        <f>(100000)/B63</f>
        <v>5.7471264367816091E-3</v>
      </c>
      <c r="D64" s="1" t="s">
        <v>137</v>
      </c>
      <c r="E64" s="39">
        <f>(100000)/E63</f>
        <v>8.9285714285714281E-3</v>
      </c>
    </row>
    <row r="65" spans="1:6">
      <c r="A65" s="1" t="s">
        <v>138</v>
      </c>
      <c r="B65" s="48">
        <f>B64*1000</f>
        <v>5.7471264367816088</v>
      </c>
      <c r="D65" s="1" t="s">
        <v>138</v>
      </c>
      <c r="E65" s="48">
        <f>E64*1000</f>
        <v>8.9285714285714288</v>
      </c>
    </row>
    <row r="66" spans="1:6">
      <c r="A66" s="1" t="s">
        <v>140</v>
      </c>
      <c r="B66" s="39">
        <f>(B64*B63)/10</f>
        <v>10000</v>
      </c>
      <c r="D66" s="1" t="s">
        <v>140</v>
      </c>
      <c r="E66" s="39">
        <f>(E64*E63)/10</f>
        <v>10000</v>
      </c>
    </row>
    <row r="67" spans="1:6">
      <c r="A67" s="1" t="s">
        <v>141</v>
      </c>
      <c r="B67" s="39">
        <f>(100)/B63</f>
        <v>5.7471264367816091E-6</v>
      </c>
      <c r="D67" s="1" t="s">
        <v>141</v>
      </c>
      <c r="E67" s="39">
        <f>(100)/E63</f>
        <v>8.9285714285714292E-6</v>
      </c>
    </row>
    <row r="68" spans="1:6">
      <c r="A68" s="1" t="s">
        <v>142</v>
      </c>
      <c r="B68" s="39">
        <f>100/EXP((B61*B70*LN(2))+LN(B66))</f>
        <v>5.7865857956131934E-6</v>
      </c>
      <c r="D68" s="1" t="s">
        <v>142</v>
      </c>
      <c r="E68" s="39">
        <f>100/EXP((E61*E70*LN(2))+LN(E66))</f>
        <v>7.2361001704612133E-6</v>
      </c>
    </row>
    <row r="69" spans="1:6">
      <c r="A69" s="1" t="s">
        <v>143</v>
      </c>
      <c r="B69" s="48">
        <f>((LN((10000000)/B66)/LN(2))/B61)</f>
        <v>0.69496403658731432</v>
      </c>
      <c r="D69" s="1" t="s">
        <v>143</v>
      </c>
      <c r="E69" s="48">
        <f>((LN((10000000)/E66)/LN(2))/E61)</f>
        <v>0.7164474683437877</v>
      </c>
    </row>
    <row r="70" spans="1:6">
      <c r="A70" s="1" t="s">
        <v>144</v>
      </c>
      <c r="B70" s="1">
        <v>0.75</v>
      </c>
      <c r="C70" t="s">
        <v>146</v>
      </c>
      <c r="D70" s="1" t="s">
        <v>144</v>
      </c>
      <c r="E70" s="1">
        <v>0.75</v>
      </c>
      <c r="F70" s="65" t="s">
        <v>146</v>
      </c>
    </row>
    <row r="71" spans="1:6">
      <c r="A71" s="1" t="s">
        <v>147</v>
      </c>
      <c r="B71" s="1"/>
      <c r="D71" s="1" t="s">
        <v>147</v>
      </c>
      <c r="E71" s="1"/>
    </row>
    <row r="72" spans="1:6">
      <c r="A72" s="1" t="s">
        <v>148</v>
      </c>
      <c r="B72" s="1"/>
      <c r="D72" s="1" t="s">
        <v>148</v>
      </c>
      <c r="E72" s="1"/>
    </row>
    <row r="73" spans="1:6">
      <c r="A73" s="42" t="s">
        <v>149</v>
      </c>
      <c r="B73" s="42"/>
      <c r="D73" s="42" t="s">
        <v>149</v>
      </c>
      <c r="E73" s="42"/>
    </row>
    <row r="74" spans="1:6">
      <c r="A74" s="74" t="s">
        <v>150</v>
      </c>
      <c r="B74" s="49">
        <f>100/B63</f>
        <v>5.7471264367816091E-6</v>
      </c>
      <c r="C74" s="62"/>
      <c r="D74" s="49" t="s">
        <v>150</v>
      </c>
      <c r="E74" s="49">
        <f>100/E63</f>
        <v>8.9285714285714292E-6</v>
      </c>
    </row>
    <row r="75" spans="1:6">
      <c r="A75" s="7"/>
      <c r="B75" s="13"/>
      <c r="C75" s="7"/>
      <c r="D75" s="7"/>
      <c r="E75" s="13"/>
      <c r="F75" s="4"/>
    </row>
    <row r="76" spans="1:6">
      <c r="A76" s="1" t="s">
        <v>129</v>
      </c>
      <c r="B76" s="40" t="s">
        <v>124</v>
      </c>
      <c r="C76" s="4"/>
      <c r="D76" s="1" t="s">
        <v>129</v>
      </c>
      <c r="E76" s="1" t="s">
        <v>126</v>
      </c>
    </row>
    <row r="77" spans="1:6">
      <c r="A77" s="105" t="s">
        <v>1</v>
      </c>
      <c r="B77" s="106" t="s">
        <v>207</v>
      </c>
      <c r="D77" s="105" t="s">
        <v>1</v>
      </c>
      <c r="E77" s="40" t="s">
        <v>208</v>
      </c>
    </row>
    <row r="78" spans="1:6">
      <c r="A78" s="1" t="s">
        <v>133</v>
      </c>
      <c r="B78" s="43">
        <v>7.72</v>
      </c>
      <c r="D78" s="1" t="s">
        <v>133</v>
      </c>
      <c r="E78" s="43">
        <v>6.41</v>
      </c>
    </row>
    <row r="79" spans="1:6">
      <c r="A79" s="1" t="s">
        <v>134</v>
      </c>
      <c r="B79" s="43">
        <v>10.06</v>
      </c>
      <c r="D79" s="1" t="s">
        <v>134</v>
      </c>
      <c r="E79" s="43">
        <v>12.45</v>
      </c>
    </row>
    <row r="80" spans="1:6">
      <c r="A80" s="1" t="s">
        <v>135</v>
      </c>
      <c r="B80" s="1">
        <v>4</v>
      </c>
      <c r="D80" s="1" t="s">
        <v>135</v>
      </c>
      <c r="E80" s="1">
        <v>4</v>
      </c>
    </row>
    <row r="81" spans="1:6">
      <c r="A81" s="1" t="s">
        <v>136</v>
      </c>
      <c r="B81" s="46">
        <v>7100000</v>
      </c>
      <c r="D81" s="1" t="s">
        <v>136</v>
      </c>
      <c r="E81" s="46">
        <v>61000000</v>
      </c>
    </row>
    <row r="82" spans="1:6">
      <c r="A82" s="1" t="s">
        <v>137</v>
      </c>
      <c r="B82" s="39">
        <f>(100000)/B81</f>
        <v>1.4084507042253521E-2</v>
      </c>
      <c r="D82" s="1" t="s">
        <v>137</v>
      </c>
      <c r="E82" s="39">
        <f>(100000)/E81</f>
        <v>1.639344262295082E-3</v>
      </c>
    </row>
    <row r="83" spans="1:6">
      <c r="A83" s="1" t="s">
        <v>138</v>
      </c>
      <c r="B83" s="48">
        <f>B82*1000</f>
        <v>14.084507042253522</v>
      </c>
      <c r="D83" s="1" t="s">
        <v>138</v>
      </c>
      <c r="E83" s="48">
        <f>E82*1000</f>
        <v>1.639344262295082</v>
      </c>
      <c r="F83" s="65" t="s">
        <v>229</v>
      </c>
    </row>
    <row r="84" spans="1:6">
      <c r="A84" s="1" t="s">
        <v>140</v>
      </c>
      <c r="B84" s="39">
        <f>(B82*B81)/10</f>
        <v>10000</v>
      </c>
      <c r="D84" s="1" t="s">
        <v>140</v>
      </c>
      <c r="E84" s="39">
        <f>(E82*E81)/10</f>
        <v>10000</v>
      </c>
    </row>
    <row r="85" spans="1:6">
      <c r="A85" s="1" t="s">
        <v>141</v>
      </c>
      <c r="B85" s="39">
        <f>(100)/B81</f>
        <v>1.4084507042253522E-5</v>
      </c>
      <c r="D85" s="1" t="s">
        <v>141</v>
      </c>
      <c r="E85" s="39">
        <f>(100)/E81</f>
        <v>1.6393442622950819E-6</v>
      </c>
    </row>
    <row r="86" spans="1:6">
      <c r="A86" s="1" t="s">
        <v>142</v>
      </c>
      <c r="B86" s="39">
        <f>100/EXP((B79*B88*LN(2))+LN(B84))</f>
        <v>9.3678136652857697E-6</v>
      </c>
      <c r="D86" s="1" t="s">
        <v>142</v>
      </c>
      <c r="E86" s="39">
        <f>100/EXP((E79*E88*LN(2))+LN(E84))</f>
        <v>1.7872139843086236E-6</v>
      </c>
    </row>
    <row r="87" spans="1:6">
      <c r="A87" s="1" t="s">
        <v>143</v>
      </c>
      <c r="B87" s="48">
        <f>((LN((10000000)/B84)/LN(2))/B79)</f>
        <v>0.99063462074175812</v>
      </c>
      <c r="D87" s="1" t="s">
        <v>143</v>
      </c>
      <c r="E87" s="48">
        <f>((LN((10000000)/E84)/LN(2))/E79)</f>
        <v>0.8004646011776777</v>
      </c>
    </row>
    <row r="88" spans="1:6">
      <c r="A88" s="1" t="s">
        <v>144</v>
      </c>
      <c r="B88" s="1">
        <v>1</v>
      </c>
      <c r="C88" t="s">
        <v>154</v>
      </c>
      <c r="D88" s="1" t="s">
        <v>144</v>
      </c>
      <c r="E88" s="1">
        <v>1</v>
      </c>
      <c r="F88" s="65" t="s">
        <v>154</v>
      </c>
    </row>
    <row r="89" spans="1:6">
      <c r="A89" s="1" t="s">
        <v>147</v>
      </c>
      <c r="B89" s="1"/>
      <c r="D89" s="1" t="s">
        <v>147</v>
      </c>
      <c r="E89" s="1"/>
    </row>
    <row r="90" spans="1:6">
      <c r="A90" s="1" t="s">
        <v>148</v>
      </c>
      <c r="B90" s="1"/>
      <c r="D90" s="1" t="s">
        <v>148</v>
      </c>
      <c r="E90" s="1"/>
    </row>
    <row r="91" spans="1:6">
      <c r="A91" s="1" t="s">
        <v>149</v>
      </c>
      <c r="B91" s="1"/>
      <c r="D91" s="1" t="s">
        <v>149</v>
      </c>
      <c r="E91" s="1"/>
    </row>
    <row r="92" spans="1:6">
      <c r="A92" s="74" t="s">
        <v>150</v>
      </c>
      <c r="B92" s="49">
        <f>100/B81</f>
        <v>1.4084507042253522E-5</v>
      </c>
      <c r="C92" s="62"/>
      <c r="D92" s="49" t="s">
        <v>150</v>
      </c>
      <c r="E92" s="49">
        <f>100/E81</f>
        <v>1.6393442622950819E-6</v>
      </c>
    </row>
    <row r="93" spans="1:6">
      <c r="A93" s="7"/>
      <c r="C93" s="7"/>
      <c r="D93" s="7"/>
    </row>
    <row r="94" spans="1:6">
      <c r="A94" s="7"/>
      <c r="B94" s="1" t="s">
        <v>155</v>
      </c>
    </row>
    <row r="95" spans="1:6">
      <c r="A95" s="7"/>
      <c r="B95" s="44">
        <v>9.9999999999999995E-7</v>
      </c>
    </row>
    <row r="96" spans="1:6">
      <c r="A96" s="7"/>
      <c r="B96" s="44">
        <v>5.0000000000000004E-6</v>
      </c>
    </row>
    <row r="97" spans="1:2">
      <c r="A97" s="7"/>
      <c r="B97" s="45">
        <v>1.0000000000000001E-5</v>
      </c>
    </row>
    <row r="98" spans="1:2">
      <c r="B98" s="47">
        <v>5.0000000000000002E-5</v>
      </c>
    </row>
  </sheetData>
  <pageMargins left="0.7" right="0.7" top="0.75" bottom="0.75" header="0.3" footer="0.3"/>
  <pageSetup scale="48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F2B51-0E18-4130-B7EB-CD2C493A70EF}">
  <sheetPr>
    <pageSetUpPr fitToPage="1"/>
  </sheetPr>
  <dimension ref="A1:F98"/>
  <sheetViews>
    <sheetView topLeftCell="A63" workbookViewId="0">
      <selection activeCell="H89" sqref="H89"/>
    </sheetView>
  </sheetViews>
  <sheetFormatPr defaultRowHeight="14.45"/>
  <cols>
    <col min="1" max="1" width="44.28515625" bestFit="1" customWidth="1"/>
    <col min="2" max="2" width="19.42578125" bestFit="1" customWidth="1"/>
    <col min="3" max="3" width="13.7109375" customWidth="1"/>
    <col min="4" max="4" width="44.28515625" bestFit="1" customWidth="1"/>
    <col min="5" max="5" width="19.42578125" bestFit="1" customWidth="1"/>
  </cols>
  <sheetData>
    <row r="1" spans="1:3">
      <c r="A1" t="s">
        <v>224</v>
      </c>
    </row>
    <row r="2" spans="1:3">
      <c r="A2" t="s">
        <v>225</v>
      </c>
    </row>
    <row r="4" spans="1:3">
      <c r="A4" s="1" t="s">
        <v>129</v>
      </c>
      <c r="B4" s="40">
        <v>55</v>
      </c>
    </row>
    <row r="5" spans="1:3">
      <c r="A5" s="1" t="s">
        <v>1</v>
      </c>
      <c r="B5" s="41" t="s">
        <v>194</v>
      </c>
    </row>
    <row r="6" spans="1:3">
      <c r="A6" s="1" t="s">
        <v>133</v>
      </c>
      <c r="B6" s="43">
        <v>12.07</v>
      </c>
    </row>
    <row r="7" spans="1:3">
      <c r="A7" s="1" t="s">
        <v>134</v>
      </c>
      <c r="B7" s="43">
        <v>22.4</v>
      </c>
    </row>
    <row r="8" spans="1:3">
      <c r="A8" s="1" t="s">
        <v>135</v>
      </c>
      <c r="B8" s="74">
        <v>5</v>
      </c>
    </row>
    <row r="9" spans="1:3">
      <c r="A9" s="1" t="s">
        <v>136</v>
      </c>
      <c r="B9" s="46">
        <v>152000000</v>
      </c>
    </row>
    <row r="10" spans="1:3">
      <c r="A10" s="1" t="s">
        <v>137</v>
      </c>
      <c r="B10" s="39">
        <f>(100000)/B9</f>
        <v>6.5789473684210525E-4</v>
      </c>
    </row>
    <row r="11" spans="1:3">
      <c r="A11" s="1" t="s">
        <v>138</v>
      </c>
      <c r="B11" s="48">
        <f>B10*1000</f>
        <v>0.6578947368421052</v>
      </c>
      <c r="C11" t="s">
        <v>230</v>
      </c>
    </row>
    <row r="12" spans="1:3">
      <c r="A12" s="1" t="s">
        <v>140</v>
      </c>
      <c r="B12" s="39">
        <f>(B10*B9)/10</f>
        <v>10000</v>
      </c>
    </row>
    <row r="13" spans="1:3">
      <c r="A13" s="1" t="s">
        <v>141</v>
      </c>
      <c r="B13" s="39">
        <f>(100)/B9</f>
        <v>6.5789473684210528E-7</v>
      </c>
    </row>
    <row r="14" spans="1:3">
      <c r="A14" s="1" t="s">
        <v>142</v>
      </c>
      <c r="B14" s="39">
        <f>100/EXP((B7*B16*LN(2))+LN(B12))</f>
        <v>8.9982252031927446E-7</v>
      </c>
    </row>
    <row r="15" spans="1:3">
      <c r="A15" s="1" t="s">
        <v>143</v>
      </c>
      <c r="B15" s="48">
        <f>((LN((10000000)/B12)/LN(2))/B7)</f>
        <v>0.44490108413670032</v>
      </c>
    </row>
    <row r="16" spans="1:3">
      <c r="A16" s="1" t="s">
        <v>144</v>
      </c>
      <c r="B16" s="1">
        <v>0.6</v>
      </c>
      <c r="C16" s="65" t="s">
        <v>145</v>
      </c>
    </row>
    <row r="17" spans="1:2">
      <c r="A17" s="1" t="s">
        <v>147</v>
      </c>
      <c r="B17" s="1"/>
    </row>
    <row r="18" spans="1:2">
      <c r="A18" s="1" t="s">
        <v>148</v>
      </c>
      <c r="B18" s="1"/>
    </row>
    <row r="19" spans="1:2">
      <c r="A19" s="1" t="s">
        <v>149</v>
      </c>
      <c r="B19" s="1"/>
    </row>
    <row r="20" spans="1:2">
      <c r="A20" s="49" t="s">
        <v>150</v>
      </c>
      <c r="B20" s="49">
        <f>100/B9</f>
        <v>6.5789473684210528E-7</v>
      </c>
    </row>
    <row r="22" spans="1:2">
      <c r="A22" s="1" t="s">
        <v>129</v>
      </c>
      <c r="B22" s="40">
        <v>215</v>
      </c>
    </row>
    <row r="23" spans="1:2">
      <c r="A23" s="1" t="s">
        <v>1</v>
      </c>
      <c r="B23" s="41" t="s">
        <v>197</v>
      </c>
    </row>
    <row r="24" spans="1:2">
      <c r="A24" s="1" t="s">
        <v>133</v>
      </c>
      <c r="B24" s="43">
        <v>3.77</v>
      </c>
    </row>
    <row r="25" spans="1:2">
      <c r="A25" s="1" t="s">
        <v>134</v>
      </c>
      <c r="B25" s="43">
        <v>12.13</v>
      </c>
    </row>
    <row r="26" spans="1:2">
      <c r="A26" s="1" t="s">
        <v>135</v>
      </c>
      <c r="B26" s="74">
        <v>5</v>
      </c>
    </row>
    <row r="27" spans="1:2">
      <c r="A27" s="1" t="s">
        <v>136</v>
      </c>
      <c r="B27" s="46">
        <v>4000000</v>
      </c>
    </row>
    <row r="28" spans="1:2">
      <c r="A28" s="1" t="s">
        <v>137</v>
      </c>
      <c r="B28" s="39">
        <f>(100000)/B27</f>
        <v>2.5000000000000001E-2</v>
      </c>
    </row>
    <row r="29" spans="1:2">
      <c r="A29" s="1" t="s">
        <v>138</v>
      </c>
      <c r="B29" s="99">
        <f>B28*1000</f>
        <v>25</v>
      </c>
    </row>
    <row r="30" spans="1:2">
      <c r="A30" s="1" t="s">
        <v>140</v>
      </c>
      <c r="B30" s="39">
        <f>(B28*B27)/10</f>
        <v>10000</v>
      </c>
    </row>
    <row r="31" spans="1:2">
      <c r="A31" s="1" t="s">
        <v>141</v>
      </c>
      <c r="B31" s="39">
        <f>(100)/B27</f>
        <v>2.5000000000000001E-5</v>
      </c>
    </row>
    <row r="32" spans="1:2">
      <c r="A32" s="1" t="s">
        <v>142</v>
      </c>
      <c r="B32" s="39">
        <f>100/EXP((B25*B34*LN(2))+LN(B30))</f>
        <v>2.2310338140366244E-6</v>
      </c>
    </row>
    <row r="33" spans="1:5">
      <c r="A33" s="1" t="s">
        <v>143</v>
      </c>
      <c r="B33" s="48">
        <f>((LN((10000000)/B30)/LN(2))/B25)</f>
        <v>0.82158155685590162</v>
      </c>
    </row>
    <row r="34" spans="1:5">
      <c r="A34" s="1" t="s">
        <v>144</v>
      </c>
      <c r="B34" s="1">
        <v>1</v>
      </c>
      <c r="C34" s="65" t="s">
        <v>154</v>
      </c>
    </row>
    <row r="35" spans="1:5">
      <c r="A35" s="1" t="s">
        <v>147</v>
      </c>
      <c r="B35" s="1"/>
    </row>
    <row r="36" spans="1:5">
      <c r="A36" s="1" t="s">
        <v>148</v>
      </c>
      <c r="B36" s="1"/>
    </row>
    <row r="37" spans="1:5">
      <c r="A37" s="1" t="s">
        <v>149</v>
      </c>
      <c r="B37" s="1"/>
    </row>
    <row r="38" spans="1:5">
      <c r="A38" s="74" t="s">
        <v>150</v>
      </c>
      <c r="B38" s="49">
        <f>100/B27</f>
        <v>2.5000000000000001E-5</v>
      </c>
    </row>
    <row r="39" spans="1:5">
      <c r="A39" s="50"/>
      <c r="B39" s="6"/>
      <c r="C39" s="62"/>
      <c r="D39" s="4"/>
      <c r="E39" s="6"/>
    </row>
    <row r="40" spans="1:5">
      <c r="A40" s="1" t="s">
        <v>129</v>
      </c>
      <c r="B40" s="40">
        <v>235</v>
      </c>
    </row>
    <row r="41" spans="1:5">
      <c r="A41" s="1" t="s">
        <v>1</v>
      </c>
      <c r="B41" s="41" t="s">
        <v>200</v>
      </c>
    </row>
    <row r="42" spans="1:5">
      <c r="A42" s="1" t="s">
        <v>133</v>
      </c>
      <c r="B42" s="43">
        <v>5.5</v>
      </c>
    </row>
    <row r="43" spans="1:5">
      <c r="A43" s="1" t="s">
        <v>134</v>
      </c>
      <c r="B43" s="98">
        <v>6.17</v>
      </c>
    </row>
    <row r="44" spans="1:5">
      <c r="A44" s="1" t="s">
        <v>135</v>
      </c>
      <c r="B44" s="74">
        <v>5</v>
      </c>
    </row>
    <row r="45" spans="1:5">
      <c r="A45" s="1" t="s">
        <v>136</v>
      </c>
      <c r="B45" s="46">
        <v>110000000</v>
      </c>
    </row>
    <row r="46" spans="1:5">
      <c r="A46" s="1" t="s">
        <v>137</v>
      </c>
      <c r="B46" s="39">
        <f>(10000)/B45</f>
        <v>9.0909090909090904E-5</v>
      </c>
    </row>
    <row r="47" spans="1:5">
      <c r="A47" s="1" t="s">
        <v>138</v>
      </c>
      <c r="B47" s="48">
        <f>B46*1000</f>
        <v>9.0909090909090898E-2</v>
      </c>
      <c r="C47" t="s">
        <v>231</v>
      </c>
    </row>
    <row r="48" spans="1:5">
      <c r="A48" s="1" t="s">
        <v>140</v>
      </c>
      <c r="B48" s="39">
        <f>(B46*B45)/10</f>
        <v>1000</v>
      </c>
    </row>
    <row r="49" spans="1:5">
      <c r="A49" s="1" t="s">
        <v>141</v>
      </c>
      <c r="B49" s="39">
        <f>(100)/B45</f>
        <v>9.0909090909090904E-7</v>
      </c>
    </row>
    <row r="50" spans="1:5">
      <c r="A50" s="1" t="s">
        <v>142</v>
      </c>
      <c r="B50" s="39">
        <f>100/EXP((B43*B52*LN(2))+LN(B48))</f>
        <v>6.6214192212512308E-6</v>
      </c>
    </row>
    <row r="51" spans="1:5">
      <c r="A51" s="1" t="s">
        <v>143</v>
      </c>
      <c r="B51" s="48">
        <f>((LN((10000000)/B48)/LN(2))/B43)</f>
        <v>2.1536000615153079</v>
      </c>
    </row>
    <row r="52" spans="1:5">
      <c r="A52" s="1" t="s">
        <v>144</v>
      </c>
      <c r="B52" s="1">
        <v>2.25</v>
      </c>
      <c r="C52" s="65" t="s">
        <v>232</v>
      </c>
    </row>
    <row r="53" spans="1:5">
      <c r="A53" s="1" t="s">
        <v>147</v>
      </c>
      <c r="B53" s="1"/>
    </row>
    <row r="54" spans="1:5">
      <c r="A54" s="1" t="s">
        <v>148</v>
      </c>
      <c r="B54" s="1"/>
    </row>
    <row r="55" spans="1:5">
      <c r="A55" s="1" t="s">
        <v>149</v>
      </c>
      <c r="B55" s="1"/>
    </row>
    <row r="56" spans="1:5">
      <c r="A56" s="74" t="s">
        <v>150</v>
      </c>
      <c r="B56" s="81">
        <f>100/B45</f>
        <v>9.0909090909090904E-7</v>
      </c>
    </row>
    <row r="57" spans="1:5">
      <c r="A57" s="74"/>
      <c r="B57" s="81"/>
      <c r="C57" s="7"/>
      <c r="D57" s="74"/>
      <c r="E57" s="81"/>
    </row>
    <row r="58" spans="1:5">
      <c r="A58" s="1" t="s">
        <v>129</v>
      </c>
      <c r="B58" s="40">
        <v>44</v>
      </c>
      <c r="D58" s="1" t="s">
        <v>129</v>
      </c>
      <c r="E58" s="40" t="s">
        <v>122</v>
      </c>
    </row>
    <row r="59" spans="1:5">
      <c r="A59" s="1" t="s">
        <v>1</v>
      </c>
      <c r="B59" s="41" t="s">
        <v>205</v>
      </c>
      <c r="D59" s="1" t="s">
        <v>1</v>
      </c>
      <c r="E59" s="41" t="s">
        <v>206</v>
      </c>
    </row>
    <row r="60" spans="1:5">
      <c r="A60" s="1" t="s">
        <v>133</v>
      </c>
      <c r="B60" s="43">
        <v>9.9700000000000006</v>
      </c>
      <c r="D60" s="1" t="s">
        <v>133</v>
      </c>
      <c r="E60" s="43">
        <v>11.35</v>
      </c>
    </row>
    <row r="61" spans="1:5">
      <c r="A61" s="1" t="s">
        <v>134</v>
      </c>
      <c r="B61" s="43">
        <v>10.93</v>
      </c>
      <c r="D61" s="1" t="s">
        <v>134</v>
      </c>
      <c r="E61" s="43">
        <v>17.440000000000001</v>
      </c>
    </row>
    <row r="62" spans="1:5">
      <c r="A62" s="1" t="s">
        <v>135</v>
      </c>
      <c r="B62" s="1">
        <v>5</v>
      </c>
      <c r="D62" s="1" t="s">
        <v>135</v>
      </c>
      <c r="E62" s="1">
        <v>5</v>
      </c>
    </row>
    <row r="63" spans="1:5">
      <c r="A63" s="1" t="s">
        <v>136</v>
      </c>
      <c r="B63" s="46">
        <v>3100000</v>
      </c>
      <c r="D63" s="1" t="s">
        <v>136</v>
      </c>
      <c r="E63" s="46">
        <v>101000000</v>
      </c>
    </row>
    <row r="64" spans="1:5">
      <c r="A64" s="1" t="s">
        <v>137</v>
      </c>
      <c r="B64" s="39">
        <f>(100000)/B63</f>
        <v>3.2258064516129031E-2</v>
      </c>
      <c r="D64" s="1" t="s">
        <v>137</v>
      </c>
      <c r="E64" s="39">
        <f>(100000)/E63</f>
        <v>9.9009900990099011E-4</v>
      </c>
    </row>
    <row r="65" spans="1:6">
      <c r="A65" s="1" t="s">
        <v>138</v>
      </c>
      <c r="B65" s="48">
        <f>B64*1000</f>
        <v>32.258064516129032</v>
      </c>
      <c r="D65" s="1" t="s">
        <v>138</v>
      </c>
      <c r="E65" s="48">
        <f>E64*1000</f>
        <v>0.99009900990099009</v>
      </c>
      <c r="F65" t="s">
        <v>233</v>
      </c>
    </row>
    <row r="66" spans="1:6">
      <c r="A66" s="1" t="s">
        <v>140</v>
      </c>
      <c r="B66" s="39">
        <f>(B64*B63)/10</f>
        <v>10000</v>
      </c>
      <c r="D66" s="1" t="s">
        <v>140</v>
      </c>
      <c r="E66" s="39">
        <f>(E64*E63)/10</f>
        <v>10000</v>
      </c>
    </row>
    <row r="67" spans="1:6">
      <c r="A67" s="1" t="s">
        <v>141</v>
      </c>
      <c r="B67" s="39">
        <f>(100)/B63</f>
        <v>3.2258064516129034E-5</v>
      </c>
      <c r="D67" s="1" t="s">
        <v>141</v>
      </c>
      <c r="E67" s="39">
        <f>(100)/E63</f>
        <v>9.9009900990099017E-7</v>
      </c>
    </row>
    <row r="68" spans="1:6">
      <c r="A68" s="1" t="s">
        <v>142</v>
      </c>
      <c r="B68" s="39">
        <f>100/EXP((B61*B70*LN(2))+LN(B66))</f>
        <v>5.1255697442532451E-6</v>
      </c>
      <c r="D68" s="1" t="s">
        <v>142</v>
      </c>
      <c r="E68" s="39">
        <f>100/EXP((E61*E70*LN(2))+LN(E66))</f>
        <v>1.1548555257880783E-6</v>
      </c>
    </row>
    <row r="69" spans="1:6">
      <c r="A69" s="1" t="s">
        <v>143</v>
      </c>
      <c r="B69" s="48">
        <f>((LN((10000000)/B66)/LN(2))/B61)</f>
        <v>0.91178264269552489</v>
      </c>
      <c r="D69" s="1" t="s">
        <v>143</v>
      </c>
      <c r="E69" s="48">
        <f>((LN((10000000)/E66)/LN(2))/E61)</f>
        <v>0.57143258512970674</v>
      </c>
    </row>
    <row r="70" spans="1:6">
      <c r="A70" s="1" t="s">
        <v>144</v>
      </c>
      <c r="B70" s="1">
        <v>1</v>
      </c>
      <c r="C70" t="s">
        <v>154</v>
      </c>
      <c r="D70" s="1" t="s">
        <v>144</v>
      </c>
      <c r="E70" s="1">
        <v>0.75</v>
      </c>
      <c r="F70" s="65" t="s">
        <v>146</v>
      </c>
    </row>
    <row r="71" spans="1:6">
      <c r="A71" s="1" t="s">
        <v>147</v>
      </c>
      <c r="B71" s="1"/>
      <c r="D71" s="1" t="s">
        <v>147</v>
      </c>
      <c r="E71" s="1"/>
    </row>
    <row r="72" spans="1:6">
      <c r="A72" s="1" t="s">
        <v>148</v>
      </c>
      <c r="B72" s="1"/>
      <c r="D72" s="1" t="s">
        <v>148</v>
      </c>
      <c r="E72" s="1"/>
    </row>
    <row r="73" spans="1:6">
      <c r="A73" s="42" t="s">
        <v>149</v>
      </c>
      <c r="B73" s="42"/>
      <c r="D73" s="42" t="s">
        <v>149</v>
      </c>
      <c r="E73" s="42"/>
    </row>
    <row r="74" spans="1:6">
      <c r="A74" s="74" t="s">
        <v>150</v>
      </c>
      <c r="B74" s="49">
        <f>100/B63</f>
        <v>3.2258064516129034E-5</v>
      </c>
      <c r="C74" s="62"/>
      <c r="D74" s="49" t="s">
        <v>150</v>
      </c>
      <c r="E74" s="49">
        <f>100/E63</f>
        <v>9.9009900990099017E-7</v>
      </c>
    </row>
    <row r="75" spans="1:6">
      <c r="A75" s="7"/>
      <c r="B75" s="13"/>
      <c r="C75" s="7"/>
      <c r="D75" s="7"/>
      <c r="E75" s="13"/>
      <c r="F75" s="4"/>
    </row>
    <row r="76" spans="1:6">
      <c r="A76" s="1" t="s">
        <v>129</v>
      </c>
      <c r="B76" s="40" t="s">
        <v>124</v>
      </c>
      <c r="C76" s="4"/>
      <c r="D76" s="1" t="s">
        <v>129</v>
      </c>
      <c r="E76" s="1" t="s">
        <v>126</v>
      </c>
    </row>
    <row r="77" spans="1:6">
      <c r="A77" s="105" t="s">
        <v>1</v>
      </c>
      <c r="B77" s="106" t="s">
        <v>207</v>
      </c>
      <c r="D77" s="105" t="s">
        <v>1</v>
      </c>
      <c r="E77" s="40" t="s">
        <v>208</v>
      </c>
    </row>
    <row r="78" spans="1:6">
      <c r="A78" s="1" t="s">
        <v>133</v>
      </c>
      <c r="B78" s="43">
        <v>7.72</v>
      </c>
      <c r="D78" s="1" t="s">
        <v>133</v>
      </c>
      <c r="E78" s="43">
        <v>6.41</v>
      </c>
    </row>
    <row r="79" spans="1:6">
      <c r="A79" s="1" t="s">
        <v>134</v>
      </c>
      <c r="B79" s="43">
        <v>9.15</v>
      </c>
      <c r="D79" s="1" t="s">
        <v>134</v>
      </c>
      <c r="E79" s="43">
        <v>13.17</v>
      </c>
    </row>
    <row r="80" spans="1:6">
      <c r="A80" s="1" t="s">
        <v>135</v>
      </c>
      <c r="B80" s="1">
        <v>5</v>
      </c>
      <c r="D80" s="1" t="s">
        <v>135</v>
      </c>
      <c r="E80" s="1">
        <v>5</v>
      </c>
    </row>
    <row r="81" spans="1:6">
      <c r="A81" s="1" t="s">
        <v>136</v>
      </c>
      <c r="B81" s="46">
        <v>5100000</v>
      </c>
      <c r="D81" s="1" t="s">
        <v>136</v>
      </c>
      <c r="E81" s="46">
        <v>81000000</v>
      </c>
    </row>
    <row r="82" spans="1:6">
      <c r="A82" s="1" t="s">
        <v>137</v>
      </c>
      <c r="B82" s="39">
        <f>(100000)/B81</f>
        <v>1.9607843137254902E-2</v>
      </c>
      <c r="D82" s="1" t="s">
        <v>137</v>
      </c>
      <c r="E82" s="39">
        <f>(100000)/E81</f>
        <v>1.2345679012345679E-3</v>
      </c>
    </row>
    <row r="83" spans="1:6">
      <c r="A83" s="1" t="s">
        <v>138</v>
      </c>
      <c r="B83" s="48">
        <f>B82*1000</f>
        <v>19.607843137254903</v>
      </c>
      <c r="D83" s="1" t="s">
        <v>138</v>
      </c>
      <c r="E83" s="48">
        <f>E82*1000</f>
        <v>1.2345679012345678</v>
      </c>
      <c r="F83" s="65" t="s">
        <v>234</v>
      </c>
    </row>
    <row r="84" spans="1:6">
      <c r="A84" s="1" t="s">
        <v>140</v>
      </c>
      <c r="B84" s="39">
        <f>(B82*B81)/10</f>
        <v>10000</v>
      </c>
      <c r="D84" s="1" t="s">
        <v>140</v>
      </c>
      <c r="E84" s="39">
        <f>(E82*E81)/10</f>
        <v>10000</v>
      </c>
    </row>
    <row r="85" spans="1:6">
      <c r="A85" s="1" t="s">
        <v>141</v>
      </c>
      <c r="B85" s="39">
        <f>(100)/B81</f>
        <v>1.9607843137254903E-5</v>
      </c>
      <c r="D85" s="1" t="s">
        <v>141</v>
      </c>
      <c r="E85" s="39">
        <f>(100)/E81</f>
        <v>1.2345679012345679E-6</v>
      </c>
    </row>
    <row r="86" spans="1:6">
      <c r="A86" s="1" t="s">
        <v>142</v>
      </c>
      <c r="B86" s="39">
        <f>100/EXP((B79*B88*LN(2))+LN(B84))</f>
        <v>1.7602548097867756E-5</v>
      </c>
      <c r="D86" s="1" t="s">
        <v>142</v>
      </c>
      <c r="E86" s="39">
        <f>100/EXP((E79*E88*LN(2))+LN(E84))</f>
        <v>1.0631051397701479E-5</v>
      </c>
    </row>
    <row r="87" spans="1:6">
      <c r="A87" s="1" t="s">
        <v>143</v>
      </c>
      <c r="B87" s="48">
        <f>((LN((10000000)/B84)/LN(2))/B79)</f>
        <v>1.089156752422086</v>
      </c>
      <c r="D87" s="1" t="s">
        <v>143</v>
      </c>
      <c r="E87" s="48">
        <f>((LN((10000000)/E84)/LN(2))/E79)</f>
        <v>0.75670343847092536</v>
      </c>
    </row>
    <row r="88" spans="1:6">
      <c r="A88" s="1" t="s">
        <v>144</v>
      </c>
      <c r="B88" s="1">
        <v>1</v>
      </c>
      <c r="C88" t="s">
        <v>154</v>
      </c>
      <c r="D88" s="1" t="s">
        <v>144</v>
      </c>
      <c r="E88" s="1">
        <v>0.75</v>
      </c>
      <c r="F88" s="65" t="s">
        <v>146</v>
      </c>
    </row>
    <row r="89" spans="1:6">
      <c r="A89" s="1" t="s">
        <v>147</v>
      </c>
      <c r="B89" s="1"/>
      <c r="D89" s="1" t="s">
        <v>147</v>
      </c>
      <c r="E89" s="1"/>
    </row>
    <row r="90" spans="1:6">
      <c r="A90" s="1" t="s">
        <v>148</v>
      </c>
      <c r="B90" s="1"/>
      <c r="D90" s="1" t="s">
        <v>148</v>
      </c>
      <c r="E90" s="1"/>
    </row>
    <row r="91" spans="1:6">
      <c r="A91" s="1" t="s">
        <v>149</v>
      </c>
      <c r="B91" s="1"/>
      <c r="D91" s="1" t="s">
        <v>149</v>
      </c>
      <c r="E91" s="1"/>
    </row>
    <row r="92" spans="1:6">
      <c r="A92" s="74" t="s">
        <v>150</v>
      </c>
      <c r="B92" s="49">
        <f>100/B81</f>
        <v>1.9607843137254903E-5</v>
      </c>
      <c r="C92" s="62"/>
      <c r="D92" s="49" t="s">
        <v>150</v>
      </c>
      <c r="E92" s="49">
        <f>100/E81</f>
        <v>1.2345679012345679E-6</v>
      </c>
    </row>
    <row r="93" spans="1:6">
      <c r="A93" s="7"/>
      <c r="C93" s="7"/>
      <c r="D93" s="7"/>
    </row>
    <row r="94" spans="1:6">
      <c r="A94" s="7"/>
      <c r="B94" s="1" t="s">
        <v>155</v>
      </c>
    </row>
    <row r="95" spans="1:6">
      <c r="A95" s="7"/>
      <c r="B95" s="44">
        <v>9.9999999999999995E-7</v>
      </c>
    </row>
    <row r="96" spans="1:6">
      <c r="A96" s="7"/>
      <c r="B96" s="44">
        <v>5.0000000000000004E-6</v>
      </c>
    </row>
    <row r="97" spans="1:2">
      <c r="A97" s="7"/>
      <c r="B97" s="45">
        <v>1.0000000000000001E-5</v>
      </c>
    </row>
    <row r="98" spans="1:2">
      <c r="B98" s="47">
        <v>5.0000000000000002E-5</v>
      </c>
    </row>
  </sheetData>
  <pageMargins left="0.7" right="0.7" top="0.75" bottom="0.75" header="0.3" footer="0.3"/>
  <pageSetup scale="48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95CDF-D964-4F75-87F5-C1729D7BF876}">
  <sheetPr>
    <pageSetUpPr fitToPage="1"/>
  </sheetPr>
  <dimension ref="A3:G29"/>
  <sheetViews>
    <sheetView workbookViewId="0">
      <selection activeCell="G30" sqref="G30:G31"/>
    </sheetView>
  </sheetViews>
  <sheetFormatPr defaultRowHeight="14.45"/>
  <cols>
    <col min="1" max="3" width="18.5703125" customWidth="1"/>
    <col min="4" max="4" width="17.7109375" customWidth="1"/>
    <col min="5" max="5" width="13.85546875" customWidth="1"/>
    <col min="6" max="6" width="13.140625" customWidth="1"/>
    <col min="7" max="7" width="15.42578125" customWidth="1"/>
  </cols>
  <sheetData>
    <row r="3" spans="1:7">
      <c r="A3" s="51" t="s">
        <v>235</v>
      </c>
      <c r="B3" s="51" t="s">
        <v>236</v>
      </c>
      <c r="C3" s="51" t="s">
        <v>129</v>
      </c>
      <c r="D3" s="51" t="s">
        <v>237</v>
      </c>
      <c r="E3" s="51" t="s">
        <v>238</v>
      </c>
      <c r="F3" s="51" t="s">
        <v>239</v>
      </c>
      <c r="G3" s="51" t="s">
        <v>240</v>
      </c>
    </row>
    <row r="4" spans="1:7">
      <c r="A4" s="52"/>
      <c r="B4" s="51"/>
      <c r="C4" s="51"/>
      <c r="D4" s="1"/>
      <c r="E4" s="53"/>
      <c r="F4" s="54"/>
      <c r="G4" s="53"/>
    </row>
    <row r="5" spans="1:7">
      <c r="A5" s="52"/>
      <c r="B5" s="51"/>
      <c r="C5" s="51"/>
      <c r="D5" s="1"/>
      <c r="E5" s="53"/>
      <c r="F5" s="54"/>
      <c r="G5" s="53"/>
    </row>
    <row r="6" spans="1:7">
      <c r="A6" s="52"/>
      <c r="B6" s="51"/>
      <c r="C6" s="51"/>
      <c r="D6" s="1"/>
      <c r="E6" s="53"/>
      <c r="F6" s="54"/>
      <c r="G6" s="53"/>
    </row>
    <row r="7" spans="1:7">
      <c r="A7" s="52"/>
      <c r="B7" s="52"/>
      <c r="C7" s="51"/>
      <c r="D7" s="1"/>
      <c r="E7" s="53"/>
      <c r="F7" s="54"/>
      <c r="G7" s="53"/>
    </row>
    <row r="8" spans="1:7">
      <c r="A8" s="52"/>
      <c r="B8" s="52"/>
      <c r="C8" s="51"/>
      <c r="D8" s="1"/>
      <c r="E8" s="1"/>
      <c r="F8" s="54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/>
      <c r="B12" s="1"/>
      <c r="C12" s="1"/>
      <c r="D12" s="1"/>
      <c r="E12" s="1"/>
      <c r="F12" s="1"/>
      <c r="G12" s="1"/>
    </row>
    <row r="13" spans="1:7">
      <c r="A13" s="1"/>
      <c r="B13" s="1"/>
      <c r="C13" s="1"/>
      <c r="D13" s="1"/>
      <c r="E13" s="1"/>
      <c r="F13" s="1"/>
      <c r="G13" s="1"/>
    </row>
    <row r="17" spans="1:3">
      <c r="B17" s="51" t="s">
        <v>241</v>
      </c>
      <c r="C17" s="51" t="s">
        <v>242</v>
      </c>
    </row>
    <row r="18" spans="1:3">
      <c r="A18" s="51" t="s">
        <v>243</v>
      </c>
      <c r="B18" s="51" t="s">
        <v>244</v>
      </c>
      <c r="C18" s="51" t="s">
        <v>244</v>
      </c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63"/>
      <c r="B21" s="49"/>
      <c r="C21" s="49"/>
    </row>
    <row r="22" spans="1:3">
      <c r="A22" s="63"/>
      <c r="B22" s="49"/>
      <c r="C22" s="49"/>
    </row>
    <row r="23" spans="1:3">
      <c r="A23" s="1"/>
      <c r="B23" s="64"/>
      <c r="C23" s="64"/>
    </row>
    <row r="24" spans="1:3">
      <c r="A24" s="1"/>
      <c r="B24" s="40"/>
      <c r="C24" s="40"/>
    </row>
    <row r="25" spans="1:3">
      <c r="A25" s="1"/>
      <c r="B25" s="1"/>
      <c r="C25" s="1"/>
    </row>
    <row r="26" spans="1:3">
      <c r="A26" s="1"/>
      <c r="B26" s="64"/>
      <c r="C26" s="64"/>
    </row>
    <row r="27" spans="1:3">
      <c r="A27" s="1"/>
      <c r="B27" s="40"/>
      <c r="C27" s="40"/>
    </row>
    <row r="28" spans="1:3">
      <c r="A28" s="1"/>
      <c r="B28" s="40"/>
      <c r="C28" s="40"/>
    </row>
    <row r="29" spans="1:3">
      <c r="A29" s="1"/>
      <c r="B29" s="43"/>
      <c r="C29" s="43"/>
    </row>
  </sheetData>
  <pageMargins left="0.7" right="0.7" top="0.75" bottom="0.75" header="0.3" footer="0.3"/>
  <pageSetup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9AB22-1F7F-47B5-B107-B8BBF98FC1CC}">
  <sheetPr>
    <pageSetUpPr fitToPage="1"/>
  </sheetPr>
  <dimension ref="A1:Z149"/>
  <sheetViews>
    <sheetView zoomScale="91" zoomScaleNormal="91" workbookViewId="0">
      <selection activeCell="M30" sqref="M30"/>
    </sheetView>
  </sheetViews>
  <sheetFormatPr defaultColWidth="9.140625" defaultRowHeight="13.9"/>
  <cols>
    <col min="1" max="1" width="10.140625" style="20" bestFit="1" customWidth="1"/>
    <col min="2" max="2" width="8.85546875" style="16" bestFit="1" customWidth="1"/>
    <col min="3" max="3" width="12.140625" style="17" customWidth="1"/>
    <col min="4" max="4" width="25.140625" style="17" customWidth="1"/>
    <col min="5" max="5" width="12.140625" style="18" bestFit="1" customWidth="1"/>
    <col min="6" max="6" width="6.85546875" style="17" customWidth="1"/>
    <col min="7" max="7" width="8.7109375" style="17" customWidth="1"/>
    <col min="8" max="8" width="17.7109375" style="17" customWidth="1"/>
    <col min="9" max="9" width="10.28515625" style="17" customWidth="1"/>
    <col min="10" max="13" width="9.42578125" style="17" bestFit="1" customWidth="1"/>
    <col min="14" max="14" width="9.140625" style="17" customWidth="1"/>
    <col min="15" max="15" width="9.42578125" style="17" bestFit="1" customWidth="1"/>
    <col min="16" max="19" width="9.140625" style="17" customWidth="1"/>
    <col min="20" max="20" width="57.42578125" style="17" customWidth="1"/>
    <col min="21" max="21" width="13.7109375" style="17" bestFit="1" customWidth="1"/>
    <col min="22" max="22" width="14.7109375" style="17" bestFit="1" customWidth="1"/>
    <col min="23" max="23" width="13.85546875" style="17" bestFit="1" customWidth="1"/>
    <col min="24" max="24" width="14.85546875" style="17" bestFit="1" customWidth="1"/>
    <col min="25" max="25" width="14.5703125" style="17" bestFit="1" customWidth="1"/>
    <col min="26" max="26" width="14.7109375" style="17" bestFit="1" customWidth="1"/>
    <col min="27" max="16384" width="9.140625" style="17"/>
  </cols>
  <sheetData>
    <row r="1" spans="1:26" s="56" customFormat="1" ht="16.899999999999999">
      <c r="A1" s="135" t="s">
        <v>245</v>
      </c>
      <c r="B1" s="135"/>
      <c r="C1" s="55"/>
    </row>
    <row r="2" spans="1:26" s="56" customFormat="1" ht="16.149999999999999">
      <c r="A2" s="149" t="s">
        <v>246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</row>
    <row r="3" spans="1:26" s="56" customFormat="1" ht="16.899999999999999">
      <c r="A3" s="149" t="s">
        <v>247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V3" s="57"/>
      <c r="W3" s="57"/>
    </row>
    <row r="4" spans="1:26" s="56" customFormat="1">
      <c r="A4" s="149" t="s">
        <v>248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</row>
    <row r="5" spans="1:26" s="56" customFormat="1">
      <c r="A5" s="149" t="s">
        <v>249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</row>
    <row r="6" spans="1:26" s="56" customFormat="1">
      <c r="A6" s="149" t="s">
        <v>250</v>
      </c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</row>
    <row r="7" spans="1:26" s="56" customFormat="1">
      <c r="A7" s="135" t="s">
        <v>251</v>
      </c>
      <c r="B7" s="135"/>
      <c r="C7" s="55"/>
    </row>
    <row r="8" spans="1:26" s="56" customFormat="1">
      <c r="A8" s="135"/>
      <c r="B8" s="135"/>
      <c r="C8" s="55"/>
    </row>
    <row r="9" spans="1:26" s="56" customFormat="1">
      <c r="A9" s="135"/>
      <c r="B9" s="135"/>
      <c r="C9" s="55"/>
    </row>
    <row r="10" spans="1:26" s="56" customFormat="1" ht="20.45">
      <c r="A10" s="58"/>
      <c r="B10" s="143" t="s">
        <v>252</v>
      </c>
      <c r="C10" s="143"/>
      <c r="D10" s="143"/>
      <c r="E10" s="59"/>
      <c r="F10" s="144" t="s">
        <v>253</v>
      </c>
      <c r="G10" s="144"/>
      <c r="H10" s="144"/>
      <c r="I10" s="144"/>
      <c r="J10" s="144" t="s">
        <v>254</v>
      </c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34"/>
      <c r="X10" s="134"/>
      <c r="Y10" s="68"/>
      <c r="Z10" s="68"/>
    </row>
    <row r="11" spans="1:26" s="56" customFormat="1" ht="36.75" customHeight="1">
      <c r="A11" s="60" t="s">
        <v>255</v>
      </c>
      <c r="B11" s="60" t="s">
        <v>256</v>
      </c>
      <c r="C11" s="61" t="s">
        <v>129</v>
      </c>
      <c r="D11" s="104" t="s">
        <v>1</v>
      </c>
      <c r="E11" s="104" t="s">
        <v>257</v>
      </c>
      <c r="F11" s="134" t="s">
        <v>258</v>
      </c>
      <c r="G11" s="134" t="s">
        <v>259</v>
      </c>
      <c r="H11" s="123" t="s">
        <v>260</v>
      </c>
      <c r="I11" s="123" t="s">
        <v>261</v>
      </c>
      <c r="J11" s="124">
        <v>5.0000000000000002E-5</v>
      </c>
      <c r="K11" s="124">
        <v>1.0000000000000001E-5</v>
      </c>
      <c r="L11" s="124">
        <v>5.0000000000000004E-6</v>
      </c>
      <c r="M11" s="124">
        <v>9.9999999999999995E-7</v>
      </c>
      <c r="N11" s="124">
        <v>2.9999999999999999E-7</v>
      </c>
      <c r="O11" s="124">
        <v>1.9999999999999999E-7</v>
      </c>
      <c r="P11" s="124">
        <v>4.9999999999999998E-8</v>
      </c>
      <c r="Q11" s="134" t="s">
        <v>262</v>
      </c>
      <c r="R11" s="134" t="s">
        <v>263</v>
      </c>
      <c r="S11" s="134" t="s">
        <v>264</v>
      </c>
      <c r="T11" s="134" t="s">
        <v>265</v>
      </c>
      <c r="U11" s="119" t="s">
        <v>266</v>
      </c>
      <c r="V11" s="119" t="s">
        <v>267</v>
      </c>
      <c r="W11" s="119" t="s">
        <v>268</v>
      </c>
      <c r="X11" s="119" t="s">
        <v>269</v>
      </c>
      <c r="Y11" s="120" t="s">
        <v>270</v>
      </c>
      <c r="Z11" s="120" t="s">
        <v>271</v>
      </c>
    </row>
    <row r="12" spans="1:26" s="56" customFormat="1" ht="14.45">
      <c r="A12" s="155" t="s">
        <v>272</v>
      </c>
      <c r="B12" s="66">
        <v>1</v>
      </c>
      <c r="C12" s="51">
        <v>41</v>
      </c>
      <c r="D12" s="41" t="s">
        <v>273</v>
      </c>
      <c r="E12" s="121">
        <v>4.6000000000000001E-4</v>
      </c>
      <c r="F12" s="68">
        <v>105</v>
      </c>
      <c r="G12" s="67">
        <v>4.9999999999999998E-7</v>
      </c>
      <c r="H12" s="67">
        <f>E12*F12/G12</f>
        <v>96600.000000000015</v>
      </c>
      <c r="I12" s="67">
        <f>H12/10</f>
        <v>9660.0000000000018</v>
      </c>
      <c r="J12" s="68"/>
      <c r="K12" s="68"/>
      <c r="L12" s="68">
        <v>75</v>
      </c>
      <c r="M12" s="68"/>
      <c r="N12" s="68"/>
      <c r="O12" s="68"/>
      <c r="P12" s="68"/>
      <c r="Q12" s="67">
        <f>L12/L11</f>
        <v>14999999.999999998</v>
      </c>
      <c r="R12" s="67">
        <v>0.6</v>
      </c>
      <c r="S12" s="68">
        <f t="shared" ref="S12:S17" si="0">LN(Q12/I12)/(R12*LN(2))</f>
        <v>17.667752818682594</v>
      </c>
      <c r="T12" s="68" t="s">
        <v>274</v>
      </c>
      <c r="U12" s="68"/>
      <c r="V12" s="68"/>
      <c r="W12" s="68"/>
      <c r="X12" s="68"/>
      <c r="Y12" s="68"/>
      <c r="Z12" s="68"/>
    </row>
    <row r="13" spans="1:26" s="56" customFormat="1" ht="14.45">
      <c r="A13" s="155"/>
      <c r="B13" s="66">
        <v>2</v>
      </c>
      <c r="C13" s="51" t="s">
        <v>90</v>
      </c>
      <c r="D13" s="41" t="s">
        <v>275</v>
      </c>
      <c r="E13" s="121">
        <v>6.3E-2</v>
      </c>
      <c r="F13" s="68">
        <v>44</v>
      </c>
      <c r="G13" s="67">
        <v>5.0000000000000001E-4</v>
      </c>
      <c r="H13" s="67">
        <f t="shared" ref="H13:H24" si="1">E13*F13/G13</f>
        <v>5544</v>
      </c>
      <c r="I13" s="67">
        <f t="shared" ref="I13:I45" si="2">H13/10</f>
        <v>554.4</v>
      </c>
      <c r="J13" s="68">
        <v>100</v>
      </c>
      <c r="K13" s="68"/>
      <c r="L13" s="68"/>
      <c r="M13" s="68"/>
      <c r="N13" s="68"/>
      <c r="O13" s="68"/>
      <c r="P13" s="68"/>
      <c r="Q13" s="67">
        <f>J13/J11</f>
        <v>2000000</v>
      </c>
      <c r="R13" s="67">
        <v>0.6</v>
      </c>
      <c r="S13" s="68">
        <f t="shared" si="0"/>
        <v>19.694641870123871</v>
      </c>
      <c r="T13" s="68" t="s">
        <v>276</v>
      </c>
      <c r="U13" s="67">
        <f>1/G12*E12/10</f>
        <v>92</v>
      </c>
      <c r="V13" s="67">
        <f>1/L11</f>
        <v>199999.99999999997</v>
      </c>
      <c r="W13" s="67">
        <f>43/G12*E12/10</f>
        <v>3956</v>
      </c>
      <c r="X13" s="67">
        <f>74/L11</f>
        <v>14799999.999999998</v>
      </c>
      <c r="Y13" s="129">
        <f t="shared" ref="Y13:Y76" si="3">LN(V13/U13)/(R13*LN(2))</f>
        <v>18.476797530633</v>
      </c>
      <c r="Z13" s="129">
        <f t="shared" ref="Z13:Z76" si="4">LN(X13/W13)/(R13*LN(2))</f>
        <v>19.782111882177752</v>
      </c>
    </row>
    <row r="14" spans="1:26" s="56" customFormat="1" ht="14.45">
      <c r="A14" s="155"/>
      <c r="B14" s="66">
        <v>3</v>
      </c>
      <c r="C14" s="51" t="s">
        <v>130</v>
      </c>
      <c r="D14" s="41" t="s">
        <v>277</v>
      </c>
      <c r="E14" s="121">
        <v>4.3E-3</v>
      </c>
      <c r="F14" s="68">
        <v>85</v>
      </c>
      <c r="G14" s="67">
        <v>1.0000000000000001E-5</v>
      </c>
      <c r="H14" s="67">
        <f t="shared" si="1"/>
        <v>36549.999999999993</v>
      </c>
      <c r="I14" s="67">
        <f t="shared" si="2"/>
        <v>3654.9999999999991</v>
      </c>
      <c r="J14" s="68"/>
      <c r="K14" s="68">
        <v>69</v>
      </c>
      <c r="L14" s="68"/>
      <c r="M14" s="68"/>
      <c r="N14" s="68"/>
      <c r="O14" s="68"/>
      <c r="P14" s="68"/>
      <c r="Q14" s="67">
        <f>K14/K11</f>
        <v>6899999.9999999991</v>
      </c>
      <c r="R14" s="67">
        <v>0.75</v>
      </c>
      <c r="S14" s="68">
        <f t="shared" si="0"/>
        <v>14.510012320500243</v>
      </c>
      <c r="T14" s="68" t="s">
        <v>274</v>
      </c>
      <c r="U14" s="68"/>
      <c r="V14" s="68"/>
      <c r="W14" s="68"/>
      <c r="X14" s="68"/>
      <c r="Y14" s="129" t="e">
        <f t="shared" si="3"/>
        <v>#DIV/0!</v>
      </c>
      <c r="Z14" s="129" t="e">
        <f t="shared" si="4"/>
        <v>#DIV/0!</v>
      </c>
    </row>
    <row r="15" spans="1:26" s="56" customFormat="1" ht="14.45">
      <c r="A15" s="155"/>
      <c r="B15" s="66">
        <v>4</v>
      </c>
      <c r="C15" s="51">
        <v>216</v>
      </c>
      <c r="D15" s="41" t="s">
        <v>95</v>
      </c>
      <c r="E15" s="121">
        <v>6.1000000000000004E-3</v>
      </c>
      <c r="F15" s="68">
        <v>47</v>
      </c>
      <c r="G15" s="67">
        <v>1.0000000000000001E-5</v>
      </c>
      <c r="H15" s="67">
        <f t="shared" si="1"/>
        <v>28670</v>
      </c>
      <c r="I15" s="67">
        <f t="shared" si="2"/>
        <v>2867</v>
      </c>
      <c r="J15" s="68"/>
      <c r="K15" s="68">
        <v>108</v>
      </c>
      <c r="L15" s="68"/>
      <c r="M15" s="68"/>
      <c r="N15" s="68"/>
      <c r="O15" s="68"/>
      <c r="P15" s="68"/>
      <c r="Q15" s="67">
        <f>K15/K11</f>
        <v>10800000</v>
      </c>
      <c r="R15" s="67">
        <v>1</v>
      </c>
      <c r="S15" s="68">
        <f t="shared" si="0"/>
        <v>11.879201787359758</v>
      </c>
      <c r="T15" s="68" t="s">
        <v>274</v>
      </c>
      <c r="U15" s="68"/>
      <c r="V15" s="68"/>
      <c r="W15" s="68"/>
      <c r="X15" s="68"/>
      <c r="Y15" s="129" t="e">
        <f t="shared" si="3"/>
        <v>#DIV/0!</v>
      </c>
      <c r="Z15" s="129" t="e">
        <f t="shared" si="4"/>
        <v>#DIV/0!</v>
      </c>
    </row>
    <row r="16" spans="1:26" ht="14.45">
      <c r="A16" s="155"/>
      <c r="B16" s="69">
        <v>5</v>
      </c>
      <c r="C16" s="69">
        <v>213</v>
      </c>
      <c r="D16" s="41" t="s">
        <v>93</v>
      </c>
      <c r="E16" s="122">
        <v>9.7000000000000003E-3</v>
      </c>
      <c r="F16" s="70">
        <v>101</v>
      </c>
      <c r="G16" s="71">
        <v>5.0000000000000002E-5</v>
      </c>
      <c r="H16" s="67">
        <f t="shared" si="1"/>
        <v>19594</v>
      </c>
      <c r="I16" s="67">
        <f t="shared" si="2"/>
        <v>1959.4</v>
      </c>
      <c r="J16" s="70"/>
      <c r="K16" s="70"/>
      <c r="L16" s="70"/>
      <c r="M16" s="70">
        <v>362</v>
      </c>
      <c r="N16" s="70">
        <v>70</v>
      </c>
      <c r="O16" s="70"/>
      <c r="P16" s="70"/>
      <c r="Q16" s="71">
        <f>M16/M11</f>
        <v>362000000</v>
      </c>
      <c r="R16" s="71">
        <v>2</v>
      </c>
      <c r="S16" s="68">
        <f t="shared" si="0"/>
        <v>8.7476091131779103</v>
      </c>
      <c r="T16" s="70" t="s">
        <v>278</v>
      </c>
      <c r="U16" s="71">
        <f>1/G16*E16/10</f>
        <v>19.399999999999999</v>
      </c>
      <c r="V16" s="71">
        <f>31/N11</f>
        <v>103333333.33333334</v>
      </c>
      <c r="W16" s="71">
        <f>100/G16*E16/10</f>
        <v>1940</v>
      </c>
      <c r="X16" s="71">
        <f>39/N11</f>
        <v>130000000</v>
      </c>
      <c r="Y16" s="129">
        <f t="shared" si="3"/>
        <v>11.172372863288745</v>
      </c>
      <c r="Z16" s="129">
        <f t="shared" si="4"/>
        <v>8.0160477226390707</v>
      </c>
    </row>
    <row r="17" spans="1:26" ht="14.45">
      <c r="A17" s="155"/>
      <c r="B17" s="69">
        <v>6</v>
      </c>
      <c r="C17" s="69">
        <v>236</v>
      </c>
      <c r="D17" s="41" t="s">
        <v>94</v>
      </c>
      <c r="E17" s="122">
        <v>0.122</v>
      </c>
      <c r="F17" s="70">
        <v>24</v>
      </c>
      <c r="G17" s="71">
        <v>5.0000000000000001E-4</v>
      </c>
      <c r="H17" s="67">
        <f t="shared" si="1"/>
        <v>5856</v>
      </c>
      <c r="I17" s="67">
        <f t="shared" si="2"/>
        <v>585.6</v>
      </c>
      <c r="J17" s="70"/>
      <c r="K17" s="70"/>
      <c r="L17" s="70">
        <v>153</v>
      </c>
      <c r="M17" s="70"/>
      <c r="N17" s="70"/>
      <c r="O17" s="70"/>
      <c r="P17" s="70"/>
      <c r="Q17" s="71">
        <f>L17/L11</f>
        <v>30599999.999999996</v>
      </c>
      <c r="R17" s="71">
        <v>2.5</v>
      </c>
      <c r="S17" s="68">
        <f t="shared" si="0"/>
        <v>6.2693026294931133</v>
      </c>
      <c r="T17" s="70" t="s">
        <v>274</v>
      </c>
      <c r="U17" s="70"/>
      <c r="V17" s="70"/>
      <c r="W17" s="70"/>
      <c r="X17" s="70"/>
      <c r="Y17" s="129" t="e">
        <f t="shared" si="3"/>
        <v>#DIV/0!</v>
      </c>
      <c r="Z17" s="129" t="e">
        <f t="shared" si="4"/>
        <v>#DIV/0!</v>
      </c>
    </row>
    <row r="18" spans="1:26">
      <c r="D18" s="19"/>
      <c r="F18" s="70"/>
      <c r="G18" s="71"/>
      <c r="H18" s="67"/>
      <c r="I18" s="67"/>
      <c r="J18" s="70"/>
      <c r="K18" s="70"/>
      <c r="L18" s="70"/>
      <c r="M18" s="70"/>
      <c r="N18" s="70"/>
      <c r="O18" s="70"/>
      <c r="P18" s="70"/>
      <c r="Q18" s="71"/>
      <c r="R18" s="71"/>
      <c r="S18" s="68"/>
      <c r="T18" s="70"/>
      <c r="U18" s="70"/>
      <c r="V18" s="70"/>
      <c r="W18" s="70"/>
      <c r="X18" s="70"/>
      <c r="Y18" s="129" t="e">
        <f t="shared" si="3"/>
        <v>#DIV/0!</v>
      </c>
      <c r="Z18" s="129" t="e">
        <f t="shared" si="4"/>
        <v>#DIV/0!</v>
      </c>
    </row>
    <row r="19" spans="1:26" ht="14.45">
      <c r="A19" s="155" t="s">
        <v>279</v>
      </c>
      <c r="B19" s="66">
        <v>7</v>
      </c>
      <c r="C19" s="51" t="s">
        <v>280</v>
      </c>
      <c r="D19" s="41" t="s">
        <v>275</v>
      </c>
      <c r="E19" s="121">
        <v>0.05</v>
      </c>
      <c r="F19" s="68">
        <v>61</v>
      </c>
      <c r="G19" s="67">
        <v>5.0000000000000002E-5</v>
      </c>
      <c r="H19" s="67">
        <f t="shared" si="1"/>
        <v>61000</v>
      </c>
      <c r="I19" s="67">
        <f t="shared" si="2"/>
        <v>6100</v>
      </c>
      <c r="J19" s="68">
        <v>103</v>
      </c>
      <c r="K19" s="68"/>
      <c r="L19" s="68"/>
      <c r="M19" s="68"/>
      <c r="N19" s="68"/>
      <c r="O19" s="68"/>
      <c r="P19" s="68"/>
      <c r="Q19" s="67">
        <f>J19/J11</f>
        <v>2060000</v>
      </c>
      <c r="R19" s="67">
        <v>0.5</v>
      </c>
      <c r="S19" s="68">
        <f t="shared" ref="S19:S24" si="5">LN(Q19/I19)/(R19*LN(2))</f>
        <v>16.799238758790114</v>
      </c>
      <c r="T19" s="70" t="s">
        <v>281</v>
      </c>
      <c r="U19" s="71">
        <f>1/G19*E19/10</f>
        <v>100</v>
      </c>
      <c r="V19" s="71">
        <f>3/J11</f>
        <v>60000</v>
      </c>
      <c r="W19" s="71">
        <f>60/G19*E19/10</f>
        <v>6000</v>
      </c>
      <c r="X19" s="71">
        <f>100/J11</f>
        <v>2000000</v>
      </c>
      <c r="Y19" s="129">
        <f t="shared" si="3"/>
        <v>18.457637380991763</v>
      </c>
      <c r="Z19" s="129">
        <f t="shared" si="4"/>
        <v>16.761643567881862</v>
      </c>
    </row>
    <row r="20" spans="1:26" ht="14.45">
      <c r="A20" s="155"/>
      <c r="B20" s="66">
        <v>8</v>
      </c>
      <c r="C20" s="51">
        <v>41.1</v>
      </c>
      <c r="D20" s="41" t="s">
        <v>273</v>
      </c>
      <c r="E20" s="121">
        <v>6.7000000000000002E-3</v>
      </c>
      <c r="F20" s="68">
        <v>106</v>
      </c>
      <c r="G20" s="67">
        <v>6.9999999999999999E-6</v>
      </c>
      <c r="H20" s="67">
        <f t="shared" si="1"/>
        <v>101457.14285714287</v>
      </c>
      <c r="I20" s="67">
        <f t="shared" si="2"/>
        <v>10145.714285714286</v>
      </c>
      <c r="J20" s="68"/>
      <c r="K20" s="68"/>
      <c r="L20" s="68">
        <v>166</v>
      </c>
      <c r="M20" s="68">
        <v>36</v>
      </c>
      <c r="N20" s="68"/>
      <c r="O20" s="68"/>
      <c r="P20" s="68"/>
      <c r="Q20" s="67">
        <f>L20/L11</f>
        <v>33199999.999999996</v>
      </c>
      <c r="R20" s="67">
        <v>0.6</v>
      </c>
      <c r="S20" s="68">
        <f t="shared" si="5"/>
        <v>19.460161813221678</v>
      </c>
      <c r="T20" s="70" t="s">
        <v>274</v>
      </c>
      <c r="U20" s="70"/>
      <c r="V20" s="70"/>
      <c r="W20" s="70"/>
      <c r="X20" s="70"/>
      <c r="Y20" s="129" t="e">
        <f t="shared" si="3"/>
        <v>#DIV/0!</v>
      </c>
      <c r="Z20" s="129" t="e">
        <f t="shared" si="4"/>
        <v>#DIV/0!</v>
      </c>
    </row>
    <row r="21" spans="1:26" ht="14.45">
      <c r="A21" s="155"/>
      <c r="B21" s="66">
        <v>9</v>
      </c>
      <c r="C21" s="51" t="s">
        <v>282</v>
      </c>
      <c r="D21" s="41" t="s">
        <v>277</v>
      </c>
      <c r="E21" s="121">
        <v>1.4500000000000001E-2</v>
      </c>
      <c r="F21" s="68">
        <v>136</v>
      </c>
      <c r="G21" s="67">
        <v>2.0000000000000002E-5</v>
      </c>
      <c r="H21" s="67">
        <f t="shared" si="1"/>
        <v>98600</v>
      </c>
      <c r="I21" s="67">
        <f t="shared" si="2"/>
        <v>9860</v>
      </c>
      <c r="J21" s="68"/>
      <c r="K21" s="68">
        <v>141</v>
      </c>
      <c r="L21" s="68">
        <v>55</v>
      </c>
      <c r="M21" s="68"/>
      <c r="N21" s="68"/>
      <c r="O21" s="68"/>
      <c r="P21" s="68"/>
      <c r="Q21" s="67">
        <f>K21/K11</f>
        <v>14099999.999999998</v>
      </c>
      <c r="R21" s="67">
        <v>0.75</v>
      </c>
      <c r="S21" s="68">
        <f t="shared" si="5"/>
        <v>13.975759860760444</v>
      </c>
      <c r="T21" s="70" t="s">
        <v>274</v>
      </c>
      <c r="U21" s="70"/>
      <c r="V21" s="70"/>
      <c r="W21" s="70"/>
      <c r="X21" s="70"/>
      <c r="Y21" s="129" t="e">
        <f t="shared" si="3"/>
        <v>#DIV/0!</v>
      </c>
      <c r="Z21" s="129" t="e">
        <f t="shared" si="4"/>
        <v>#DIV/0!</v>
      </c>
    </row>
    <row r="22" spans="1:26" ht="14.45">
      <c r="A22" s="155"/>
      <c r="B22" s="66">
        <v>10</v>
      </c>
      <c r="C22" s="51">
        <v>216.1</v>
      </c>
      <c r="D22" s="41" t="s">
        <v>95</v>
      </c>
      <c r="E22" s="121">
        <v>9.2999999999999992E-3</v>
      </c>
      <c r="F22" s="68">
        <v>75</v>
      </c>
      <c r="G22" s="67">
        <v>1.0000000000000001E-5</v>
      </c>
      <c r="H22" s="67">
        <f t="shared" si="1"/>
        <v>69749.999999999985</v>
      </c>
      <c r="I22" s="67">
        <f t="shared" si="2"/>
        <v>6974.9999999999982</v>
      </c>
      <c r="J22" s="68">
        <v>226</v>
      </c>
      <c r="K22" s="68">
        <v>49</v>
      </c>
      <c r="L22" s="68">
        <v>23</v>
      </c>
      <c r="M22" s="68"/>
      <c r="N22" s="68"/>
      <c r="O22" s="68"/>
      <c r="P22" s="68"/>
      <c r="Q22" s="67">
        <f>K22/K11</f>
        <v>4900000</v>
      </c>
      <c r="R22" s="67">
        <v>0.83299999999999996</v>
      </c>
      <c r="S22" s="68">
        <f t="shared" si="5"/>
        <v>11.352188255639987</v>
      </c>
      <c r="T22" s="113" t="s">
        <v>283</v>
      </c>
      <c r="U22" s="71">
        <f>1/G22*E22/10</f>
        <v>92.999999999999972</v>
      </c>
      <c r="V22" s="71">
        <f>12/J11</f>
        <v>240000</v>
      </c>
      <c r="W22" s="71">
        <f>74/G22*E22/10</f>
        <v>6881.9999999999982</v>
      </c>
      <c r="X22" s="71">
        <f>214/J11</f>
        <v>4280000</v>
      </c>
      <c r="Y22" s="129">
        <f t="shared" si="3"/>
        <v>13.605661547614135</v>
      </c>
      <c r="Z22" s="129">
        <f t="shared" si="4"/>
        <v>11.141137081889093</v>
      </c>
    </row>
    <row r="23" spans="1:26" ht="14.45">
      <c r="A23" s="155"/>
      <c r="B23" s="69">
        <v>11</v>
      </c>
      <c r="C23" s="69">
        <v>213.1</v>
      </c>
      <c r="D23" s="41" t="s">
        <v>93</v>
      </c>
      <c r="E23" s="122">
        <v>2.7599999999999999E-4</v>
      </c>
      <c r="F23" s="70">
        <v>70</v>
      </c>
      <c r="G23" s="71">
        <v>2.9999999999999999E-7</v>
      </c>
      <c r="H23" s="67">
        <f t="shared" si="1"/>
        <v>64400.000000000007</v>
      </c>
      <c r="I23" s="67">
        <f t="shared" si="2"/>
        <v>6440.0000000000009</v>
      </c>
      <c r="J23" s="70"/>
      <c r="K23" s="70"/>
      <c r="L23" s="70"/>
      <c r="M23" s="75">
        <v>585</v>
      </c>
      <c r="N23" s="70"/>
      <c r="O23" s="70">
        <v>115</v>
      </c>
      <c r="P23" s="70"/>
      <c r="Q23" s="71">
        <f>M23/M11</f>
        <v>585000000</v>
      </c>
      <c r="R23" s="71">
        <v>1.25</v>
      </c>
      <c r="S23" s="68">
        <f t="shared" si="5"/>
        <v>13.176813128634368</v>
      </c>
      <c r="T23" s="70" t="s">
        <v>284</v>
      </c>
      <c r="U23" s="71">
        <f>31/G23*E23/10</f>
        <v>2852</v>
      </c>
      <c r="V23" s="71">
        <f>98/O11</f>
        <v>490000000</v>
      </c>
      <c r="W23" s="71">
        <f>39/G23*E23/10</f>
        <v>3588</v>
      </c>
      <c r="X23" s="71">
        <f>17/O11</f>
        <v>85000000</v>
      </c>
      <c r="Y23" s="129">
        <f t="shared" si="3"/>
        <v>13.912358593506285</v>
      </c>
      <c r="Z23" s="129">
        <f t="shared" si="4"/>
        <v>11.625596264434092</v>
      </c>
    </row>
    <row r="24" spans="1:26" ht="14.45">
      <c r="A24" s="155"/>
      <c r="B24" s="69">
        <v>12</v>
      </c>
      <c r="C24" s="69">
        <v>236.1</v>
      </c>
      <c r="D24" s="41" t="s">
        <v>94</v>
      </c>
      <c r="E24" s="122">
        <v>3.3E-3</v>
      </c>
      <c r="F24" s="70">
        <v>12</v>
      </c>
      <c r="G24" s="71">
        <v>3.0000000000000001E-6</v>
      </c>
      <c r="H24" s="67">
        <f t="shared" si="1"/>
        <v>13199.999999999998</v>
      </c>
      <c r="I24" s="67">
        <f t="shared" si="2"/>
        <v>1319.9999999999998</v>
      </c>
      <c r="J24" s="70"/>
      <c r="K24" s="70">
        <v>173</v>
      </c>
      <c r="L24" s="70">
        <v>68</v>
      </c>
      <c r="M24" s="70"/>
      <c r="N24" s="70"/>
      <c r="O24" s="70"/>
      <c r="P24" s="70"/>
      <c r="Q24" s="71">
        <f>K24/K11</f>
        <v>17300000</v>
      </c>
      <c r="R24" s="71">
        <v>1.67</v>
      </c>
      <c r="S24" s="68">
        <f t="shared" si="5"/>
        <v>8.1903871184597126</v>
      </c>
      <c r="T24" s="70" t="s">
        <v>285</v>
      </c>
      <c r="U24" s="70"/>
      <c r="V24" s="70"/>
      <c r="W24" s="70"/>
      <c r="X24" s="70"/>
      <c r="Y24" s="129" t="e">
        <f t="shared" si="3"/>
        <v>#DIV/0!</v>
      </c>
      <c r="Z24" s="129" t="e">
        <f t="shared" si="4"/>
        <v>#DIV/0!</v>
      </c>
    </row>
    <row r="25" spans="1:26">
      <c r="D25" s="19"/>
      <c r="F25" s="70"/>
      <c r="G25" s="71"/>
      <c r="H25" s="71"/>
      <c r="I25" s="71"/>
      <c r="J25" s="70"/>
      <c r="K25" s="70"/>
      <c r="L25" s="70"/>
      <c r="M25" s="70"/>
      <c r="N25" s="70"/>
      <c r="O25" s="70"/>
      <c r="P25" s="70"/>
      <c r="Q25" s="71"/>
      <c r="R25" s="71"/>
      <c r="S25" s="125"/>
      <c r="T25" s="70"/>
      <c r="U25" s="70"/>
      <c r="V25" s="70"/>
      <c r="W25" s="70"/>
      <c r="X25" s="70"/>
      <c r="Y25" s="129" t="e">
        <f t="shared" si="3"/>
        <v>#DIV/0!</v>
      </c>
      <c r="Z25" s="129" t="e">
        <f t="shared" si="4"/>
        <v>#DIV/0!</v>
      </c>
    </row>
    <row r="26" spans="1:26" ht="14.45">
      <c r="A26" s="155" t="s">
        <v>286</v>
      </c>
      <c r="B26" s="66">
        <v>13</v>
      </c>
      <c r="C26" s="51">
        <v>41.2</v>
      </c>
      <c r="D26" s="41" t="s">
        <v>273</v>
      </c>
      <c r="E26" s="121">
        <v>3.0000000000000001E-3</v>
      </c>
      <c r="F26" s="68">
        <v>97</v>
      </c>
      <c r="G26" s="67">
        <v>3.0000000000000001E-6</v>
      </c>
      <c r="H26" s="67">
        <f t="shared" ref="H26:H31" si="6">E26*F26/G26</f>
        <v>96999.999999999985</v>
      </c>
      <c r="I26" s="67">
        <f t="shared" si="2"/>
        <v>9699.9999999999982</v>
      </c>
      <c r="J26" s="68"/>
      <c r="K26" s="68"/>
      <c r="L26" s="68"/>
      <c r="M26" s="68">
        <v>49</v>
      </c>
      <c r="N26" s="68"/>
      <c r="O26" s="68"/>
      <c r="P26" s="68"/>
      <c r="Q26" s="67">
        <f>M26/M11</f>
        <v>49000000</v>
      </c>
      <c r="R26" s="67">
        <v>0.6</v>
      </c>
      <c r="S26" s="68">
        <f t="shared" ref="S26:S31" si="7">LN(Q26/I26)/(R26*LN(2))</f>
        <v>20.504182302462549</v>
      </c>
      <c r="T26" s="70" t="s">
        <v>274</v>
      </c>
      <c r="U26" s="70"/>
      <c r="V26" s="70"/>
      <c r="W26" s="70"/>
      <c r="X26" s="70"/>
      <c r="Y26" s="129" t="e">
        <f t="shared" si="3"/>
        <v>#DIV/0!</v>
      </c>
      <c r="Z26" s="129" t="e">
        <f t="shared" si="4"/>
        <v>#DIV/0!</v>
      </c>
    </row>
    <row r="27" spans="1:26" ht="14.45">
      <c r="A27" s="155"/>
      <c r="B27" s="66">
        <v>14</v>
      </c>
      <c r="C27" s="51" t="s">
        <v>287</v>
      </c>
      <c r="D27" s="41" t="s">
        <v>275</v>
      </c>
      <c r="E27" s="121">
        <v>4.8500000000000001E-2</v>
      </c>
      <c r="F27" s="68">
        <v>86</v>
      </c>
      <c r="G27" s="67">
        <v>5.0000000000000002E-5</v>
      </c>
      <c r="H27" s="67">
        <f t="shared" si="6"/>
        <v>83420</v>
      </c>
      <c r="I27" s="67">
        <f t="shared" si="2"/>
        <v>8342</v>
      </c>
      <c r="J27" s="68"/>
      <c r="K27" s="68"/>
      <c r="L27" s="68">
        <v>186</v>
      </c>
      <c r="M27" s="68"/>
      <c r="N27" s="68"/>
      <c r="O27" s="68"/>
      <c r="P27" s="68"/>
      <c r="Q27" s="67">
        <f>L27/L11</f>
        <v>37200000</v>
      </c>
      <c r="R27" s="67">
        <v>0.6</v>
      </c>
      <c r="S27" s="68">
        <f t="shared" si="7"/>
        <v>20.204369481092694</v>
      </c>
      <c r="T27" s="70" t="s">
        <v>288</v>
      </c>
      <c r="U27" s="71">
        <f>3/G27*E27/10</f>
        <v>291</v>
      </c>
      <c r="V27" s="71">
        <f>27/L11</f>
        <v>5400000</v>
      </c>
      <c r="W27" s="71">
        <f>83/G27*E27/10</f>
        <v>8051</v>
      </c>
      <c r="X27" s="71">
        <f>159/L11</f>
        <v>31799999.999999996</v>
      </c>
      <c r="Y27" s="129">
        <f t="shared" si="3"/>
        <v>23.63275438948666</v>
      </c>
      <c r="Z27" s="129">
        <f t="shared" si="4"/>
        <v>19.912618593645192</v>
      </c>
    </row>
    <row r="28" spans="1:26" ht="14.45">
      <c r="A28" s="155"/>
      <c r="B28" s="66">
        <v>15</v>
      </c>
      <c r="C28" s="51" t="s">
        <v>289</v>
      </c>
      <c r="D28" s="41" t="s">
        <v>277</v>
      </c>
      <c r="E28" s="121">
        <v>7.1000000000000004E-3</v>
      </c>
      <c r="F28" s="68">
        <v>76</v>
      </c>
      <c r="G28" s="67">
        <v>6.9999999999999999E-6</v>
      </c>
      <c r="H28" s="67">
        <f t="shared" si="6"/>
        <v>77085.714285714304</v>
      </c>
      <c r="I28" s="67">
        <f t="shared" si="2"/>
        <v>7708.5714285714303</v>
      </c>
      <c r="J28" s="68"/>
      <c r="K28" s="68"/>
      <c r="L28" s="68">
        <v>182</v>
      </c>
      <c r="M28" s="68"/>
      <c r="N28" s="68"/>
      <c r="O28" s="68"/>
      <c r="P28" s="68"/>
      <c r="Q28" s="67">
        <f>L28/L11</f>
        <v>36400000</v>
      </c>
      <c r="R28" s="67">
        <v>0.75</v>
      </c>
      <c r="S28" s="68">
        <f t="shared" si="7"/>
        <v>16.273583078476644</v>
      </c>
      <c r="T28" s="70" t="s">
        <v>274</v>
      </c>
      <c r="U28" s="70"/>
      <c r="V28" s="70"/>
      <c r="W28" s="70"/>
      <c r="X28" s="70"/>
      <c r="Y28" s="129" t="e">
        <f t="shared" si="3"/>
        <v>#DIV/0!</v>
      </c>
      <c r="Z28" s="129" t="e">
        <f t="shared" si="4"/>
        <v>#DIV/0!</v>
      </c>
    </row>
    <row r="29" spans="1:26" ht="14.45">
      <c r="A29" s="155"/>
      <c r="B29" s="66">
        <v>16</v>
      </c>
      <c r="C29" s="69">
        <v>213.2</v>
      </c>
      <c r="D29" s="41" t="s">
        <v>93</v>
      </c>
      <c r="E29" s="121">
        <v>1.7000000000000001E-4</v>
      </c>
      <c r="F29" s="68">
        <v>115</v>
      </c>
      <c r="G29" s="67">
        <v>1.9999999999999999E-7</v>
      </c>
      <c r="H29" s="67">
        <f t="shared" si="6"/>
        <v>97750.000000000015</v>
      </c>
      <c r="I29" s="67">
        <f t="shared" si="2"/>
        <v>9775.0000000000018</v>
      </c>
      <c r="J29" s="68"/>
      <c r="K29" s="68"/>
      <c r="L29" s="68"/>
      <c r="M29" s="68">
        <v>148</v>
      </c>
      <c r="N29" s="68"/>
      <c r="O29" s="68"/>
      <c r="P29" s="68"/>
      <c r="Q29" s="67">
        <f>M29/M11</f>
        <v>148000000</v>
      </c>
      <c r="R29" s="67">
        <v>1</v>
      </c>
      <c r="S29" s="68">
        <f t="shared" si="7"/>
        <v>13.886140947871047</v>
      </c>
      <c r="T29" s="70" t="s">
        <v>290</v>
      </c>
      <c r="U29" s="71">
        <f>98/G29*E29/10</f>
        <v>8330</v>
      </c>
      <c r="V29" s="71">
        <f>134/M11</f>
        <v>134000000</v>
      </c>
      <c r="W29" s="71">
        <f>17/G29*E29/10</f>
        <v>1445.0000000000002</v>
      </c>
      <c r="X29" s="71">
        <f>14/M11</f>
        <v>14000000</v>
      </c>
      <c r="Y29" s="129">
        <f t="shared" si="3"/>
        <v>13.973556979529036</v>
      </c>
      <c r="Z29" s="129">
        <f t="shared" si="4"/>
        <v>13.242069713993738</v>
      </c>
    </row>
    <row r="30" spans="1:26" ht="14.45">
      <c r="A30" s="155"/>
      <c r="B30" s="66">
        <v>17</v>
      </c>
      <c r="C30" s="51">
        <v>216.2</v>
      </c>
      <c r="D30" s="41" t="s">
        <v>95</v>
      </c>
      <c r="E30" s="122">
        <v>2.0400000000000001E-2</v>
      </c>
      <c r="F30" s="70">
        <v>68</v>
      </c>
      <c r="G30" s="71">
        <v>2.0000000000000002E-5</v>
      </c>
      <c r="H30" s="67">
        <f t="shared" si="6"/>
        <v>69360</v>
      </c>
      <c r="I30" s="67">
        <f t="shared" si="2"/>
        <v>6936</v>
      </c>
      <c r="J30" s="70"/>
      <c r="K30" s="70"/>
      <c r="L30" s="70">
        <v>194</v>
      </c>
      <c r="M30" s="70">
        <v>31</v>
      </c>
      <c r="N30" s="70"/>
      <c r="O30" s="70"/>
      <c r="P30" s="70"/>
      <c r="Q30" s="71">
        <f>L30/L11</f>
        <v>38800000</v>
      </c>
      <c r="R30" s="71">
        <v>1</v>
      </c>
      <c r="S30" s="68">
        <f t="shared" si="7"/>
        <v>12.449665133402105</v>
      </c>
      <c r="T30" s="75" t="s">
        <v>291</v>
      </c>
      <c r="U30" s="70"/>
      <c r="V30" s="70"/>
      <c r="W30" s="70"/>
      <c r="X30" s="70"/>
      <c r="Y30" s="129" t="e">
        <f t="shared" si="3"/>
        <v>#DIV/0!</v>
      </c>
      <c r="Z30" s="129" t="e">
        <f t="shared" si="4"/>
        <v>#DIV/0!</v>
      </c>
    </row>
    <row r="31" spans="1:26" ht="14.45">
      <c r="A31" s="155"/>
      <c r="B31" s="66">
        <v>18</v>
      </c>
      <c r="C31" s="69">
        <v>236.2</v>
      </c>
      <c r="D31" s="41" t="s">
        <v>94</v>
      </c>
      <c r="E31" s="122">
        <v>5.7999999999999996E-3</v>
      </c>
      <c r="F31" s="70">
        <v>96</v>
      </c>
      <c r="G31" s="71">
        <v>6.0000000000000002E-6</v>
      </c>
      <c r="H31" s="67">
        <f t="shared" si="6"/>
        <v>92799.999999999985</v>
      </c>
      <c r="I31" s="67">
        <f t="shared" si="2"/>
        <v>9279.9999999999982</v>
      </c>
      <c r="J31" s="70"/>
      <c r="K31" s="70"/>
      <c r="L31" s="70">
        <v>107</v>
      </c>
      <c r="M31" s="70"/>
      <c r="N31" s="70"/>
      <c r="O31" s="70"/>
      <c r="P31" s="70"/>
      <c r="Q31" s="71">
        <f>L31/L11</f>
        <v>21400000</v>
      </c>
      <c r="R31" s="71">
        <v>1.25</v>
      </c>
      <c r="S31" s="68">
        <f t="shared" si="7"/>
        <v>8.9369586966584205</v>
      </c>
      <c r="T31" s="70" t="s">
        <v>292</v>
      </c>
      <c r="U31" s="71">
        <f>20/G31*E31/10</f>
        <v>1933.3333333333328</v>
      </c>
      <c r="V31" s="71">
        <f>64/L11</f>
        <v>12799999.999999998</v>
      </c>
      <c r="W31" s="71">
        <f>76/G31*E31/10</f>
        <v>7346.6666666666661</v>
      </c>
      <c r="X31" s="71">
        <f>43/L11</f>
        <v>8600000</v>
      </c>
      <c r="Y31" s="129">
        <f t="shared" si="3"/>
        <v>10.154212632204539</v>
      </c>
      <c r="Z31" s="129">
        <f t="shared" si="4"/>
        <v>8.1544249011212369</v>
      </c>
    </row>
    <row r="32" spans="1:26">
      <c r="B32" s="21"/>
      <c r="D32" s="19"/>
      <c r="F32" s="70"/>
      <c r="G32" s="71"/>
      <c r="H32" s="71"/>
      <c r="I32" s="71"/>
      <c r="J32" s="70"/>
      <c r="K32" s="70"/>
      <c r="L32" s="70"/>
      <c r="M32" s="70"/>
      <c r="N32" s="70"/>
      <c r="O32" s="70"/>
      <c r="P32" s="70"/>
      <c r="Q32" s="71"/>
      <c r="R32" s="71"/>
      <c r="S32" s="125"/>
      <c r="T32" s="70"/>
      <c r="U32" s="70"/>
      <c r="V32" s="70"/>
      <c r="W32" s="70"/>
      <c r="X32" s="70"/>
      <c r="Y32" s="129" t="e">
        <f t="shared" si="3"/>
        <v>#DIV/0!</v>
      </c>
      <c r="Z32" s="129" t="e">
        <f t="shared" si="4"/>
        <v>#DIV/0!</v>
      </c>
    </row>
    <row r="33" spans="1:26" ht="14.45">
      <c r="A33" s="155" t="s">
        <v>293</v>
      </c>
      <c r="B33" s="66">
        <v>19</v>
      </c>
      <c r="C33" s="51">
        <v>41.3</v>
      </c>
      <c r="D33" s="41" t="s">
        <v>273</v>
      </c>
      <c r="E33" s="121">
        <v>2.0400000000000001E-3</v>
      </c>
      <c r="F33" s="68">
        <v>65</v>
      </c>
      <c r="G33" s="67">
        <v>1.9999999999999999E-6</v>
      </c>
      <c r="H33" s="67">
        <f t="shared" ref="H33:H38" si="8">E33*F33/G33</f>
        <v>66300</v>
      </c>
      <c r="I33" s="67">
        <f t="shared" si="2"/>
        <v>6630</v>
      </c>
      <c r="J33" s="68"/>
      <c r="K33" s="68"/>
      <c r="L33" s="68">
        <v>114</v>
      </c>
      <c r="M33" s="70"/>
      <c r="N33" s="68"/>
      <c r="O33" s="68"/>
      <c r="P33" s="68"/>
      <c r="Q33" s="67">
        <f>L33/L11</f>
        <v>22799999.999999996</v>
      </c>
      <c r="R33" s="67">
        <v>0.6</v>
      </c>
      <c r="S33" s="68">
        <f t="shared" ref="S33:S38" si="9">LN(Q33/I33)/(R33*LN(2))</f>
        <v>19.579562222669338</v>
      </c>
      <c r="T33" s="80" t="s">
        <v>274</v>
      </c>
      <c r="U33" s="70"/>
      <c r="V33" s="70"/>
      <c r="W33" s="70"/>
      <c r="X33" s="70"/>
      <c r="Y33" s="129" t="e">
        <f t="shared" si="3"/>
        <v>#DIV/0!</v>
      </c>
      <c r="Z33" s="129" t="e">
        <f t="shared" si="4"/>
        <v>#DIV/0!</v>
      </c>
    </row>
    <row r="34" spans="1:26" ht="14.45">
      <c r="A34" s="155"/>
      <c r="B34" s="66">
        <v>20</v>
      </c>
      <c r="C34" s="51" t="s">
        <v>294</v>
      </c>
      <c r="D34" s="41" t="s">
        <v>277</v>
      </c>
      <c r="E34" s="121">
        <v>2.7499999999999998E-3</v>
      </c>
      <c r="F34" s="68">
        <v>82</v>
      </c>
      <c r="G34" s="67">
        <v>3.0000000000000001E-6</v>
      </c>
      <c r="H34" s="67">
        <f t="shared" si="8"/>
        <v>75166.666666666657</v>
      </c>
      <c r="I34" s="67">
        <f t="shared" si="2"/>
        <v>7516.6666666666661</v>
      </c>
      <c r="J34" s="68"/>
      <c r="K34" s="68"/>
      <c r="L34" s="68">
        <v>194</v>
      </c>
      <c r="M34" s="70"/>
      <c r="N34" s="68"/>
      <c r="O34" s="68"/>
      <c r="P34" s="68"/>
      <c r="Q34" s="67">
        <f>L34/L11</f>
        <v>38800000</v>
      </c>
      <c r="R34" s="67">
        <v>0.6</v>
      </c>
      <c r="S34" s="68">
        <f t="shared" si="9"/>
        <v>20.556126673858316</v>
      </c>
      <c r="T34" s="80" t="s">
        <v>274</v>
      </c>
      <c r="U34" s="70"/>
      <c r="V34" s="70"/>
      <c r="W34" s="70"/>
      <c r="X34" s="70"/>
      <c r="Y34" s="129" t="e">
        <f t="shared" si="3"/>
        <v>#DIV/0!</v>
      </c>
      <c r="Z34" s="129" t="e">
        <f t="shared" si="4"/>
        <v>#DIV/0!</v>
      </c>
    </row>
    <row r="35" spans="1:26" ht="14.45">
      <c r="A35" s="155"/>
      <c r="B35" s="66">
        <v>21</v>
      </c>
      <c r="C35" s="51" t="s">
        <v>295</v>
      </c>
      <c r="D35" s="41" t="s">
        <v>275</v>
      </c>
      <c r="E35" s="121">
        <v>2.6900000000000001E-3</v>
      </c>
      <c r="F35" s="68">
        <v>86</v>
      </c>
      <c r="G35" s="67">
        <v>3.0000000000000001E-6</v>
      </c>
      <c r="H35" s="67">
        <f t="shared" si="8"/>
        <v>77113.333333333343</v>
      </c>
      <c r="I35" s="67">
        <f t="shared" si="2"/>
        <v>7711.3333333333339</v>
      </c>
      <c r="J35" s="68"/>
      <c r="K35" s="68"/>
      <c r="L35" s="68">
        <v>189</v>
      </c>
      <c r="M35" s="70"/>
      <c r="N35" s="68"/>
      <c r="O35" s="68"/>
      <c r="P35" s="68"/>
      <c r="Q35" s="67">
        <f>L35/L11</f>
        <v>37800000</v>
      </c>
      <c r="R35" s="67">
        <v>0.6</v>
      </c>
      <c r="S35" s="68">
        <f t="shared" si="9"/>
        <v>20.431863803533862</v>
      </c>
      <c r="T35" s="80" t="s">
        <v>296</v>
      </c>
      <c r="U35" s="71">
        <f>14/G35*E35/10</f>
        <v>1255.3333333333335</v>
      </c>
      <c r="V35" s="71">
        <f>37/L11</f>
        <v>7399999.9999999991</v>
      </c>
      <c r="W35" s="71">
        <f>72/G35*E35/10</f>
        <v>6456</v>
      </c>
      <c r="X35" s="71">
        <f>152/L11</f>
        <v>30399999.999999996</v>
      </c>
      <c r="Y35" s="129">
        <f t="shared" si="3"/>
        <v>20.875398426954483</v>
      </c>
      <c r="Z35" s="129">
        <f t="shared" si="4"/>
        <v>20.335238541004362</v>
      </c>
    </row>
    <row r="36" spans="1:26" ht="14.45">
      <c r="A36" s="155"/>
      <c r="B36" s="66">
        <v>22</v>
      </c>
      <c r="C36" s="69">
        <v>213.3</v>
      </c>
      <c r="D36" s="41" t="s">
        <v>93</v>
      </c>
      <c r="E36" s="121">
        <v>4.6000000000000001E-4</v>
      </c>
      <c r="F36" s="68">
        <v>95</v>
      </c>
      <c r="G36" s="67">
        <v>4.9999999999999998E-7</v>
      </c>
      <c r="H36" s="67">
        <f t="shared" si="8"/>
        <v>87400.000000000015</v>
      </c>
      <c r="I36" s="67">
        <f t="shared" si="2"/>
        <v>8740.0000000000018</v>
      </c>
      <c r="J36" s="68"/>
      <c r="K36" s="68">
        <v>118</v>
      </c>
      <c r="L36" s="68"/>
      <c r="M36" s="70"/>
      <c r="N36" s="68"/>
      <c r="O36" s="68"/>
      <c r="P36" s="68"/>
      <c r="Q36" s="67">
        <f>K36/K11</f>
        <v>11799999.999999998</v>
      </c>
      <c r="R36" s="67">
        <v>0.75</v>
      </c>
      <c r="S36" s="70">
        <f t="shared" si="9"/>
        <v>13.86515461254759</v>
      </c>
      <c r="T36" s="70" t="s">
        <v>297</v>
      </c>
      <c r="U36" s="71">
        <f>81/G36*E36/10</f>
        <v>7452</v>
      </c>
      <c r="V36" s="71">
        <f>113/K11</f>
        <v>11300000</v>
      </c>
      <c r="W36" s="71">
        <f>14/G36*E36/10</f>
        <v>1288</v>
      </c>
      <c r="X36" s="71">
        <f>5/K11</f>
        <v>499999.99999999994</v>
      </c>
      <c r="Y36" s="129">
        <f t="shared" si="3"/>
        <v>14.088543303880483</v>
      </c>
      <c r="Z36" s="129">
        <f t="shared" si="4"/>
        <v>11.467535588279411</v>
      </c>
    </row>
    <row r="37" spans="1:26" ht="14.45">
      <c r="A37" s="155"/>
      <c r="B37" s="66">
        <v>23</v>
      </c>
      <c r="C37" s="51">
        <v>216.3</v>
      </c>
      <c r="D37" s="41" t="s">
        <v>95</v>
      </c>
      <c r="E37" s="122">
        <v>4.6699999999999997E-3</v>
      </c>
      <c r="F37" s="70">
        <v>95</v>
      </c>
      <c r="G37" s="71">
        <v>3.0000000000000001E-6</v>
      </c>
      <c r="H37" s="67">
        <f t="shared" si="8"/>
        <v>147883.33333333331</v>
      </c>
      <c r="I37" s="67">
        <f t="shared" si="2"/>
        <v>14788.333333333332</v>
      </c>
      <c r="J37" s="70"/>
      <c r="K37" s="70"/>
      <c r="L37" s="70"/>
      <c r="M37" s="70"/>
      <c r="N37" s="70">
        <v>116</v>
      </c>
      <c r="O37" s="70"/>
      <c r="P37" s="70"/>
      <c r="Q37" s="71">
        <f>N37/N11</f>
        <v>386666666.66666669</v>
      </c>
      <c r="R37" s="71">
        <v>1</v>
      </c>
      <c r="S37" s="68">
        <f t="shared" si="9"/>
        <v>14.6743433112985</v>
      </c>
      <c r="T37" s="70" t="s">
        <v>298</v>
      </c>
      <c r="U37" s="71">
        <f>49/G37*E37/10</f>
        <v>7627.6666666666661</v>
      </c>
      <c r="V37" s="71">
        <f>102/N11</f>
        <v>340000000</v>
      </c>
      <c r="W37" s="71">
        <f>46/G37*E37/10</f>
        <v>7160.6666666666661</v>
      </c>
      <c r="X37" s="71">
        <f>14/N11</f>
        <v>46666666.666666672</v>
      </c>
      <c r="Y37" s="129">
        <f t="shared" si="3"/>
        <v>15.443933422358164</v>
      </c>
      <c r="Z37" s="129">
        <f t="shared" si="4"/>
        <v>12.670010890502468</v>
      </c>
    </row>
    <row r="38" spans="1:26" ht="14.45">
      <c r="A38" s="155"/>
      <c r="B38" s="66">
        <v>24</v>
      </c>
      <c r="C38" s="69">
        <v>236.3</v>
      </c>
      <c r="D38" s="41" t="s">
        <v>94</v>
      </c>
      <c r="E38" s="122">
        <v>2.5799999999999998E-3</v>
      </c>
      <c r="F38" s="70">
        <v>99</v>
      </c>
      <c r="G38" s="71">
        <v>5.0000000000000004E-6</v>
      </c>
      <c r="H38" s="67">
        <f t="shared" si="8"/>
        <v>51083.999999999993</v>
      </c>
      <c r="I38" s="67">
        <f t="shared" si="2"/>
        <v>5108.3999999999996</v>
      </c>
      <c r="J38" s="70"/>
      <c r="K38" s="70"/>
      <c r="L38" s="70"/>
      <c r="M38" s="70">
        <v>59</v>
      </c>
      <c r="N38" s="70"/>
      <c r="O38" s="70"/>
      <c r="P38" s="70"/>
      <c r="Q38" s="71">
        <f>M38/M11</f>
        <v>59000000</v>
      </c>
      <c r="R38" s="71">
        <v>1.25</v>
      </c>
      <c r="S38" s="68">
        <f t="shared" si="9"/>
        <v>10.796444670456411</v>
      </c>
      <c r="T38" s="70" t="s">
        <v>299</v>
      </c>
      <c r="U38" s="71">
        <f>49/G38*E38/10</f>
        <v>2528.4</v>
      </c>
      <c r="V38" s="71">
        <f>32/M11</f>
        <v>32000000</v>
      </c>
      <c r="W38" s="71">
        <f>37/G38*E38/10</f>
        <v>1909.1999999999996</v>
      </c>
      <c r="X38" s="71">
        <f>27/M11</f>
        <v>27000000</v>
      </c>
      <c r="Y38" s="129">
        <f t="shared" si="3"/>
        <v>10.902047651738458</v>
      </c>
      <c r="Z38" s="129">
        <f t="shared" si="4"/>
        <v>11.030162836258242</v>
      </c>
    </row>
    <row r="39" spans="1:26">
      <c r="D39" s="19"/>
      <c r="F39" s="126"/>
      <c r="G39" s="127"/>
      <c r="H39" s="71"/>
      <c r="I39" s="71"/>
      <c r="J39" s="70"/>
      <c r="K39" s="70"/>
      <c r="L39" s="70"/>
      <c r="M39" s="70"/>
      <c r="N39" s="70"/>
      <c r="O39" s="70"/>
      <c r="P39" s="70"/>
      <c r="Q39" s="71"/>
      <c r="R39" s="71"/>
      <c r="S39" s="125"/>
      <c r="T39" s="70"/>
      <c r="U39" s="70"/>
      <c r="V39" s="70"/>
      <c r="W39" s="70"/>
      <c r="X39" s="70"/>
      <c r="Y39" s="129" t="e">
        <f t="shared" si="3"/>
        <v>#DIV/0!</v>
      </c>
      <c r="Z39" s="129" t="e">
        <f t="shared" si="4"/>
        <v>#DIV/0!</v>
      </c>
    </row>
    <row r="40" spans="1:26" ht="14.45">
      <c r="A40" s="155" t="s">
        <v>300</v>
      </c>
      <c r="B40" s="66">
        <v>25</v>
      </c>
      <c r="C40" s="51">
        <v>41.4</v>
      </c>
      <c r="D40" s="41" t="s">
        <v>273</v>
      </c>
      <c r="E40" s="121">
        <v>4.4000000000000003E-3</v>
      </c>
      <c r="F40" s="68">
        <v>112</v>
      </c>
      <c r="G40" s="67">
        <v>5.0000000000000004E-6</v>
      </c>
      <c r="H40" s="67">
        <f t="shared" ref="H40:H45" si="10">E40*F40/G40</f>
        <v>98560</v>
      </c>
      <c r="I40" s="67">
        <f t="shared" si="2"/>
        <v>9856</v>
      </c>
      <c r="J40" s="68"/>
      <c r="K40" s="68"/>
      <c r="L40" s="68">
        <v>126</v>
      </c>
      <c r="M40" s="70"/>
      <c r="N40" s="68"/>
      <c r="O40" s="68"/>
      <c r="P40" s="68"/>
      <c r="Q40" s="67">
        <f>L40/L11</f>
        <v>25199999.999999996</v>
      </c>
      <c r="R40" s="67">
        <v>0.6</v>
      </c>
      <c r="S40" s="68">
        <f t="shared" ref="S40:S45" si="11">LN(Q40/I40)/(R40*LN(2))</f>
        <v>18.866889762069711</v>
      </c>
      <c r="T40" s="70" t="s">
        <v>274</v>
      </c>
      <c r="U40" s="70"/>
      <c r="V40" s="70"/>
      <c r="W40" s="70"/>
      <c r="X40" s="70"/>
      <c r="Y40" s="129" t="e">
        <f t="shared" si="3"/>
        <v>#DIV/0!</v>
      </c>
      <c r="Z40" s="129" t="e">
        <f t="shared" si="4"/>
        <v>#DIV/0!</v>
      </c>
    </row>
    <row r="41" spans="1:26" ht="14.45">
      <c r="A41" s="155"/>
      <c r="B41" s="66">
        <v>26</v>
      </c>
      <c r="C41" s="51" t="s">
        <v>301</v>
      </c>
      <c r="D41" s="41" t="s">
        <v>277</v>
      </c>
      <c r="E41" s="121">
        <v>2.5799999999999998E-3</v>
      </c>
      <c r="F41" s="68">
        <v>101</v>
      </c>
      <c r="G41" s="67">
        <v>3.0000000000000001E-6</v>
      </c>
      <c r="H41" s="67">
        <f t="shared" si="10"/>
        <v>86859.999999999985</v>
      </c>
      <c r="I41" s="67">
        <f t="shared" si="2"/>
        <v>8685.9999999999982</v>
      </c>
      <c r="J41" s="68"/>
      <c r="K41" s="68"/>
      <c r="L41" s="68"/>
      <c r="M41" s="70">
        <v>85</v>
      </c>
      <c r="N41" s="68"/>
      <c r="O41" s="68"/>
      <c r="P41" s="68"/>
      <c r="Q41" s="67">
        <f>M41/M11</f>
        <v>85000000</v>
      </c>
      <c r="R41" s="67">
        <v>0.6</v>
      </c>
      <c r="S41" s="68">
        <f t="shared" si="11"/>
        <v>22.094138780013306</v>
      </c>
      <c r="T41" s="70" t="s">
        <v>274</v>
      </c>
      <c r="U41" s="70"/>
      <c r="V41" s="70"/>
      <c r="W41" s="70"/>
      <c r="X41" s="70"/>
      <c r="Y41" s="129" t="e">
        <f t="shared" si="3"/>
        <v>#DIV/0!</v>
      </c>
      <c r="Z41" s="129" t="e">
        <f t="shared" si="4"/>
        <v>#DIV/0!</v>
      </c>
    </row>
    <row r="42" spans="1:26" ht="14.45">
      <c r="A42" s="155"/>
      <c r="B42" s="66">
        <v>27</v>
      </c>
      <c r="C42" s="51" t="s">
        <v>302</v>
      </c>
      <c r="D42" s="41" t="s">
        <v>275</v>
      </c>
      <c r="E42" s="121">
        <v>2.65E-3</v>
      </c>
      <c r="F42" s="68">
        <v>119</v>
      </c>
      <c r="G42" s="67">
        <v>3.0000000000000001E-6</v>
      </c>
      <c r="H42" s="67">
        <f t="shared" si="10"/>
        <v>105116.66666666667</v>
      </c>
      <c r="I42" s="67">
        <f t="shared" si="2"/>
        <v>10511.666666666668</v>
      </c>
      <c r="J42" s="68"/>
      <c r="K42" s="68"/>
      <c r="L42" s="68"/>
      <c r="M42" s="70">
        <v>102</v>
      </c>
      <c r="N42" s="68"/>
      <c r="O42" s="68"/>
      <c r="P42" s="68"/>
      <c r="Q42" s="67">
        <f>M42/M11</f>
        <v>102000000</v>
      </c>
      <c r="R42" s="67">
        <v>0.6</v>
      </c>
      <c r="S42" s="68">
        <f t="shared" si="11"/>
        <v>22.073816832097201</v>
      </c>
      <c r="T42" s="70" t="s">
        <v>303</v>
      </c>
      <c r="U42" s="71">
        <f>50/G42*E42/10</f>
        <v>4416.6666666666661</v>
      </c>
      <c r="V42" s="71">
        <f>65/M11</f>
        <v>65000000</v>
      </c>
      <c r="W42" s="71">
        <f>69/G42*E42/10</f>
        <v>6095</v>
      </c>
      <c r="X42" s="71">
        <f>20/M11</f>
        <v>20000000</v>
      </c>
      <c r="Y42" s="129">
        <f t="shared" si="3"/>
        <v>23.07532357308083</v>
      </c>
      <c r="Z42" s="129">
        <f t="shared" si="4"/>
        <v>19.466810264506602</v>
      </c>
    </row>
    <row r="43" spans="1:26" ht="14.45">
      <c r="A43" s="155"/>
      <c r="B43" s="66">
        <v>28</v>
      </c>
      <c r="C43" s="69">
        <v>213.4</v>
      </c>
      <c r="D43" s="41" t="s">
        <v>93</v>
      </c>
      <c r="E43" s="121">
        <v>8.5000000000000006E-3</v>
      </c>
      <c r="F43" s="68">
        <v>55</v>
      </c>
      <c r="G43" s="67">
        <v>7.9999999999999996E-6</v>
      </c>
      <c r="H43" s="67">
        <f t="shared" si="10"/>
        <v>58437.500000000007</v>
      </c>
      <c r="I43" s="67">
        <f t="shared" si="2"/>
        <v>5843.7500000000009</v>
      </c>
      <c r="J43" s="68"/>
      <c r="K43" s="68">
        <v>57</v>
      </c>
      <c r="L43" s="68"/>
      <c r="M43" s="70"/>
      <c r="N43" s="68"/>
      <c r="O43" s="68"/>
      <c r="P43" s="68"/>
      <c r="Q43" s="67">
        <f>K43/K11</f>
        <v>5699999.9999999991</v>
      </c>
      <c r="R43" s="67">
        <v>0.75</v>
      </c>
      <c r="S43" s="68">
        <f t="shared" si="11"/>
        <v>13.23980232540244</v>
      </c>
      <c r="T43" s="70" t="s">
        <v>304</v>
      </c>
      <c r="U43" s="71">
        <f>50/G43*E43/10</f>
        <v>5312.5000000000009</v>
      </c>
      <c r="V43" s="71">
        <f>57/K11</f>
        <v>5699999.9999999991</v>
      </c>
      <c r="W43" s="71">
        <f>5/G43*E43/10</f>
        <v>531.25</v>
      </c>
      <c r="X43" s="71">
        <f>1/K11</f>
        <v>99999.999999999985</v>
      </c>
      <c r="Y43" s="129">
        <f t="shared" si="3"/>
        <v>13.42314035706902</v>
      </c>
      <c r="Z43" s="129">
        <f t="shared" si="4"/>
        <v>10.075191131365848</v>
      </c>
    </row>
    <row r="44" spans="1:26" ht="14.45">
      <c r="A44" s="155"/>
      <c r="B44" s="66">
        <v>29</v>
      </c>
      <c r="C44" s="51">
        <v>216.4</v>
      </c>
      <c r="D44" s="41" t="s">
        <v>95</v>
      </c>
      <c r="E44" s="122">
        <v>2.5799999999999998E-3</v>
      </c>
      <c r="F44" s="70">
        <v>74</v>
      </c>
      <c r="G44" s="71">
        <v>2.9999999999999999E-7</v>
      </c>
      <c r="H44" s="67">
        <f t="shared" si="10"/>
        <v>636400</v>
      </c>
      <c r="I44" s="67">
        <f t="shared" si="2"/>
        <v>63640</v>
      </c>
      <c r="J44" s="70"/>
      <c r="K44" s="70"/>
      <c r="L44" s="70"/>
      <c r="M44" s="70"/>
      <c r="N44" s="70"/>
      <c r="O44" s="70"/>
      <c r="P44" s="70">
        <v>136</v>
      </c>
      <c r="Q44" s="71">
        <f>P44/P11</f>
        <v>2720000000</v>
      </c>
      <c r="R44" s="71">
        <v>1</v>
      </c>
      <c r="S44" s="68">
        <f t="shared" si="11"/>
        <v>15.383313290243466</v>
      </c>
      <c r="T44" s="70" t="s">
        <v>305</v>
      </c>
      <c r="U44" s="71">
        <f>48/G44*E44/10</f>
        <v>41280</v>
      </c>
      <c r="V44" s="71">
        <f>113/P11</f>
        <v>2260000000</v>
      </c>
      <c r="W44" s="71">
        <f>26/G44*E44/10</f>
        <v>22360</v>
      </c>
      <c r="X44" s="71">
        <f>23/P11</f>
        <v>460000000</v>
      </c>
      <c r="Y44" s="129">
        <f t="shared" si="3"/>
        <v>15.74052027631611</v>
      </c>
      <c r="Z44" s="129">
        <f t="shared" si="4"/>
        <v>14.328426052537997</v>
      </c>
    </row>
    <row r="45" spans="1:26" ht="14.45">
      <c r="A45" s="155"/>
      <c r="B45" s="66">
        <v>30</v>
      </c>
      <c r="C45" s="69">
        <v>236.4</v>
      </c>
      <c r="D45" s="41" t="s">
        <v>94</v>
      </c>
      <c r="E45" s="122">
        <v>1.6900000000000001E-3</v>
      </c>
      <c r="F45" s="70">
        <v>94</v>
      </c>
      <c r="G45" s="71">
        <v>1.9999999999999999E-6</v>
      </c>
      <c r="H45" s="67">
        <f t="shared" si="10"/>
        <v>79430</v>
      </c>
      <c r="I45" s="67">
        <f t="shared" si="2"/>
        <v>7943</v>
      </c>
      <c r="J45" s="70"/>
      <c r="K45" s="70"/>
      <c r="L45" s="70">
        <v>97</v>
      </c>
      <c r="M45" s="70"/>
      <c r="N45" s="70"/>
      <c r="O45" s="70"/>
      <c r="P45" s="70"/>
      <c r="Q45" s="71">
        <f>L45/L11</f>
        <v>19400000</v>
      </c>
      <c r="R45" s="71">
        <v>1</v>
      </c>
      <c r="S45" s="68">
        <f t="shared" si="11"/>
        <v>11.254085028664118</v>
      </c>
      <c r="T45" s="70" t="s">
        <v>306</v>
      </c>
      <c r="U45" s="71">
        <f>81/G45*E45/10</f>
        <v>6844.5</v>
      </c>
      <c r="V45" s="71">
        <f>77/L11</f>
        <v>15399999.999999998</v>
      </c>
      <c r="W45" s="71">
        <f>13/G45*E45/10</f>
        <v>1098.5</v>
      </c>
      <c r="X45" s="71">
        <f>20/L11</f>
        <v>3999999.9999999995</v>
      </c>
      <c r="Y45" s="129">
        <f t="shared" si="3"/>
        <v>11.135697575964903</v>
      </c>
      <c r="Z45" s="129">
        <f t="shared" si="4"/>
        <v>11.830249414900898</v>
      </c>
    </row>
    <row r="46" spans="1:26">
      <c r="D46" s="19"/>
      <c r="F46" s="70"/>
      <c r="G46" s="71"/>
      <c r="H46" s="71"/>
      <c r="I46" s="71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1"/>
      <c r="W46" s="71"/>
      <c r="X46" s="125"/>
      <c r="Y46" s="129" t="e">
        <f t="shared" si="3"/>
        <v>#DIV/0!</v>
      </c>
      <c r="Z46" s="129" t="e">
        <f t="shared" si="4"/>
        <v>#DIV/0!</v>
      </c>
    </row>
    <row r="47" spans="1:26" ht="20.45">
      <c r="A47" s="58"/>
      <c r="B47" s="143" t="s">
        <v>307</v>
      </c>
      <c r="C47" s="143"/>
      <c r="D47" s="143"/>
      <c r="E47" s="59"/>
      <c r="F47" s="144" t="s">
        <v>253</v>
      </c>
      <c r="G47" s="144"/>
      <c r="H47" s="144"/>
      <c r="I47" s="144"/>
      <c r="J47" s="144" t="s">
        <v>254</v>
      </c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34"/>
      <c r="X47" s="134"/>
      <c r="Y47" s="129" t="e">
        <f t="shared" si="3"/>
        <v>#DIV/0!</v>
      </c>
      <c r="Z47" s="129" t="e">
        <f t="shared" si="4"/>
        <v>#DIV/0!</v>
      </c>
    </row>
    <row r="48" spans="1:26" ht="28.15">
      <c r="A48" s="60" t="s">
        <v>255</v>
      </c>
      <c r="B48" s="60" t="s">
        <v>256</v>
      </c>
      <c r="C48" s="61" t="s">
        <v>129</v>
      </c>
      <c r="D48" s="104" t="s">
        <v>1</v>
      </c>
      <c r="E48" s="104" t="s">
        <v>257</v>
      </c>
      <c r="F48" s="134" t="s">
        <v>258</v>
      </c>
      <c r="G48" s="134" t="s">
        <v>259</v>
      </c>
      <c r="H48" s="123" t="s">
        <v>260</v>
      </c>
      <c r="I48" s="123" t="s">
        <v>261</v>
      </c>
      <c r="J48" s="124">
        <v>5.0000000000000002E-5</v>
      </c>
      <c r="K48" s="124">
        <v>1.0000000000000001E-5</v>
      </c>
      <c r="L48" s="124">
        <v>5.0000000000000004E-6</v>
      </c>
      <c r="M48" s="124">
        <v>9.9999999999999995E-7</v>
      </c>
      <c r="N48" s="124">
        <v>2.9999999999999999E-7</v>
      </c>
      <c r="O48" s="124">
        <v>9.9999999999999995E-8</v>
      </c>
      <c r="P48" s="124">
        <v>1E-8</v>
      </c>
      <c r="Q48" s="134" t="s">
        <v>262</v>
      </c>
      <c r="R48" s="134" t="s">
        <v>263</v>
      </c>
      <c r="S48" s="134" t="s">
        <v>264</v>
      </c>
      <c r="T48" s="134" t="s">
        <v>265</v>
      </c>
      <c r="U48" s="119" t="s">
        <v>266</v>
      </c>
      <c r="V48" s="119" t="s">
        <v>267</v>
      </c>
      <c r="W48" s="119" t="s">
        <v>268</v>
      </c>
      <c r="X48" s="119" t="s">
        <v>269</v>
      </c>
      <c r="Y48" s="129" t="e">
        <f t="shared" si="3"/>
        <v>#VALUE!</v>
      </c>
      <c r="Z48" s="129" t="e">
        <f t="shared" si="4"/>
        <v>#VALUE!</v>
      </c>
    </row>
    <row r="49" spans="1:26" ht="14.45" customHeight="1">
      <c r="A49" s="145" t="s">
        <v>308</v>
      </c>
      <c r="B49" s="66">
        <v>31</v>
      </c>
      <c r="C49" s="51">
        <v>52</v>
      </c>
      <c r="D49" s="41" t="s">
        <v>309</v>
      </c>
      <c r="E49" s="121">
        <v>1.34E-3</v>
      </c>
      <c r="F49" s="68">
        <v>82</v>
      </c>
      <c r="G49" s="67">
        <v>9.9999999999999995E-7</v>
      </c>
      <c r="H49" s="67">
        <f>E49*F49/G49</f>
        <v>109880.00000000001</v>
      </c>
      <c r="I49" s="67">
        <f>H49/10</f>
        <v>10988.000000000002</v>
      </c>
      <c r="J49" s="68"/>
      <c r="K49" s="68">
        <v>53</v>
      </c>
      <c r="L49" s="68"/>
      <c r="M49" s="68"/>
      <c r="N49" s="68"/>
      <c r="O49" s="68"/>
      <c r="P49" s="68"/>
      <c r="Q49" s="67">
        <f>K49/K48</f>
        <v>5300000</v>
      </c>
      <c r="R49" s="67">
        <v>0.6</v>
      </c>
      <c r="S49" s="111">
        <f t="shared" ref="S49:S55" si="12">LN(Q49/I49)/(R49*LN(2))</f>
        <v>14.856532889873591</v>
      </c>
      <c r="T49" s="68" t="s">
        <v>274</v>
      </c>
      <c r="U49" s="70"/>
      <c r="V49" s="70"/>
      <c r="W49" s="70"/>
      <c r="X49" s="70"/>
      <c r="Y49" s="129" t="e">
        <f t="shared" si="3"/>
        <v>#DIV/0!</v>
      </c>
      <c r="Z49" s="129" t="e">
        <f t="shared" si="4"/>
        <v>#DIV/0!</v>
      </c>
    </row>
    <row r="50" spans="1:26" ht="14.45" customHeight="1">
      <c r="A50" s="146"/>
      <c r="B50" s="66">
        <v>32</v>
      </c>
      <c r="C50" s="51">
        <v>45</v>
      </c>
      <c r="D50" s="41" t="s">
        <v>310</v>
      </c>
      <c r="E50" s="121">
        <v>7.3999999999999999E-4</v>
      </c>
      <c r="F50" s="68">
        <v>76</v>
      </c>
      <c r="G50" s="67">
        <v>4.9999999999999998E-7</v>
      </c>
      <c r="H50" s="67">
        <f t="shared" ref="H50:H55" si="13">E50*F50/G50</f>
        <v>112480</v>
      </c>
      <c r="I50" s="67">
        <f t="shared" ref="I50:I55" si="14">H50/10</f>
        <v>11248</v>
      </c>
      <c r="J50" s="68"/>
      <c r="K50" s="68">
        <v>85</v>
      </c>
      <c r="L50" s="68"/>
      <c r="M50" s="68"/>
      <c r="N50" s="68"/>
      <c r="O50" s="68"/>
      <c r="P50" s="68"/>
      <c r="Q50" s="67">
        <f>K50/K48</f>
        <v>8500000</v>
      </c>
      <c r="R50" s="67">
        <v>0.75</v>
      </c>
      <c r="S50" s="111">
        <f t="shared" si="12"/>
        <v>12.748867375335973</v>
      </c>
      <c r="T50" s="68" t="s">
        <v>274</v>
      </c>
      <c r="U50" s="70"/>
      <c r="V50" s="70"/>
      <c r="W50" s="70"/>
      <c r="X50" s="70"/>
      <c r="Y50" s="129" t="e">
        <f t="shared" si="3"/>
        <v>#DIV/0!</v>
      </c>
      <c r="Z50" s="129" t="e">
        <f t="shared" si="4"/>
        <v>#DIV/0!</v>
      </c>
    </row>
    <row r="51" spans="1:26" ht="14.45">
      <c r="A51" s="146"/>
      <c r="B51" s="66">
        <v>33</v>
      </c>
      <c r="C51" s="51" t="s">
        <v>101</v>
      </c>
      <c r="D51" s="41" t="s">
        <v>311</v>
      </c>
      <c r="E51" s="121">
        <v>4.7399999999999998E-2</v>
      </c>
      <c r="F51" s="68">
        <v>48</v>
      </c>
      <c r="G51" s="67">
        <v>1E-4</v>
      </c>
      <c r="H51" s="67">
        <f t="shared" si="13"/>
        <v>22751.999999999996</v>
      </c>
      <c r="I51" s="67">
        <f t="shared" si="14"/>
        <v>2275.1999999999998</v>
      </c>
      <c r="J51" s="68"/>
      <c r="K51" s="68"/>
      <c r="L51" s="68"/>
      <c r="M51" s="68">
        <v>539</v>
      </c>
      <c r="N51" s="68"/>
      <c r="O51" s="68"/>
      <c r="P51" s="68"/>
      <c r="Q51" s="67">
        <f>M51/M48</f>
        <v>539000000</v>
      </c>
      <c r="R51" s="67">
        <v>1</v>
      </c>
      <c r="S51" s="111">
        <f t="shared" si="12"/>
        <v>17.853932377344627</v>
      </c>
      <c r="T51" s="68" t="s">
        <v>274</v>
      </c>
      <c r="U51" s="70"/>
      <c r="V51" s="70"/>
      <c r="W51" s="70"/>
      <c r="X51" s="70"/>
      <c r="Y51" s="129" t="e">
        <f t="shared" si="3"/>
        <v>#DIV/0!</v>
      </c>
      <c r="Z51" s="129" t="e">
        <f t="shared" si="4"/>
        <v>#DIV/0!</v>
      </c>
    </row>
    <row r="52" spans="1:26" ht="14.45">
      <c r="A52" s="146"/>
      <c r="B52" s="66">
        <v>34</v>
      </c>
      <c r="C52" s="51">
        <v>217</v>
      </c>
      <c r="D52" s="41" t="s">
        <v>107</v>
      </c>
      <c r="E52" s="121">
        <v>5.7999999999999996E-3</v>
      </c>
      <c r="F52" s="75">
        <v>29</v>
      </c>
      <c r="G52" s="67">
        <v>1.0000000000000001E-5</v>
      </c>
      <c r="H52" s="67">
        <f t="shared" si="13"/>
        <v>16819.999999999996</v>
      </c>
      <c r="I52" s="67">
        <f t="shared" si="14"/>
        <v>1681.9999999999995</v>
      </c>
      <c r="J52" s="68"/>
      <c r="K52" s="68">
        <v>99</v>
      </c>
      <c r="L52" s="68"/>
      <c r="M52" s="68"/>
      <c r="N52" s="68"/>
      <c r="O52" s="68"/>
      <c r="P52" s="68"/>
      <c r="Q52" s="67">
        <f>K52/K48</f>
        <v>9900000</v>
      </c>
      <c r="R52" s="67">
        <v>1.25</v>
      </c>
      <c r="S52" s="111">
        <f t="shared" si="12"/>
        <v>10.018428083409022</v>
      </c>
      <c r="T52" s="68" t="s">
        <v>274</v>
      </c>
      <c r="U52" s="70"/>
      <c r="V52" s="70"/>
      <c r="W52" s="70"/>
      <c r="X52" s="70"/>
      <c r="Y52" s="129" t="e">
        <f t="shared" si="3"/>
        <v>#DIV/0!</v>
      </c>
      <c r="Z52" s="129" t="e">
        <f t="shared" si="4"/>
        <v>#DIV/0!</v>
      </c>
    </row>
    <row r="53" spans="1:26" ht="14.45">
      <c r="A53" s="146"/>
      <c r="B53" s="66">
        <v>35</v>
      </c>
      <c r="C53" s="69">
        <v>234</v>
      </c>
      <c r="D53" s="41" t="s">
        <v>108</v>
      </c>
      <c r="E53" s="122">
        <v>3.6900000000000002E-2</v>
      </c>
      <c r="F53" s="75">
        <v>17</v>
      </c>
      <c r="G53" s="71">
        <v>1E-4</v>
      </c>
      <c r="H53" s="67">
        <f t="shared" si="13"/>
        <v>6273.0000000000009</v>
      </c>
      <c r="I53" s="67">
        <f t="shared" si="14"/>
        <v>627.30000000000007</v>
      </c>
      <c r="J53" s="70">
        <v>136</v>
      </c>
      <c r="K53" s="70"/>
      <c r="L53" s="70"/>
      <c r="M53" s="70"/>
      <c r="N53" s="70"/>
      <c r="O53" s="70"/>
      <c r="P53" s="70"/>
      <c r="Q53" s="71">
        <f>J53/J48</f>
        <v>2720000</v>
      </c>
      <c r="R53" s="71">
        <v>1.25</v>
      </c>
      <c r="S53" s="111">
        <f t="shared" si="12"/>
        <v>9.6657307747011334</v>
      </c>
      <c r="T53" s="70" t="s">
        <v>274</v>
      </c>
      <c r="U53" s="70"/>
      <c r="V53" s="70"/>
      <c r="W53" s="70"/>
      <c r="X53" s="70"/>
      <c r="Y53" s="129" t="e">
        <f t="shared" si="3"/>
        <v>#DIV/0!</v>
      </c>
      <c r="Z53" s="129" t="e">
        <f t="shared" si="4"/>
        <v>#DIV/0!</v>
      </c>
    </row>
    <row r="54" spans="1:26" ht="14.45">
      <c r="A54" s="146"/>
      <c r="B54" s="66">
        <v>36</v>
      </c>
      <c r="C54" s="69">
        <v>233</v>
      </c>
      <c r="D54" s="41" t="s">
        <v>96</v>
      </c>
      <c r="E54" s="122">
        <v>6.0199999999999997E-2</v>
      </c>
      <c r="F54" s="75">
        <v>11</v>
      </c>
      <c r="G54" s="71">
        <v>1E-4</v>
      </c>
      <c r="H54" s="67">
        <f t="shared" si="13"/>
        <v>6622</v>
      </c>
      <c r="I54" s="67">
        <f t="shared" si="14"/>
        <v>662.2</v>
      </c>
      <c r="J54" s="70"/>
      <c r="K54" s="70">
        <v>47</v>
      </c>
      <c r="L54" s="70"/>
      <c r="M54" s="70"/>
      <c r="N54" s="70"/>
      <c r="O54" s="70"/>
      <c r="P54" s="70"/>
      <c r="Q54" s="71">
        <f>K54/K48</f>
        <v>4700000</v>
      </c>
      <c r="R54" s="71">
        <v>1.67</v>
      </c>
      <c r="S54" s="111">
        <f t="shared" si="12"/>
        <v>7.6605425901825228</v>
      </c>
      <c r="T54" s="70" t="s">
        <v>312</v>
      </c>
      <c r="U54" s="71">
        <f>1/G54*E54/10</f>
        <v>60.2</v>
      </c>
      <c r="V54" s="71">
        <f>27/K48</f>
        <v>2700000</v>
      </c>
      <c r="W54" s="71">
        <f>11/G54*E54/10</f>
        <v>662.2</v>
      </c>
      <c r="X54" s="71">
        <f>20/K48</f>
        <v>1999999.9999999998</v>
      </c>
      <c r="Y54" s="129">
        <f t="shared" si="3"/>
        <v>9.2531954459448738</v>
      </c>
      <c r="Z54" s="129">
        <f t="shared" si="4"/>
        <v>6.9224223765356498</v>
      </c>
    </row>
    <row r="55" spans="1:26" ht="14.45">
      <c r="A55" s="147"/>
      <c r="B55" s="66">
        <v>37</v>
      </c>
      <c r="C55" s="95">
        <v>214</v>
      </c>
      <c r="D55" s="94" t="s">
        <v>104</v>
      </c>
      <c r="E55" s="122">
        <v>2.2200000000000001E-2</v>
      </c>
      <c r="F55" s="70">
        <v>59</v>
      </c>
      <c r="G55" s="71">
        <v>5.0000000000000002E-5</v>
      </c>
      <c r="H55" s="67">
        <f t="shared" si="13"/>
        <v>26196</v>
      </c>
      <c r="I55" s="67">
        <f t="shared" si="14"/>
        <v>2619.6</v>
      </c>
      <c r="J55" s="70"/>
      <c r="K55" s="70"/>
      <c r="L55" s="70"/>
      <c r="M55" s="70">
        <v>179</v>
      </c>
      <c r="N55" s="70"/>
      <c r="O55" s="70"/>
      <c r="P55" s="70"/>
      <c r="Q55" s="71">
        <f>M55/M48</f>
        <v>179000000</v>
      </c>
      <c r="R55" s="71">
        <v>2.5</v>
      </c>
      <c r="S55" s="111">
        <f t="shared" si="12"/>
        <v>6.4241014103055383</v>
      </c>
      <c r="T55" s="70" t="s">
        <v>313</v>
      </c>
      <c r="U55" s="70"/>
      <c r="V55" s="70"/>
      <c r="W55" s="70"/>
      <c r="X55" s="70"/>
      <c r="Y55" s="129" t="e">
        <f t="shared" si="3"/>
        <v>#DIV/0!</v>
      </c>
      <c r="Z55" s="129" t="e">
        <f t="shared" si="4"/>
        <v>#DIV/0!</v>
      </c>
    </row>
    <row r="56" spans="1:26"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129" t="e">
        <f t="shared" si="3"/>
        <v>#DIV/0!</v>
      </c>
      <c r="Z56" s="129" t="e">
        <f t="shared" si="4"/>
        <v>#DIV/0!</v>
      </c>
    </row>
    <row r="57" spans="1:26" ht="14.45">
      <c r="A57" s="145" t="s">
        <v>314</v>
      </c>
      <c r="B57" s="66">
        <v>38</v>
      </c>
      <c r="C57" s="51" t="s">
        <v>315</v>
      </c>
      <c r="D57" s="41" t="s">
        <v>311</v>
      </c>
      <c r="E57" s="121">
        <v>1.9000000000000001E-4</v>
      </c>
      <c r="F57" s="68">
        <v>100</v>
      </c>
      <c r="G57" s="67">
        <v>1.9999999999999999E-7</v>
      </c>
      <c r="H57" s="67">
        <f>E57*F57/G57</f>
        <v>95000</v>
      </c>
      <c r="I57" s="67">
        <f>H57/10</f>
        <v>9500</v>
      </c>
      <c r="J57" s="68"/>
      <c r="K57" s="68"/>
      <c r="L57" s="68">
        <v>227</v>
      </c>
      <c r="M57" s="68">
        <v>58</v>
      </c>
      <c r="N57" s="68"/>
      <c r="O57" s="68"/>
      <c r="P57" s="68"/>
      <c r="Q57" s="67">
        <f>L57/L48</f>
        <v>45400000</v>
      </c>
      <c r="R57" s="67">
        <v>0.6</v>
      </c>
      <c r="S57" s="111">
        <f t="shared" ref="S57:S63" si="15">LN(Q57/I57)/(R57*LN(2))</f>
        <v>20.370795272703425</v>
      </c>
      <c r="T57" s="68" t="s">
        <v>274</v>
      </c>
      <c r="U57" s="70"/>
      <c r="V57" s="70"/>
      <c r="W57" s="70"/>
      <c r="X57" s="70"/>
      <c r="Y57" s="129" t="e">
        <f t="shared" si="3"/>
        <v>#DIV/0!</v>
      </c>
      <c r="Z57" s="129" t="e">
        <f t="shared" si="4"/>
        <v>#DIV/0!</v>
      </c>
    </row>
    <row r="58" spans="1:26" ht="14.45">
      <c r="A58" s="146"/>
      <c r="B58" s="66">
        <v>39</v>
      </c>
      <c r="C58" s="51">
        <v>45.1</v>
      </c>
      <c r="D58" s="41" t="s">
        <v>310</v>
      </c>
      <c r="E58" s="121">
        <v>1.18E-2</v>
      </c>
      <c r="F58" s="68">
        <v>70</v>
      </c>
      <c r="G58" s="67">
        <v>1.0000000000000001E-5</v>
      </c>
      <c r="H58" s="67">
        <f t="shared" ref="H58:H63" si="16">E58*F58/G58</f>
        <v>82599.999999999985</v>
      </c>
      <c r="I58" s="67">
        <f t="shared" ref="I58:I63" si="17">H58/10</f>
        <v>8259.9999999999982</v>
      </c>
      <c r="J58" s="68"/>
      <c r="K58" s="68">
        <v>65</v>
      </c>
      <c r="L58" s="68"/>
      <c r="M58" s="68"/>
      <c r="N58" s="68"/>
      <c r="O58" s="68"/>
      <c r="P58" s="68"/>
      <c r="Q58" s="67">
        <f>K58/K48</f>
        <v>6499999.9999999991</v>
      </c>
      <c r="R58" s="67">
        <v>0.75</v>
      </c>
      <c r="S58" s="111">
        <f t="shared" si="15"/>
        <v>12.826776294877947</v>
      </c>
      <c r="T58" s="68" t="s">
        <v>274</v>
      </c>
      <c r="U58" s="70"/>
      <c r="V58" s="70"/>
      <c r="W58" s="70"/>
      <c r="X58" s="70"/>
      <c r="Y58" s="129" t="e">
        <f t="shared" si="3"/>
        <v>#DIV/0!</v>
      </c>
      <c r="Z58" s="129" t="e">
        <f t="shared" si="4"/>
        <v>#DIV/0!</v>
      </c>
    </row>
    <row r="59" spans="1:26" ht="14.45">
      <c r="A59" s="146"/>
      <c r="B59" s="66">
        <v>40</v>
      </c>
      <c r="C59" s="51">
        <v>52.1</v>
      </c>
      <c r="D59" s="41" t="s">
        <v>309</v>
      </c>
      <c r="E59" s="121">
        <v>1.89E-2</v>
      </c>
      <c r="F59" s="68">
        <v>113</v>
      </c>
      <c r="G59" s="67">
        <v>2.0000000000000002E-5</v>
      </c>
      <c r="H59" s="67">
        <f t="shared" si="16"/>
        <v>106784.99999999999</v>
      </c>
      <c r="I59" s="67">
        <f t="shared" si="17"/>
        <v>10678.499999999998</v>
      </c>
      <c r="J59" s="68"/>
      <c r="K59" s="68"/>
      <c r="L59" s="68">
        <v>127</v>
      </c>
      <c r="M59" s="68"/>
      <c r="N59" s="68"/>
      <c r="O59" s="68"/>
      <c r="P59" s="68"/>
      <c r="Q59" s="67">
        <f>L59/L48</f>
        <v>25399999.999999996</v>
      </c>
      <c r="R59" s="67">
        <v>0.75</v>
      </c>
      <c r="S59" s="111">
        <f t="shared" si="15"/>
        <v>14.954538366096957</v>
      </c>
      <c r="T59" s="68" t="s">
        <v>274</v>
      </c>
      <c r="U59" s="70"/>
      <c r="V59" s="70"/>
      <c r="W59" s="70"/>
      <c r="X59" s="70"/>
      <c r="Y59" s="129" t="e">
        <f t="shared" si="3"/>
        <v>#DIV/0!</v>
      </c>
      <c r="Z59" s="129" t="e">
        <f t="shared" si="4"/>
        <v>#DIV/0!</v>
      </c>
    </row>
    <row r="60" spans="1:26" ht="14.45">
      <c r="A60" s="146"/>
      <c r="B60" s="66">
        <v>41</v>
      </c>
      <c r="C60" s="51">
        <v>217.1</v>
      </c>
      <c r="D60" s="41" t="s">
        <v>107</v>
      </c>
      <c r="E60" s="121">
        <v>1.01E-2</v>
      </c>
      <c r="F60" s="70">
        <v>91</v>
      </c>
      <c r="G60" s="67">
        <v>1.0000000000000001E-5</v>
      </c>
      <c r="H60" s="67">
        <f t="shared" si="16"/>
        <v>91909.999999999985</v>
      </c>
      <c r="I60" s="67">
        <f t="shared" si="17"/>
        <v>9190.9999999999982</v>
      </c>
      <c r="J60" s="68"/>
      <c r="K60" s="68">
        <v>77</v>
      </c>
      <c r="L60" s="68"/>
      <c r="M60" s="68"/>
      <c r="N60" s="68"/>
      <c r="O60" s="68"/>
      <c r="P60" s="68"/>
      <c r="Q60" s="67">
        <f>K60/K48</f>
        <v>7699999.9999999991</v>
      </c>
      <c r="R60" s="67">
        <v>1</v>
      </c>
      <c r="S60" s="111">
        <f t="shared" si="15"/>
        <v>9.7104208921812223</v>
      </c>
      <c r="T60" s="68" t="s">
        <v>274</v>
      </c>
      <c r="U60" s="70"/>
      <c r="V60" s="70"/>
      <c r="W60" s="70"/>
      <c r="X60" s="70"/>
      <c r="Y60" s="129" t="e">
        <f t="shared" si="3"/>
        <v>#DIV/0!</v>
      </c>
      <c r="Z60" s="129" t="e">
        <f t="shared" si="4"/>
        <v>#DIV/0!</v>
      </c>
    </row>
    <row r="61" spans="1:26" ht="14.45">
      <c r="A61" s="146"/>
      <c r="B61" s="66">
        <v>42</v>
      </c>
      <c r="C61" s="69">
        <v>234.1</v>
      </c>
      <c r="D61" s="41" t="s">
        <v>108</v>
      </c>
      <c r="E61" s="122">
        <v>3.6799999999999999E-2</v>
      </c>
      <c r="F61" s="70">
        <v>95</v>
      </c>
      <c r="G61" s="71">
        <v>5.0000000000000002E-5</v>
      </c>
      <c r="H61" s="67">
        <f t="shared" si="16"/>
        <v>69920</v>
      </c>
      <c r="I61" s="67">
        <f t="shared" si="17"/>
        <v>6992</v>
      </c>
      <c r="J61" s="70"/>
      <c r="K61" s="70">
        <v>79</v>
      </c>
      <c r="L61" s="70">
        <v>40</v>
      </c>
      <c r="M61" s="70"/>
      <c r="N61" s="70"/>
      <c r="O61" s="70"/>
      <c r="P61" s="70"/>
      <c r="Q61" s="71">
        <f>K61/K48</f>
        <v>7899999.9999999991</v>
      </c>
      <c r="R61" s="71">
        <v>1</v>
      </c>
      <c r="S61" s="111">
        <f t="shared" si="15"/>
        <v>10.141931753113317</v>
      </c>
      <c r="T61" s="70" t="s">
        <v>274</v>
      </c>
      <c r="U61" s="70"/>
      <c r="V61" s="70"/>
      <c r="W61" s="70"/>
      <c r="X61" s="70"/>
      <c r="Y61" s="129" t="e">
        <f t="shared" si="3"/>
        <v>#DIV/0!</v>
      </c>
      <c r="Z61" s="129" t="e">
        <f t="shared" si="4"/>
        <v>#DIV/0!</v>
      </c>
    </row>
    <row r="62" spans="1:26" ht="14.45">
      <c r="A62" s="146"/>
      <c r="B62" s="66">
        <v>43</v>
      </c>
      <c r="C62" s="69">
        <v>233.1</v>
      </c>
      <c r="D62" s="41" t="s">
        <v>96</v>
      </c>
      <c r="E62" s="122">
        <v>2.1299999999999999E-2</v>
      </c>
      <c r="F62" s="70">
        <v>59</v>
      </c>
      <c r="G62" s="71">
        <v>2.0000000000000002E-5</v>
      </c>
      <c r="H62" s="67">
        <f t="shared" si="16"/>
        <v>62834.999999999993</v>
      </c>
      <c r="I62" s="67">
        <f t="shared" si="17"/>
        <v>6283.4999999999991</v>
      </c>
      <c r="J62" s="70"/>
      <c r="K62" s="70"/>
      <c r="L62" s="70"/>
      <c r="M62" s="70">
        <v>116</v>
      </c>
      <c r="N62" s="70"/>
      <c r="O62" s="70"/>
      <c r="P62" s="70"/>
      <c r="Q62" s="71">
        <f>M62/M48</f>
        <v>116000000</v>
      </c>
      <c r="R62" s="71">
        <v>1.25</v>
      </c>
      <c r="S62" s="111">
        <f t="shared" si="15"/>
        <v>11.337757515891255</v>
      </c>
      <c r="T62" s="70" t="s">
        <v>316</v>
      </c>
      <c r="U62" s="71">
        <f>25/G62*E62/10</f>
        <v>2662.5</v>
      </c>
      <c r="V62" s="71">
        <f>86/M48</f>
        <v>86000000</v>
      </c>
      <c r="W62" s="71">
        <f>34/G62*E62/10</f>
        <v>3620.9999999999991</v>
      </c>
      <c r="X62" s="71">
        <f>30/M48</f>
        <v>30000000</v>
      </c>
      <c r="Y62" s="129">
        <f t="shared" si="3"/>
        <v>11.983414011220567</v>
      </c>
      <c r="Z62" s="129">
        <f t="shared" si="4"/>
        <v>10.413029362765213</v>
      </c>
    </row>
    <row r="63" spans="1:26" ht="14.45">
      <c r="A63" s="147"/>
      <c r="B63" s="66">
        <v>44</v>
      </c>
      <c r="C63" s="95">
        <v>214.1</v>
      </c>
      <c r="D63" s="94" t="s">
        <v>104</v>
      </c>
      <c r="E63" s="122">
        <v>5.5999999999999995E-4</v>
      </c>
      <c r="F63" s="70">
        <v>176</v>
      </c>
      <c r="G63" s="96">
        <v>6.0000000000000002E-6</v>
      </c>
      <c r="H63" s="67">
        <f t="shared" si="16"/>
        <v>16426.666666666664</v>
      </c>
      <c r="I63" s="67">
        <f t="shared" si="17"/>
        <v>1642.6666666666665</v>
      </c>
      <c r="J63" s="70"/>
      <c r="K63" s="70"/>
      <c r="L63" s="70">
        <v>152</v>
      </c>
      <c r="M63" s="70">
        <v>18</v>
      </c>
      <c r="N63" s="70"/>
      <c r="O63" s="70"/>
      <c r="P63" s="70"/>
      <c r="Q63" s="71">
        <f>L63/L48</f>
        <v>30399999.999999996</v>
      </c>
      <c r="R63" s="71">
        <v>1.5</v>
      </c>
      <c r="S63" s="111">
        <f t="shared" si="15"/>
        <v>9.4504959652711022</v>
      </c>
      <c r="T63" s="70" t="s">
        <v>317</v>
      </c>
      <c r="U63" s="70"/>
      <c r="V63" s="70"/>
      <c r="W63" s="70"/>
      <c r="X63" s="70"/>
      <c r="Y63" s="129" t="e">
        <f t="shared" si="3"/>
        <v>#DIV/0!</v>
      </c>
      <c r="Z63" s="129" t="e">
        <f t="shared" si="4"/>
        <v>#DIV/0!</v>
      </c>
    </row>
    <row r="64" spans="1:26"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129" t="e">
        <f t="shared" si="3"/>
        <v>#DIV/0!</v>
      </c>
      <c r="Z64" s="129" t="e">
        <f t="shared" si="4"/>
        <v>#DIV/0!</v>
      </c>
    </row>
    <row r="65" spans="1:26" ht="14.45">
      <c r="A65" s="145" t="s">
        <v>318</v>
      </c>
      <c r="B65" s="66">
        <v>45</v>
      </c>
      <c r="C65" s="51" t="s">
        <v>319</v>
      </c>
      <c r="D65" s="41" t="s">
        <v>311</v>
      </c>
      <c r="E65" s="121">
        <v>2.2000000000000001E-3</v>
      </c>
      <c r="F65" s="68">
        <v>76</v>
      </c>
      <c r="G65" s="67">
        <v>2.2000000000000001E-6</v>
      </c>
      <c r="H65" s="67">
        <f>E65*F65/G65</f>
        <v>76000</v>
      </c>
      <c r="I65" s="67">
        <f>H65/10</f>
        <v>7600</v>
      </c>
      <c r="J65" s="68"/>
      <c r="K65" s="68"/>
      <c r="L65" s="68"/>
      <c r="M65" s="68">
        <v>55</v>
      </c>
      <c r="N65" s="68"/>
      <c r="O65" s="68"/>
      <c r="P65" s="68"/>
      <c r="Q65" s="67">
        <f>M65/M48</f>
        <v>55000000</v>
      </c>
      <c r="R65" s="67">
        <v>0.6</v>
      </c>
      <c r="S65" s="111">
        <f t="shared" ref="S65:S71" si="18">LN(Q65/I65)/(R65*LN(2))</f>
        <v>21.368574299384207</v>
      </c>
      <c r="T65" s="68" t="s">
        <v>274</v>
      </c>
      <c r="U65" s="70"/>
      <c r="V65" s="70"/>
      <c r="W65" s="70"/>
      <c r="X65" s="70"/>
      <c r="Y65" s="129" t="e">
        <f t="shared" si="3"/>
        <v>#DIV/0!</v>
      </c>
      <c r="Z65" s="129" t="e">
        <f t="shared" si="4"/>
        <v>#DIV/0!</v>
      </c>
    </row>
    <row r="66" spans="1:26" ht="14.45">
      <c r="A66" s="146"/>
      <c r="B66" s="66">
        <v>46</v>
      </c>
      <c r="C66" s="51">
        <v>45.2</v>
      </c>
      <c r="D66" s="41" t="s">
        <v>310</v>
      </c>
      <c r="E66" s="121">
        <v>1.54E-2</v>
      </c>
      <c r="F66" s="68">
        <v>117</v>
      </c>
      <c r="G66" s="67">
        <v>2.0000000000000002E-5</v>
      </c>
      <c r="H66" s="67">
        <f t="shared" ref="H66:H71" si="19">E66*F66/G66</f>
        <v>90090</v>
      </c>
      <c r="I66" s="67">
        <f t="shared" ref="I66:I71" si="20">H66/10</f>
        <v>9009</v>
      </c>
      <c r="J66" s="68"/>
      <c r="K66" s="68">
        <v>120</v>
      </c>
      <c r="L66" s="68"/>
      <c r="M66" s="68"/>
      <c r="N66" s="68"/>
      <c r="O66" s="68"/>
      <c r="P66" s="68"/>
      <c r="Q66" s="67">
        <f>K66/K48</f>
        <v>11999999.999999998</v>
      </c>
      <c r="R66" s="67">
        <v>0.75</v>
      </c>
      <c r="S66" s="111">
        <f t="shared" si="18"/>
        <v>13.839173079689367</v>
      </c>
      <c r="T66" s="68" t="s">
        <v>274</v>
      </c>
      <c r="U66" s="70"/>
      <c r="V66" s="70"/>
      <c r="W66" s="70"/>
      <c r="X66" s="70"/>
      <c r="Y66" s="129" t="e">
        <f t="shared" si="3"/>
        <v>#DIV/0!</v>
      </c>
      <c r="Z66" s="129" t="e">
        <f t="shared" si="4"/>
        <v>#DIV/0!</v>
      </c>
    </row>
    <row r="67" spans="1:26" ht="14.45">
      <c r="A67" s="146"/>
      <c r="B67" s="66">
        <v>47</v>
      </c>
      <c r="C67" s="51">
        <v>52.2</v>
      </c>
      <c r="D67" s="41" t="s">
        <v>309</v>
      </c>
      <c r="E67" s="121">
        <v>4.0000000000000001E-3</v>
      </c>
      <c r="F67" s="68">
        <v>121</v>
      </c>
      <c r="G67" s="67">
        <v>5.0000000000000004E-6</v>
      </c>
      <c r="H67" s="67">
        <f t="shared" si="19"/>
        <v>96799.999999999985</v>
      </c>
      <c r="I67" s="67">
        <f t="shared" si="20"/>
        <v>9679.9999999999982</v>
      </c>
      <c r="J67" s="68"/>
      <c r="K67" s="68"/>
      <c r="L67" s="68"/>
      <c r="M67" s="75">
        <v>425</v>
      </c>
      <c r="N67" s="68"/>
      <c r="O67" s="68"/>
      <c r="P67" s="68"/>
      <c r="Q67" s="67">
        <f>M67/M48</f>
        <v>425000000</v>
      </c>
      <c r="R67" s="67">
        <v>1</v>
      </c>
      <c r="S67" s="111">
        <f t="shared" si="18"/>
        <v>15.422096268187284</v>
      </c>
      <c r="T67" s="68" t="s">
        <v>274</v>
      </c>
      <c r="U67" s="70"/>
      <c r="V67" s="70"/>
      <c r="W67" s="70"/>
      <c r="X67" s="70"/>
      <c r="Y67" s="129" t="e">
        <f t="shared" si="3"/>
        <v>#DIV/0!</v>
      </c>
      <c r="Z67" s="129" t="e">
        <f t="shared" si="4"/>
        <v>#DIV/0!</v>
      </c>
    </row>
    <row r="68" spans="1:26" ht="14.45">
      <c r="A68" s="146"/>
      <c r="B68" s="66">
        <v>48</v>
      </c>
      <c r="C68" s="69">
        <v>233.2</v>
      </c>
      <c r="D68" s="41" t="s">
        <v>96</v>
      </c>
      <c r="E68" s="122">
        <v>8.5999999999999998E-4</v>
      </c>
      <c r="F68" s="70">
        <v>83</v>
      </c>
      <c r="G68" s="67">
        <v>9.9999999999999995E-7</v>
      </c>
      <c r="H68" s="67">
        <f>E69*F68/G68</f>
        <v>1079000</v>
      </c>
      <c r="I68" s="67">
        <f t="shared" si="20"/>
        <v>107900</v>
      </c>
      <c r="J68" s="68"/>
      <c r="K68" s="68"/>
      <c r="L68" s="68"/>
      <c r="M68" s="68">
        <v>237</v>
      </c>
      <c r="N68" s="68"/>
      <c r="O68" s="68"/>
      <c r="P68" s="68"/>
      <c r="Q68" s="67">
        <f>M68/M48</f>
        <v>237000000</v>
      </c>
      <c r="R68" s="67">
        <v>1.25</v>
      </c>
      <c r="S68" s="111">
        <f t="shared" si="18"/>
        <v>8.8807811831677519</v>
      </c>
      <c r="T68" s="68" t="s">
        <v>320</v>
      </c>
      <c r="U68" s="71">
        <f>55/G68*E68/10</f>
        <v>4730</v>
      </c>
      <c r="V68" s="71">
        <f>189/M48</f>
        <v>189000000</v>
      </c>
      <c r="W68" s="71">
        <f>28/G68*E68/10</f>
        <v>2408</v>
      </c>
      <c r="X68" s="71">
        <f>48/M48</f>
        <v>48000000</v>
      </c>
      <c r="Y68" s="129">
        <f t="shared" si="3"/>
        <v>12.228949220254792</v>
      </c>
      <c r="Z68" s="129">
        <f t="shared" si="4"/>
        <v>11.426329114628501</v>
      </c>
    </row>
    <row r="69" spans="1:26" ht="14.45">
      <c r="A69" s="146"/>
      <c r="B69" s="66">
        <v>49</v>
      </c>
      <c r="C69" s="51">
        <v>217.2</v>
      </c>
      <c r="D69" s="41" t="s">
        <v>107</v>
      </c>
      <c r="E69" s="121">
        <v>1.2999999999999999E-2</v>
      </c>
      <c r="F69" s="70">
        <v>65</v>
      </c>
      <c r="G69" s="71">
        <v>1.0000000000000001E-5</v>
      </c>
      <c r="H69" s="67">
        <f>E70*F69/G69</f>
        <v>82550</v>
      </c>
      <c r="I69" s="67">
        <f t="shared" si="20"/>
        <v>8255</v>
      </c>
      <c r="J69" s="70"/>
      <c r="K69" s="70"/>
      <c r="L69" s="70"/>
      <c r="M69" s="70">
        <v>47</v>
      </c>
      <c r="N69" s="70"/>
      <c r="O69" s="70"/>
      <c r="P69" s="70"/>
      <c r="Q69" s="71">
        <f>M69/M48</f>
        <v>47000000</v>
      </c>
      <c r="R69" s="97">
        <v>1.25</v>
      </c>
      <c r="S69" s="111">
        <f t="shared" si="18"/>
        <v>9.980083936960952</v>
      </c>
      <c r="T69" s="70" t="s">
        <v>274</v>
      </c>
      <c r="U69" s="70"/>
      <c r="V69" s="70"/>
      <c r="W69" s="70"/>
      <c r="X69" s="70"/>
      <c r="Y69" s="129" t="e">
        <f t="shared" si="3"/>
        <v>#DIV/0!</v>
      </c>
      <c r="Z69" s="129" t="e">
        <f t="shared" si="4"/>
        <v>#DIV/0!</v>
      </c>
    </row>
    <row r="70" spans="1:26" ht="14.45">
      <c r="A70" s="146"/>
      <c r="B70" s="66">
        <v>50</v>
      </c>
      <c r="C70" s="69">
        <v>234.2</v>
      </c>
      <c r="D70" s="41" t="s">
        <v>108</v>
      </c>
      <c r="E70" s="122">
        <v>1.2699999999999999E-2</v>
      </c>
      <c r="F70" s="70">
        <v>69</v>
      </c>
      <c r="G70" s="71">
        <v>1.0000000000000001E-5</v>
      </c>
      <c r="H70" s="67">
        <f>E68*F70/G70</f>
        <v>5933.9999999999991</v>
      </c>
      <c r="I70" s="67">
        <f t="shared" si="20"/>
        <v>593.39999999999986</v>
      </c>
      <c r="J70" s="70"/>
      <c r="K70" s="70"/>
      <c r="L70" s="70"/>
      <c r="M70" s="70">
        <v>86</v>
      </c>
      <c r="N70" s="70"/>
      <c r="O70" s="70"/>
      <c r="P70" s="70"/>
      <c r="Q70" s="71">
        <f>M70/M48</f>
        <v>86000000</v>
      </c>
      <c r="R70" s="71">
        <v>1.25</v>
      </c>
      <c r="S70" s="111">
        <f t="shared" si="18"/>
        <v>13.715977765946693</v>
      </c>
      <c r="T70" s="70" t="s">
        <v>321</v>
      </c>
      <c r="U70" s="71">
        <f>1/G70*E70/10</f>
        <v>126.99999999999997</v>
      </c>
      <c r="V70" s="71">
        <f>2/M48</f>
        <v>2000000</v>
      </c>
      <c r="W70" s="71">
        <f>68/G70*E70/10</f>
        <v>8635.9999999999982</v>
      </c>
      <c r="X70" s="71">
        <f>84/M48</f>
        <v>84000000</v>
      </c>
      <c r="Y70" s="129">
        <f t="shared" si="3"/>
        <v>11.154307106041607</v>
      </c>
      <c r="Z70" s="129">
        <f t="shared" si="4"/>
        <v>10.598190771264344</v>
      </c>
    </row>
    <row r="71" spans="1:26" ht="14.45">
      <c r="A71" s="147"/>
      <c r="B71" s="66">
        <v>51</v>
      </c>
      <c r="C71" s="95">
        <v>214.2</v>
      </c>
      <c r="D71" s="94" t="s">
        <v>104</v>
      </c>
      <c r="E71" s="122">
        <v>3.3E-3</v>
      </c>
      <c r="F71" s="70">
        <v>136</v>
      </c>
      <c r="G71" s="71">
        <v>3.0000000000000001E-6</v>
      </c>
      <c r="H71" s="67">
        <f t="shared" si="19"/>
        <v>149600</v>
      </c>
      <c r="I71" s="67">
        <f t="shared" si="20"/>
        <v>14960</v>
      </c>
      <c r="J71" s="70"/>
      <c r="K71" s="70"/>
      <c r="L71" s="70"/>
      <c r="M71" s="70"/>
      <c r="N71" s="70"/>
      <c r="O71" s="70"/>
      <c r="P71" s="70">
        <v>40</v>
      </c>
      <c r="Q71" s="71">
        <f>P71/P48</f>
        <v>4000000000</v>
      </c>
      <c r="R71" s="71">
        <v>2.5</v>
      </c>
      <c r="S71" s="111">
        <f t="shared" si="18"/>
        <v>7.2114121196845051</v>
      </c>
      <c r="T71" s="70" t="s">
        <v>322</v>
      </c>
      <c r="U71" s="71">
        <f>1/G71*E71/10</f>
        <v>110</v>
      </c>
      <c r="V71" s="71">
        <f>5/P48</f>
        <v>500000000</v>
      </c>
      <c r="W71" s="71">
        <f>135/G71*E71/10</f>
        <v>14850</v>
      </c>
      <c r="X71" s="71">
        <f>35/P48</f>
        <v>3500000000</v>
      </c>
      <c r="Y71" s="129">
        <f t="shared" si="3"/>
        <v>8.8463972561846411</v>
      </c>
      <c r="Z71" s="129">
        <f t="shared" si="4"/>
        <v>7.1386129861873506</v>
      </c>
    </row>
    <row r="72" spans="1:26"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129" t="e">
        <f t="shared" si="3"/>
        <v>#DIV/0!</v>
      </c>
      <c r="Z72" s="129" t="e">
        <f t="shared" si="4"/>
        <v>#DIV/0!</v>
      </c>
    </row>
    <row r="73" spans="1:26" ht="14.45">
      <c r="A73" s="148" t="s">
        <v>323</v>
      </c>
      <c r="B73" s="66">
        <v>52</v>
      </c>
      <c r="C73" s="51" t="s">
        <v>324</v>
      </c>
      <c r="D73" s="41" t="s">
        <v>311</v>
      </c>
      <c r="E73" s="121">
        <v>1.82E-3</v>
      </c>
      <c r="F73" s="68">
        <v>99</v>
      </c>
      <c r="G73" s="67">
        <v>1.9999999999999999E-6</v>
      </c>
      <c r="H73" s="67">
        <f>E73*F73/G73</f>
        <v>90090.000000000015</v>
      </c>
      <c r="I73" s="67">
        <f>H73/10</f>
        <v>9009.0000000000018</v>
      </c>
      <c r="J73" s="68"/>
      <c r="K73" s="68"/>
      <c r="L73" s="68">
        <v>141</v>
      </c>
      <c r="M73" s="68">
        <v>24</v>
      </c>
      <c r="N73" s="68"/>
      <c r="O73" s="68"/>
      <c r="P73" s="68"/>
      <c r="Q73" s="67">
        <f>L73/L48</f>
        <v>28199999.999999996</v>
      </c>
      <c r="R73" s="67">
        <v>0.6</v>
      </c>
      <c r="S73" s="111">
        <f t="shared" ref="S73:S79" si="21">LN(Q73/I73)/(R73*LN(2))</f>
        <v>19.353400944262166</v>
      </c>
      <c r="T73" s="68" t="s">
        <v>274</v>
      </c>
      <c r="U73" s="70"/>
      <c r="V73" s="70"/>
      <c r="W73" s="70"/>
      <c r="X73" s="70"/>
      <c r="Y73" s="129" t="e">
        <f t="shared" si="3"/>
        <v>#DIV/0!</v>
      </c>
      <c r="Z73" s="129" t="e">
        <f t="shared" si="4"/>
        <v>#DIV/0!</v>
      </c>
    </row>
    <row r="74" spans="1:26" ht="14.45">
      <c r="A74" s="148"/>
      <c r="B74" s="66">
        <v>53</v>
      </c>
      <c r="C74" s="51">
        <v>45.3</v>
      </c>
      <c r="D74" s="41" t="s">
        <v>310</v>
      </c>
      <c r="E74" s="121">
        <v>8.3000000000000001E-3</v>
      </c>
      <c r="F74" s="68">
        <v>65</v>
      </c>
      <c r="G74" s="67">
        <v>7.9999999999999996E-6</v>
      </c>
      <c r="H74" s="67">
        <f t="shared" ref="H74:H75" si="22">E74*F74/G74</f>
        <v>67437.5</v>
      </c>
      <c r="I74" s="67">
        <f t="shared" ref="I74:I79" si="23">H74/10</f>
        <v>6743.75</v>
      </c>
      <c r="J74" s="68"/>
      <c r="K74" s="68">
        <v>72</v>
      </c>
      <c r="L74" s="68">
        <v>30</v>
      </c>
      <c r="M74" s="68"/>
      <c r="N74" s="68"/>
      <c r="O74" s="68"/>
      <c r="P74" s="68"/>
      <c r="Q74" s="67">
        <f>K74/K48</f>
        <v>7199999.9999999991</v>
      </c>
      <c r="R74" s="67">
        <v>0.75</v>
      </c>
      <c r="S74" s="111">
        <f t="shared" si="21"/>
        <v>13.413640182155179</v>
      </c>
      <c r="T74" s="68" t="s">
        <v>274</v>
      </c>
      <c r="U74" s="70"/>
      <c r="V74" s="70"/>
      <c r="W74" s="70"/>
      <c r="X74" s="70"/>
      <c r="Y74" s="129" t="e">
        <f t="shared" si="3"/>
        <v>#DIV/0!</v>
      </c>
      <c r="Z74" s="129" t="e">
        <f t="shared" si="4"/>
        <v>#DIV/0!</v>
      </c>
    </row>
    <row r="75" spans="1:26" ht="14.45">
      <c r="A75" s="148"/>
      <c r="B75" s="66">
        <v>54</v>
      </c>
      <c r="C75" s="51">
        <v>52.3</v>
      </c>
      <c r="D75" s="41" t="s">
        <v>309</v>
      </c>
      <c r="E75" s="121">
        <v>2.4000000000000001E-4</v>
      </c>
      <c r="F75" s="68">
        <v>64</v>
      </c>
      <c r="G75" s="67">
        <v>1.9999999999999999E-7</v>
      </c>
      <c r="H75" s="67">
        <f t="shared" si="22"/>
        <v>76800</v>
      </c>
      <c r="I75" s="67">
        <f t="shared" si="23"/>
        <v>7680</v>
      </c>
      <c r="J75" s="68"/>
      <c r="K75" s="68"/>
      <c r="L75" s="68">
        <v>125</v>
      </c>
      <c r="M75" s="70"/>
      <c r="N75" s="68"/>
      <c r="O75" s="68"/>
      <c r="P75" s="68"/>
      <c r="Q75" s="67">
        <f>L75/L48</f>
        <v>24999999.999999996</v>
      </c>
      <c r="R75" s="67">
        <v>0.75</v>
      </c>
      <c r="S75" s="111">
        <f t="shared" si="21"/>
        <v>15.558045551320509</v>
      </c>
      <c r="T75" s="68" t="s">
        <v>274</v>
      </c>
      <c r="U75" s="70"/>
      <c r="V75" s="70"/>
      <c r="W75" s="70"/>
      <c r="X75" s="70"/>
      <c r="Y75" s="129" t="e">
        <f t="shared" si="3"/>
        <v>#DIV/0!</v>
      </c>
      <c r="Z75" s="129" t="e">
        <f t="shared" si="4"/>
        <v>#DIV/0!</v>
      </c>
    </row>
    <row r="76" spans="1:26" ht="14.45">
      <c r="A76" s="148"/>
      <c r="B76" s="66">
        <v>55</v>
      </c>
      <c r="C76" s="69">
        <v>233.3</v>
      </c>
      <c r="D76" s="41" t="s">
        <v>96</v>
      </c>
      <c r="E76" s="122">
        <v>4.2000000000000002E-4</v>
      </c>
      <c r="F76" s="70">
        <v>76</v>
      </c>
      <c r="G76" s="67">
        <v>3.9999999999999998E-7</v>
      </c>
      <c r="H76" s="67">
        <f>E77*F76/G76</f>
        <v>399000</v>
      </c>
      <c r="I76" s="67">
        <f t="shared" si="23"/>
        <v>39900</v>
      </c>
      <c r="J76" s="68"/>
      <c r="K76" s="68"/>
      <c r="L76" s="68">
        <v>185</v>
      </c>
      <c r="M76" s="68">
        <v>35</v>
      </c>
      <c r="N76" s="68"/>
      <c r="O76" s="68"/>
      <c r="P76" s="68"/>
      <c r="Q76" s="67">
        <f>L76/L48</f>
        <v>37000000</v>
      </c>
      <c r="R76" s="67">
        <v>1</v>
      </c>
      <c r="S76" s="111">
        <f t="shared" si="21"/>
        <v>9.8569208089560529</v>
      </c>
      <c r="T76" s="70" t="s">
        <v>325</v>
      </c>
      <c r="U76" s="71">
        <f>57/G76*E76/10</f>
        <v>5985</v>
      </c>
      <c r="V76" s="71">
        <f>27/M48</f>
        <v>27000000</v>
      </c>
      <c r="W76" s="71">
        <f>19/G76*E76/10</f>
        <v>1995</v>
      </c>
      <c r="X76" s="71">
        <f>8/M48</f>
        <v>8000000</v>
      </c>
      <c r="Y76" s="129">
        <f t="shared" si="3"/>
        <v>12.139320539656778</v>
      </c>
      <c r="Z76" s="129">
        <f t="shared" si="4"/>
        <v>11.969395538214465</v>
      </c>
    </row>
    <row r="77" spans="1:26" ht="14.45">
      <c r="A77" s="148"/>
      <c r="B77" s="66">
        <v>56</v>
      </c>
      <c r="C77" s="51">
        <v>217.3</v>
      </c>
      <c r="D77" s="41" t="s">
        <v>107</v>
      </c>
      <c r="E77" s="121">
        <v>2.0999999999999999E-3</v>
      </c>
      <c r="F77" s="70">
        <v>97</v>
      </c>
      <c r="G77" s="71">
        <v>1.9999999999999999E-6</v>
      </c>
      <c r="H77" s="67">
        <f>E78*F77/G77</f>
        <v>56260</v>
      </c>
      <c r="I77" s="67">
        <f t="shared" si="23"/>
        <v>5626</v>
      </c>
      <c r="J77" s="70"/>
      <c r="K77" s="70"/>
      <c r="L77" s="70">
        <v>97</v>
      </c>
      <c r="M77" s="70"/>
      <c r="N77" s="70"/>
      <c r="O77" s="70"/>
      <c r="P77" s="70"/>
      <c r="Q77" s="71">
        <f>L77/L48</f>
        <v>19400000</v>
      </c>
      <c r="R77" s="97">
        <v>1</v>
      </c>
      <c r="S77" s="111">
        <f t="shared" si="21"/>
        <v>11.751659479309239</v>
      </c>
      <c r="T77" s="70" t="s">
        <v>274</v>
      </c>
      <c r="U77" s="70"/>
      <c r="V77" s="70"/>
      <c r="W77" s="70"/>
      <c r="X77" s="70"/>
      <c r="Y77" s="129" t="e">
        <f t="shared" ref="Y77:Y96" si="24">LN(V77/U77)/(R77*LN(2))</f>
        <v>#DIV/0!</v>
      </c>
      <c r="Z77" s="129" t="e">
        <f t="shared" ref="Z77:Z96" si="25">LN(X77/W77)/(R77*LN(2))</f>
        <v>#DIV/0!</v>
      </c>
    </row>
    <row r="78" spans="1:26" ht="14.45">
      <c r="A78" s="148"/>
      <c r="B78" s="66">
        <v>57</v>
      </c>
      <c r="C78" s="69">
        <v>234.3</v>
      </c>
      <c r="D78" s="41" t="s">
        <v>108</v>
      </c>
      <c r="E78" s="122">
        <v>1.16E-3</v>
      </c>
      <c r="F78" s="70">
        <v>75</v>
      </c>
      <c r="G78" s="71">
        <v>9.9999999999999995E-7</v>
      </c>
      <c r="H78" s="67">
        <f>E76*F78/G78</f>
        <v>31500</v>
      </c>
      <c r="I78" s="67">
        <f t="shared" si="23"/>
        <v>3150</v>
      </c>
      <c r="J78" s="70"/>
      <c r="K78" s="70"/>
      <c r="L78" s="70">
        <v>101</v>
      </c>
      <c r="M78" s="70"/>
      <c r="N78" s="70"/>
      <c r="O78" s="70"/>
      <c r="P78" s="70"/>
      <c r="Q78" s="67">
        <f>L78/L48</f>
        <v>20200000</v>
      </c>
      <c r="R78" s="71">
        <v>1</v>
      </c>
      <c r="S78" s="111">
        <f t="shared" si="21"/>
        <v>12.646715843913967</v>
      </c>
      <c r="T78" s="70" t="s">
        <v>326</v>
      </c>
      <c r="U78" s="71">
        <f>2/G78*E78/10</f>
        <v>232</v>
      </c>
      <c r="V78" s="71">
        <f>9/L48</f>
        <v>1799999.9999999998</v>
      </c>
      <c r="W78" s="71">
        <f>73/G78*E78/10</f>
        <v>8468</v>
      </c>
      <c r="X78" s="71">
        <f>92/L48</f>
        <v>18400000</v>
      </c>
      <c r="Y78" s="129">
        <f t="shared" si="24"/>
        <v>12.921584480751553</v>
      </c>
      <c r="Z78" s="129">
        <f t="shared" si="25"/>
        <v>11.085396876486236</v>
      </c>
    </row>
    <row r="79" spans="1:26" ht="14.45">
      <c r="A79" s="148"/>
      <c r="B79" s="66">
        <v>58</v>
      </c>
      <c r="C79" s="95">
        <v>214.3</v>
      </c>
      <c r="D79" s="94" t="s">
        <v>104</v>
      </c>
      <c r="E79" s="122">
        <v>3.0000000000000001E-5</v>
      </c>
      <c r="F79" s="70">
        <v>138</v>
      </c>
      <c r="G79" s="71">
        <v>2.9999999999999997E-8</v>
      </c>
      <c r="H79" s="67">
        <f t="shared" ref="H79" si="26">E79*F79/G79</f>
        <v>138000.00000000003</v>
      </c>
      <c r="I79" s="67">
        <f t="shared" si="23"/>
        <v>13800.000000000004</v>
      </c>
      <c r="J79" s="70"/>
      <c r="K79" s="70"/>
      <c r="L79" s="70"/>
      <c r="M79" s="70"/>
      <c r="N79" s="70"/>
      <c r="O79" s="70"/>
      <c r="P79" s="70">
        <v>276</v>
      </c>
      <c r="Q79" s="71">
        <f>P79/P48</f>
        <v>27600000000</v>
      </c>
      <c r="R79" s="71">
        <v>2.5</v>
      </c>
      <c r="S79" s="111">
        <f t="shared" si="21"/>
        <v>8.3726274277296699</v>
      </c>
      <c r="T79" s="70" t="s">
        <v>327</v>
      </c>
      <c r="U79" s="71">
        <f>4/G79*E79/10</f>
        <v>400.00000000000006</v>
      </c>
      <c r="V79" s="71">
        <f>175/P48</f>
        <v>17500000000</v>
      </c>
      <c r="W79" s="71">
        <f>134/G79*E79/10</f>
        <v>13400</v>
      </c>
      <c r="X79" s="71">
        <f>101/P48</f>
        <v>10100000000</v>
      </c>
      <c r="Y79" s="129">
        <f t="shared" si="24"/>
        <v>10.153111872462601</v>
      </c>
      <c r="Z79" s="129">
        <f t="shared" si="25"/>
        <v>7.8094763446472788</v>
      </c>
    </row>
    <row r="80" spans="1:26"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129" t="e">
        <f t="shared" si="24"/>
        <v>#DIV/0!</v>
      </c>
      <c r="Z80" s="129" t="e">
        <f t="shared" si="25"/>
        <v>#DIV/0!</v>
      </c>
    </row>
    <row r="81" spans="1:26" ht="14.45">
      <c r="A81" s="148" t="s">
        <v>328</v>
      </c>
      <c r="B81" s="66">
        <v>59</v>
      </c>
      <c r="C81" s="51" t="s">
        <v>329</v>
      </c>
      <c r="D81" s="41" t="s">
        <v>311</v>
      </c>
      <c r="E81" s="121">
        <v>3.5999999999999999E-3</v>
      </c>
      <c r="F81" s="68">
        <v>101</v>
      </c>
      <c r="G81" s="67">
        <v>3.9999999999999998E-6</v>
      </c>
      <c r="H81" s="67">
        <f>E81*F81/G81</f>
        <v>90900</v>
      </c>
      <c r="I81" s="67">
        <f>H81/10</f>
        <v>9090</v>
      </c>
      <c r="J81" s="68"/>
      <c r="K81" s="68"/>
      <c r="L81" s="68"/>
      <c r="M81" s="68">
        <v>88</v>
      </c>
      <c r="N81" s="68"/>
      <c r="O81" s="68"/>
      <c r="P81" s="68"/>
      <c r="Q81" s="67">
        <f>M81/M48</f>
        <v>88000000</v>
      </c>
      <c r="R81" s="67">
        <v>0.6</v>
      </c>
      <c r="S81" s="128">
        <f t="shared" ref="S81:S87" si="27">LN(Q81/I81)/(R81*LN(2))</f>
        <v>22.068226014800004</v>
      </c>
      <c r="T81" s="68" t="s">
        <v>330</v>
      </c>
      <c r="U81" s="70"/>
      <c r="V81" s="70"/>
      <c r="W81" s="70"/>
      <c r="X81" s="70"/>
      <c r="Y81" s="129" t="e">
        <f t="shared" si="24"/>
        <v>#DIV/0!</v>
      </c>
      <c r="Z81" s="129" t="e">
        <f t="shared" si="25"/>
        <v>#DIV/0!</v>
      </c>
    </row>
    <row r="82" spans="1:26" ht="14.45">
      <c r="A82" s="148"/>
      <c r="B82" s="66">
        <v>60</v>
      </c>
      <c r="C82" s="51">
        <v>45.4</v>
      </c>
      <c r="D82" s="41" t="s">
        <v>310</v>
      </c>
      <c r="E82" s="121">
        <v>1.3899999999999999E-2</v>
      </c>
      <c r="F82" s="68">
        <v>128</v>
      </c>
      <c r="G82" s="67">
        <v>2.0000000000000002E-5</v>
      </c>
      <c r="H82" s="67">
        <f t="shared" ref="H82:H83" si="28">E82*F82/G82</f>
        <v>88959.999999999985</v>
      </c>
      <c r="I82" s="67">
        <f t="shared" ref="I82:I87" si="29">H82/10</f>
        <v>8895.9999999999982</v>
      </c>
      <c r="J82" s="68"/>
      <c r="K82" s="68">
        <v>123</v>
      </c>
      <c r="L82" s="68"/>
      <c r="M82" s="68"/>
      <c r="N82" s="68"/>
      <c r="O82" s="68"/>
      <c r="P82" s="68"/>
      <c r="Q82" s="67">
        <f>K82/K48</f>
        <v>12299999.999999998</v>
      </c>
      <c r="R82" s="67">
        <v>0.75</v>
      </c>
      <c r="S82" s="128">
        <f t="shared" si="27"/>
        <v>13.910951876070062</v>
      </c>
      <c r="T82" s="68" t="s">
        <v>330</v>
      </c>
      <c r="U82" s="70"/>
      <c r="V82" s="70"/>
      <c r="W82" s="70"/>
      <c r="X82" s="70"/>
      <c r="Y82" s="129" t="e">
        <f t="shared" si="24"/>
        <v>#DIV/0!</v>
      </c>
      <c r="Z82" s="129" t="e">
        <f t="shared" si="25"/>
        <v>#DIV/0!</v>
      </c>
    </row>
    <row r="83" spans="1:26" ht="14.45">
      <c r="A83" s="148"/>
      <c r="B83" s="66">
        <v>61</v>
      </c>
      <c r="C83" s="51">
        <v>52.4</v>
      </c>
      <c r="D83" s="41" t="s">
        <v>309</v>
      </c>
      <c r="E83" s="121">
        <v>4.0000000000000001E-3</v>
      </c>
      <c r="F83" s="68">
        <v>86</v>
      </c>
      <c r="G83" s="67">
        <v>3.9999999999999998E-6</v>
      </c>
      <c r="H83" s="67">
        <f t="shared" si="28"/>
        <v>86000.000000000015</v>
      </c>
      <c r="I83" s="67">
        <f t="shared" si="29"/>
        <v>8600.0000000000018</v>
      </c>
      <c r="J83" s="68"/>
      <c r="K83" s="68"/>
      <c r="L83" s="68">
        <v>186</v>
      </c>
      <c r="M83" s="70"/>
      <c r="N83" s="68"/>
      <c r="O83" s="68"/>
      <c r="P83" s="68"/>
      <c r="Q83" s="67">
        <f>L83/L48</f>
        <v>37200000</v>
      </c>
      <c r="R83" s="67">
        <v>0.75</v>
      </c>
      <c r="S83" s="128">
        <f t="shared" si="27"/>
        <v>16.10490445475736</v>
      </c>
      <c r="T83" s="68" t="s">
        <v>330</v>
      </c>
      <c r="U83" s="70"/>
      <c r="V83" s="70"/>
      <c r="W83" s="70"/>
      <c r="X83" s="70"/>
      <c r="Y83" s="129" t="e">
        <f t="shared" si="24"/>
        <v>#DIV/0!</v>
      </c>
      <c r="Z83" s="129" t="e">
        <f t="shared" si="25"/>
        <v>#DIV/0!</v>
      </c>
    </row>
    <row r="84" spans="1:26" ht="14.45">
      <c r="A84" s="148"/>
      <c r="B84" s="66" t="s">
        <v>85</v>
      </c>
      <c r="C84" s="69">
        <v>233.4</v>
      </c>
      <c r="D84" s="41" t="s">
        <v>96</v>
      </c>
      <c r="E84" s="122">
        <v>2.7000000000000001E-3</v>
      </c>
      <c r="F84" s="70">
        <v>108</v>
      </c>
      <c r="G84" s="67">
        <v>3.0000000000000001E-6</v>
      </c>
      <c r="H84" s="67">
        <f>E85*F84/G84</f>
        <v>187200</v>
      </c>
      <c r="I84" s="67">
        <f t="shared" si="29"/>
        <v>18720</v>
      </c>
      <c r="J84" s="68"/>
      <c r="K84" s="68"/>
      <c r="L84" s="68"/>
      <c r="M84" s="68">
        <v>96</v>
      </c>
      <c r="N84" s="68"/>
      <c r="O84" s="68"/>
      <c r="P84" s="68"/>
      <c r="Q84" s="67">
        <f>M84/M48</f>
        <v>96000000</v>
      </c>
      <c r="R84" s="67">
        <v>1</v>
      </c>
      <c r="S84" s="128">
        <f t="shared" si="27"/>
        <v>12.324238255574564</v>
      </c>
      <c r="T84" s="70" t="s">
        <v>331</v>
      </c>
      <c r="U84" s="71">
        <f>40/G84*E84/10</f>
        <v>3600</v>
      </c>
      <c r="V84" s="71">
        <f>48/M48</f>
        <v>48000000</v>
      </c>
      <c r="W84" s="71">
        <f>68/G84*E84/10</f>
        <v>6120.0000000000009</v>
      </c>
      <c r="X84" s="71">
        <f>48/M48</f>
        <v>48000000</v>
      </c>
      <c r="Y84" s="129">
        <f t="shared" si="24"/>
        <v>13.702749878828293</v>
      </c>
      <c r="Z84" s="129">
        <f t="shared" si="25"/>
        <v>12.937215132465317</v>
      </c>
    </row>
    <row r="85" spans="1:26" ht="14.45">
      <c r="A85" s="148"/>
      <c r="B85" s="66">
        <v>63</v>
      </c>
      <c r="C85" s="51">
        <v>217.4</v>
      </c>
      <c r="D85" s="41" t="s">
        <v>107</v>
      </c>
      <c r="E85" s="121">
        <v>5.1999999999999998E-3</v>
      </c>
      <c r="F85" s="70">
        <v>107</v>
      </c>
      <c r="G85" s="71">
        <v>5.0000000000000004E-6</v>
      </c>
      <c r="H85" s="67">
        <f>E86*F85/G85</f>
        <v>107000</v>
      </c>
      <c r="I85" s="67">
        <f t="shared" si="29"/>
        <v>10700</v>
      </c>
      <c r="J85" s="70"/>
      <c r="K85" s="70">
        <v>134</v>
      </c>
      <c r="L85" s="70"/>
      <c r="M85" s="70"/>
      <c r="N85" s="70"/>
      <c r="O85" s="70"/>
      <c r="P85" s="70"/>
      <c r="Q85" s="71">
        <f>K85/K48</f>
        <v>13399999.999999998</v>
      </c>
      <c r="R85" s="97">
        <v>1</v>
      </c>
      <c r="S85" s="128">
        <f t="shared" si="27"/>
        <v>10.290406488718713</v>
      </c>
      <c r="T85" s="70" t="s">
        <v>332</v>
      </c>
      <c r="U85" s="71"/>
      <c r="V85" s="71"/>
      <c r="W85" s="71"/>
      <c r="X85" s="71"/>
      <c r="Y85" s="129"/>
      <c r="Z85" s="129"/>
    </row>
    <row r="86" spans="1:26" ht="14.45">
      <c r="A86" s="148"/>
      <c r="B86" s="66">
        <v>64</v>
      </c>
      <c r="C86" s="69">
        <v>234.4</v>
      </c>
      <c r="D86" s="41" t="s">
        <v>108</v>
      </c>
      <c r="E86" s="122">
        <v>5.0000000000000001E-3</v>
      </c>
      <c r="F86" s="70">
        <v>46</v>
      </c>
      <c r="G86" s="71">
        <v>5.0000000000000004E-6</v>
      </c>
      <c r="H86" s="67">
        <f>E84*F86/G86</f>
        <v>24840</v>
      </c>
      <c r="I86" s="67">
        <f t="shared" si="29"/>
        <v>2484</v>
      </c>
      <c r="J86" s="70"/>
      <c r="K86" s="70">
        <v>118</v>
      </c>
      <c r="L86" s="70"/>
      <c r="M86" s="70"/>
      <c r="N86" s="70"/>
      <c r="O86" s="70"/>
      <c r="P86" s="70"/>
      <c r="Q86" s="67">
        <f>K86/K48</f>
        <v>11799999.999999998</v>
      </c>
      <c r="R86" s="71">
        <v>1</v>
      </c>
      <c r="S86" s="128">
        <f t="shared" si="27"/>
        <v>12.213834065578171</v>
      </c>
      <c r="T86" s="70" t="s">
        <v>333</v>
      </c>
      <c r="U86" s="71">
        <f>6/G86*E86/10</f>
        <v>600</v>
      </c>
      <c r="V86" s="71">
        <f>40/K48</f>
        <v>3999999.9999999995</v>
      </c>
      <c r="W86" s="71">
        <f>40/G86*E86/10</f>
        <v>3999.9999999999991</v>
      </c>
      <c r="X86" s="71">
        <f>78/K48</f>
        <v>7799999.9999999991</v>
      </c>
      <c r="Y86" s="129">
        <f t="shared" si="24"/>
        <v>12.702749878828293</v>
      </c>
      <c r="Z86" s="129">
        <f t="shared" si="25"/>
        <v>10.929258408636974</v>
      </c>
    </row>
    <row r="87" spans="1:26" ht="14.45">
      <c r="A87" s="148"/>
      <c r="B87" s="66">
        <v>65</v>
      </c>
      <c r="C87" s="95">
        <v>214.4</v>
      </c>
      <c r="D87" s="94" t="s">
        <v>104</v>
      </c>
      <c r="E87" s="122">
        <v>3.6199999999999999E-5</v>
      </c>
      <c r="F87" s="70">
        <v>75</v>
      </c>
      <c r="G87" s="71">
        <v>4.0000000000000002E-9</v>
      </c>
      <c r="H87" s="67">
        <f t="shared" ref="H87" si="30">E87*F87/G87</f>
        <v>678750</v>
      </c>
      <c r="I87" s="67">
        <f t="shared" si="29"/>
        <v>67875</v>
      </c>
      <c r="J87" s="70"/>
      <c r="K87" s="70"/>
      <c r="L87" s="70"/>
      <c r="M87" s="70"/>
      <c r="N87" s="70"/>
      <c r="O87" s="70"/>
      <c r="P87" s="70">
        <v>193</v>
      </c>
      <c r="Q87" s="71">
        <f>P87/P48</f>
        <v>19300000000</v>
      </c>
      <c r="R87" s="71">
        <v>1.5</v>
      </c>
      <c r="S87" s="129">
        <f t="shared" si="27"/>
        <v>12.078192749267021</v>
      </c>
      <c r="T87" s="70" t="s">
        <v>334</v>
      </c>
      <c r="U87" s="71">
        <f>39/G87*E87/10</f>
        <v>35295</v>
      </c>
      <c r="V87" s="71">
        <f>182/P48</f>
        <v>18200000000</v>
      </c>
      <c r="W87" s="71">
        <f>36/G87*E87/10</f>
        <v>32580</v>
      </c>
      <c r="X87" s="71">
        <f>11/P48</f>
        <v>1100000000</v>
      </c>
      <c r="Y87" s="129">
        <f t="shared" si="24"/>
        <v>12.650695465643187</v>
      </c>
      <c r="Z87" s="129">
        <f t="shared" si="25"/>
        <v>10.028771596215545</v>
      </c>
    </row>
    <row r="88" spans="1:26"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129" t="e">
        <f t="shared" si="24"/>
        <v>#DIV/0!</v>
      </c>
      <c r="Z88" s="129" t="e">
        <f t="shared" si="25"/>
        <v>#DIV/0!</v>
      </c>
    </row>
    <row r="89" spans="1:26" ht="20.45">
      <c r="B89" s="143" t="s">
        <v>335</v>
      </c>
      <c r="C89" s="143"/>
      <c r="D89" s="143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129" t="e">
        <f t="shared" si="24"/>
        <v>#DIV/0!</v>
      </c>
      <c r="Z89" s="129" t="e">
        <f t="shared" si="25"/>
        <v>#DIV/0!</v>
      </c>
    </row>
    <row r="90" spans="1:26"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129" t="e">
        <f t="shared" si="24"/>
        <v>#DIV/0!</v>
      </c>
      <c r="Z90" s="129" t="e">
        <f t="shared" si="25"/>
        <v>#DIV/0!</v>
      </c>
    </row>
    <row r="91" spans="1:26" ht="27.6" customHeight="1">
      <c r="B91" s="60" t="s">
        <v>256</v>
      </c>
      <c r="C91" s="61" t="s">
        <v>129</v>
      </c>
      <c r="D91" s="104" t="s">
        <v>1</v>
      </c>
      <c r="E91" s="104" t="s">
        <v>257</v>
      </c>
      <c r="F91" s="134" t="s">
        <v>258</v>
      </c>
      <c r="G91" s="134" t="s">
        <v>259</v>
      </c>
      <c r="H91" s="123" t="s">
        <v>260</v>
      </c>
      <c r="I91" s="123" t="s">
        <v>261</v>
      </c>
      <c r="J91" s="124">
        <v>5.0000000000000002E-5</v>
      </c>
      <c r="K91" s="124">
        <v>1.0000000000000001E-5</v>
      </c>
      <c r="L91" s="124">
        <v>5.0000000000000004E-6</v>
      </c>
      <c r="M91" s="124">
        <v>9.9999999999999995E-7</v>
      </c>
      <c r="N91" s="124">
        <v>2.9999999999999999E-7</v>
      </c>
      <c r="O91" s="124">
        <v>4.9999999999999998E-8</v>
      </c>
      <c r="P91" s="124">
        <v>1E-8</v>
      </c>
      <c r="Q91" s="134" t="s">
        <v>262</v>
      </c>
      <c r="R91" s="134" t="s">
        <v>263</v>
      </c>
      <c r="S91" s="134" t="s">
        <v>264</v>
      </c>
      <c r="T91" s="134" t="s">
        <v>265</v>
      </c>
      <c r="U91" s="119" t="s">
        <v>266</v>
      </c>
      <c r="V91" s="119" t="s">
        <v>267</v>
      </c>
      <c r="W91" s="119" t="s">
        <v>268</v>
      </c>
      <c r="X91" s="119" t="s">
        <v>269</v>
      </c>
      <c r="Y91" s="129" t="e">
        <f t="shared" si="24"/>
        <v>#VALUE!</v>
      </c>
      <c r="Z91" s="129" t="e">
        <f t="shared" si="25"/>
        <v>#VALUE!</v>
      </c>
    </row>
    <row r="92" spans="1:26" ht="16.149999999999999" customHeight="1">
      <c r="A92" s="148" t="s">
        <v>336</v>
      </c>
      <c r="B92" s="66">
        <v>66</v>
      </c>
      <c r="C92" s="88">
        <v>42</v>
      </c>
      <c r="D92" s="41" t="s">
        <v>337</v>
      </c>
      <c r="E92" s="121">
        <v>5.9000000000000003E-4</v>
      </c>
      <c r="F92" s="68">
        <v>262</v>
      </c>
      <c r="G92" s="67">
        <v>5.9999999999999997E-7</v>
      </c>
      <c r="H92" s="67">
        <f t="shared" ref="H92:H97" si="31">E92*F92/G92</f>
        <v>257633.33333333334</v>
      </c>
      <c r="I92" s="67">
        <f>H92/10</f>
        <v>25763.333333333336</v>
      </c>
      <c r="J92" s="68"/>
      <c r="K92" s="68"/>
      <c r="L92" s="68">
        <v>243</v>
      </c>
      <c r="M92" s="68">
        <v>48</v>
      </c>
      <c r="N92" s="68"/>
      <c r="O92" s="68"/>
      <c r="P92" s="68"/>
      <c r="Q92" s="67">
        <f>L92/L91</f>
        <v>48599999.999999993</v>
      </c>
      <c r="R92" s="67">
        <v>0.75</v>
      </c>
      <c r="S92" s="111">
        <f>LN(Q92/I92)/(R92*LN(2))</f>
        <v>14.508561777302793</v>
      </c>
      <c r="T92" s="68" t="s">
        <v>330</v>
      </c>
      <c r="U92" s="70"/>
      <c r="V92" s="70"/>
      <c r="W92" s="70"/>
      <c r="X92" s="70"/>
      <c r="Y92" s="129" t="e">
        <f t="shared" si="24"/>
        <v>#DIV/0!</v>
      </c>
      <c r="Z92" s="129" t="e">
        <f t="shared" si="25"/>
        <v>#DIV/0!</v>
      </c>
    </row>
    <row r="93" spans="1:26" ht="14.45">
      <c r="A93" s="148"/>
      <c r="B93" s="66">
        <v>67</v>
      </c>
      <c r="C93" s="88" t="s">
        <v>113</v>
      </c>
      <c r="D93" s="41" t="s">
        <v>196</v>
      </c>
      <c r="E93" s="121">
        <v>2.6800000000000001E-2</v>
      </c>
      <c r="F93" s="68">
        <v>210</v>
      </c>
      <c r="G93" s="67">
        <v>2.9999999999999997E-4</v>
      </c>
      <c r="H93" s="67">
        <f t="shared" si="31"/>
        <v>18760.000000000004</v>
      </c>
      <c r="I93" s="67">
        <f>H93/10</f>
        <v>1876.0000000000005</v>
      </c>
      <c r="J93" s="68"/>
      <c r="K93" s="68">
        <v>66</v>
      </c>
      <c r="L93" s="68">
        <v>43</v>
      </c>
      <c r="M93" s="68"/>
      <c r="N93" s="68"/>
      <c r="O93" s="68"/>
      <c r="P93" s="68"/>
      <c r="Q93" s="67">
        <f>L93/L91</f>
        <v>8600000</v>
      </c>
      <c r="R93" s="67">
        <v>0.75</v>
      </c>
      <c r="S93" s="111">
        <f>LN(Q93/I93)/(R93*LN(2))</f>
        <v>16.216614822164711</v>
      </c>
      <c r="T93" s="68" t="s">
        <v>330</v>
      </c>
      <c r="U93" s="70"/>
      <c r="V93" s="70"/>
      <c r="W93" s="70"/>
      <c r="X93" s="70"/>
      <c r="Y93" s="129" t="e">
        <f t="shared" si="24"/>
        <v>#DIV/0!</v>
      </c>
      <c r="Z93" s="129" t="e">
        <f t="shared" si="25"/>
        <v>#DIV/0!</v>
      </c>
    </row>
    <row r="94" spans="1:26" ht="14.45">
      <c r="A94" s="148"/>
      <c r="B94" s="66">
        <v>68</v>
      </c>
      <c r="C94" s="88">
        <v>55</v>
      </c>
      <c r="D94" s="41" t="s">
        <v>194</v>
      </c>
      <c r="E94" s="121">
        <v>8.6E-3</v>
      </c>
      <c r="F94" s="68">
        <v>175</v>
      </c>
      <c r="G94" s="67">
        <v>9.0000000000000002E-6</v>
      </c>
      <c r="H94" s="67">
        <f t="shared" si="31"/>
        <v>167222.22222222222</v>
      </c>
      <c r="I94" s="67">
        <f t="shared" ref="I94:I97" si="32">H94/10</f>
        <v>16722.222222222223</v>
      </c>
      <c r="J94" s="68"/>
      <c r="K94" s="68"/>
      <c r="L94" s="68"/>
      <c r="M94" s="68">
        <v>70</v>
      </c>
      <c r="N94" s="68"/>
      <c r="O94" s="68"/>
      <c r="P94" s="68"/>
      <c r="Q94" s="67">
        <f>M94/M91</f>
        <v>70000000</v>
      </c>
      <c r="R94" s="70">
        <v>1</v>
      </c>
      <c r="S94" s="111">
        <f>LN(Q94/I94)/(R93*LN(2))</f>
        <v>16.04183016838622</v>
      </c>
      <c r="T94" s="68" t="s">
        <v>330</v>
      </c>
      <c r="U94" s="70"/>
      <c r="V94" s="70"/>
      <c r="W94" s="70"/>
      <c r="X94" s="70"/>
      <c r="Y94" s="129" t="e">
        <f t="shared" si="24"/>
        <v>#DIV/0!</v>
      </c>
      <c r="Z94" s="129" t="e">
        <f t="shared" si="25"/>
        <v>#DIV/0!</v>
      </c>
    </row>
    <row r="95" spans="1:26" ht="14.45">
      <c r="A95" s="148"/>
      <c r="B95" s="66">
        <v>69</v>
      </c>
      <c r="C95" s="69">
        <v>218</v>
      </c>
      <c r="D95" s="41" t="s">
        <v>199</v>
      </c>
      <c r="E95" s="122">
        <v>6.7000000000000002E-3</v>
      </c>
      <c r="F95" s="70">
        <v>289</v>
      </c>
      <c r="G95" s="67">
        <v>6.9999999999999994E-5</v>
      </c>
      <c r="H95" s="67">
        <f t="shared" si="31"/>
        <v>27661.428571428576</v>
      </c>
      <c r="I95" s="67">
        <f>H95/10</f>
        <v>2766.1428571428578</v>
      </c>
      <c r="J95" s="70"/>
      <c r="K95" s="70"/>
      <c r="L95" s="68">
        <v>65</v>
      </c>
      <c r="M95" s="70"/>
      <c r="N95" s="70"/>
      <c r="O95" s="70"/>
      <c r="P95" s="70"/>
      <c r="Q95" s="71">
        <f>L95/L91</f>
        <v>12999999.999999998</v>
      </c>
      <c r="R95" s="71">
        <v>1.25</v>
      </c>
      <c r="S95" s="111">
        <f>LN(Q95/I95)/(R95*LN(2))</f>
        <v>9.7586786692515357</v>
      </c>
      <c r="T95" s="70" t="s">
        <v>330</v>
      </c>
      <c r="U95" s="70"/>
      <c r="V95" s="70"/>
      <c r="W95" s="70"/>
      <c r="X95" s="70"/>
      <c r="Y95" s="129" t="e">
        <f t="shared" si="24"/>
        <v>#DIV/0!</v>
      </c>
      <c r="Z95" s="129" t="e">
        <f t="shared" si="25"/>
        <v>#DIV/0!</v>
      </c>
    </row>
    <row r="96" spans="1:26" ht="14.45">
      <c r="A96" s="148"/>
      <c r="B96" s="66">
        <v>70</v>
      </c>
      <c r="C96" s="69">
        <v>235</v>
      </c>
      <c r="D96" s="41" t="s">
        <v>200</v>
      </c>
      <c r="E96" s="122">
        <v>0.1052</v>
      </c>
      <c r="F96" s="70">
        <v>63</v>
      </c>
      <c r="G96" s="71">
        <v>0.01</v>
      </c>
      <c r="H96" s="67">
        <f t="shared" si="31"/>
        <v>662.76</v>
      </c>
      <c r="I96" s="67">
        <f>H96/10</f>
        <v>66.275999999999996</v>
      </c>
      <c r="J96" s="70">
        <v>56</v>
      </c>
      <c r="K96" s="70"/>
      <c r="L96" s="70"/>
      <c r="M96" s="70"/>
      <c r="N96" s="70"/>
      <c r="O96" s="70"/>
      <c r="P96" s="70"/>
      <c r="Q96" s="71">
        <f>J96/J91</f>
        <v>1120000</v>
      </c>
      <c r="R96" s="71">
        <v>2.5</v>
      </c>
      <c r="S96" s="111">
        <f>LN(Q96/I96)/(R96*LN(2))</f>
        <v>5.6178610693907691</v>
      </c>
      <c r="T96" s="70" t="s">
        <v>338</v>
      </c>
      <c r="U96" s="70"/>
      <c r="V96" s="70"/>
      <c r="W96" s="70"/>
      <c r="X96" s="70"/>
      <c r="Y96" s="129" t="e">
        <f t="shared" si="24"/>
        <v>#DIV/0!</v>
      </c>
      <c r="Z96" s="129" t="e">
        <f t="shared" si="25"/>
        <v>#DIV/0!</v>
      </c>
    </row>
    <row r="97" spans="1:26" ht="14.45">
      <c r="A97" s="148"/>
      <c r="B97" s="66">
        <v>71</v>
      </c>
      <c r="C97" s="51">
        <v>215</v>
      </c>
      <c r="D97" s="41" t="s">
        <v>197</v>
      </c>
      <c r="E97" s="121">
        <v>1.72E-2</v>
      </c>
      <c r="F97" s="70">
        <v>43</v>
      </c>
      <c r="G97" s="71">
        <v>2.0000000000000002E-5</v>
      </c>
      <c r="H97" s="67">
        <f t="shared" si="31"/>
        <v>36980</v>
      </c>
      <c r="I97" s="67">
        <f t="shared" si="32"/>
        <v>3698</v>
      </c>
      <c r="J97" s="68"/>
      <c r="K97" s="68"/>
      <c r="L97" s="70"/>
      <c r="M97" s="68"/>
      <c r="N97" s="68"/>
      <c r="O97" s="68">
        <v>78</v>
      </c>
      <c r="P97" s="68"/>
      <c r="Q97" s="67">
        <f>O97/O91</f>
        <v>1560000000</v>
      </c>
      <c r="R97" s="67">
        <v>2.75</v>
      </c>
      <c r="S97" s="111">
        <f>LN(Q97/I97)/(R97*LN(2))</f>
        <v>6.7950434086071239</v>
      </c>
      <c r="T97" s="70" t="s">
        <v>339</v>
      </c>
      <c r="U97" s="71">
        <f>1/G97*E97/10</f>
        <v>85.999999999999986</v>
      </c>
      <c r="V97" s="71">
        <f>31/O91</f>
        <v>620000000</v>
      </c>
      <c r="W97" s="71">
        <v>3700</v>
      </c>
      <c r="X97" s="71">
        <f>47/O91</f>
        <v>940000000</v>
      </c>
      <c r="Y97" s="129">
        <f t="shared" ref="Y97:Y101" si="33">LN(V97/U97)/(R97*LN(2))</f>
        <v>8.2841557163259321</v>
      </c>
      <c r="Z97" s="129">
        <f t="shared" ref="Z97:Z100" si="34">LN(X97/W97)/(R97*LN(2))</f>
        <v>6.5290094401765453</v>
      </c>
    </row>
    <row r="98" spans="1:26"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129" t="e">
        <f t="shared" si="33"/>
        <v>#DIV/0!</v>
      </c>
      <c r="Z98" s="129" t="e">
        <f t="shared" si="34"/>
        <v>#DIV/0!</v>
      </c>
    </row>
    <row r="99" spans="1:26" ht="28.15">
      <c r="B99" s="60" t="s">
        <v>256</v>
      </c>
      <c r="C99" s="61" t="s">
        <v>129</v>
      </c>
      <c r="D99" s="104" t="s">
        <v>1</v>
      </c>
      <c r="E99" s="104" t="s">
        <v>257</v>
      </c>
      <c r="F99" s="134" t="s">
        <v>258</v>
      </c>
      <c r="G99" s="134" t="s">
        <v>259</v>
      </c>
      <c r="H99" s="123" t="s">
        <v>260</v>
      </c>
      <c r="I99" s="123" t="s">
        <v>261</v>
      </c>
      <c r="J99" s="124">
        <v>5.0000000000000002E-5</v>
      </c>
      <c r="K99" s="124">
        <v>1.0000000000000001E-5</v>
      </c>
      <c r="L99" s="124">
        <v>5.0000000000000004E-6</v>
      </c>
      <c r="M99" s="124">
        <v>9.9999999999999995E-7</v>
      </c>
      <c r="N99" s="124">
        <v>4.9999999999999998E-7</v>
      </c>
      <c r="O99" s="124">
        <v>4.9999999999999998E-8</v>
      </c>
      <c r="P99" s="124">
        <v>1E-8</v>
      </c>
      <c r="Q99" s="134" t="s">
        <v>262</v>
      </c>
      <c r="R99" s="134" t="s">
        <v>263</v>
      </c>
      <c r="S99" s="134" t="s">
        <v>264</v>
      </c>
      <c r="T99" s="134" t="s">
        <v>265</v>
      </c>
      <c r="U99" s="119" t="s">
        <v>266</v>
      </c>
      <c r="V99" s="119" t="s">
        <v>267</v>
      </c>
      <c r="W99" s="119" t="s">
        <v>268</v>
      </c>
      <c r="X99" s="119" t="s">
        <v>269</v>
      </c>
      <c r="Y99" s="129" t="e">
        <f t="shared" si="33"/>
        <v>#VALUE!</v>
      </c>
      <c r="Z99" s="129" t="e">
        <f t="shared" si="34"/>
        <v>#VALUE!</v>
      </c>
    </row>
    <row r="100" spans="1:26" ht="14.45" customHeight="1">
      <c r="A100" s="148" t="s">
        <v>340</v>
      </c>
      <c r="B100" s="66">
        <v>72</v>
      </c>
      <c r="C100" s="88">
        <v>42.1</v>
      </c>
      <c r="D100" s="41" t="s">
        <v>337</v>
      </c>
      <c r="E100" s="121">
        <v>2.0999999999999999E-3</v>
      </c>
      <c r="F100" s="68">
        <v>89</v>
      </c>
      <c r="G100" s="67">
        <v>1.9999999999999999E-6</v>
      </c>
      <c r="H100" s="67">
        <f t="shared" ref="H100:H109" si="35">E100*F100/G100</f>
        <v>93450</v>
      </c>
      <c r="I100" s="67">
        <f>H100/10</f>
        <v>9345</v>
      </c>
      <c r="J100" s="68"/>
      <c r="K100" s="68"/>
      <c r="L100" s="68">
        <v>153</v>
      </c>
      <c r="M100" s="68">
        <v>36</v>
      </c>
      <c r="N100" s="68"/>
      <c r="O100" s="68"/>
      <c r="P100" s="68"/>
      <c r="Q100" s="67">
        <f>L100/L99</f>
        <v>30599999.999999996</v>
      </c>
      <c r="R100" s="67">
        <v>0.75</v>
      </c>
      <c r="S100" s="111">
        <f>LN(Q100/I100)/(R100*LN(2))</f>
        <v>15.569399157995925</v>
      </c>
      <c r="T100" s="68" t="s">
        <v>274</v>
      </c>
      <c r="U100" s="70"/>
      <c r="V100" s="70"/>
      <c r="W100" s="70"/>
      <c r="X100" s="70"/>
      <c r="Y100" s="129" t="e">
        <f t="shared" si="33"/>
        <v>#DIV/0!</v>
      </c>
      <c r="Z100" s="129" t="e">
        <f t="shared" si="34"/>
        <v>#DIV/0!</v>
      </c>
    </row>
    <row r="101" spans="1:26" ht="14.45">
      <c r="A101" s="148"/>
      <c r="B101" s="66">
        <v>73</v>
      </c>
      <c r="C101" s="88">
        <v>55.1</v>
      </c>
      <c r="D101" s="41" t="s">
        <v>194</v>
      </c>
      <c r="E101" s="121">
        <v>1.4300000000000001E-3</v>
      </c>
      <c r="F101" s="68">
        <v>132</v>
      </c>
      <c r="G101" s="67">
        <v>1.9999999999999999E-6</v>
      </c>
      <c r="H101" s="67">
        <f t="shared" si="35"/>
        <v>94380.000000000015</v>
      </c>
      <c r="I101" s="67">
        <f>H101/10</f>
        <v>9438.0000000000018</v>
      </c>
      <c r="J101" s="68"/>
      <c r="K101" s="68">
        <v>46</v>
      </c>
      <c r="L101" s="68"/>
      <c r="M101" s="68"/>
      <c r="N101" s="68"/>
      <c r="O101" s="68"/>
      <c r="P101" s="68"/>
      <c r="Q101" s="67">
        <f>K101/K99</f>
        <v>4600000</v>
      </c>
      <c r="R101" s="67">
        <v>0.75</v>
      </c>
      <c r="S101" s="111">
        <f>LN(Q101/I101)/(R101*LN(2))</f>
        <v>11.905249299142643</v>
      </c>
      <c r="T101" s="68" t="s">
        <v>341</v>
      </c>
      <c r="U101" s="71">
        <f>1/G100*E100/10</f>
        <v>105</v>
      </c>
      <c r="V101" s="71">
        <f>6/K99</f>
        <v>600000</v>
      </c>
      <c r="W101" s="19">
        <v>9440</v>
      </c>
      <c r="X101" s="71">
        <f>40/K99</f>
        <v>3999999.9999999995</v>
      </c>
      <c r="Y101" s="129">
        <f t="shared" si="33"/>
        <v>16.640476609989129</v>
      </c>
      <c r="Z101" s="129">
        <f>LN(X101/W101)/(R101*LN(2))</f>
        <v>11.635996566766629</v>
      </c>
    </row>
    <row r="102" spans="1:26" ht="14.45">
      <c r="A102" s="148"/>
      <c r="B102" s="66">
        <v>74</v>
      </c>
      <c r="C102" s="88" t="s">
        <v>342</v>
      </c>
      <c r="D102" s="41" t="s">
        <v>196</v>
      </c>
      <c r="E102" s="121">
        <v>1.1599999999999999E-2</v>
      </c>
      <c r="F102" s="68">
        <v>292</v>
      </c>
      <c r="G102" s="67">
        <v>1.0000000000000001E-5</v>
      </c>
      <c r="H102" s="67">
        <f t="shared" si="35"/>
        <v>338720</v>
      </c>
      <c r="I102" s="67">
        <f t="shared" ref="I102:I106" si="36">H102/10</f>
        <v>33872</v>
      </c>
      <c r="J102" s="68"/>
      <c r="K102" s="68"/>
      <c r="L102" s="68">
        <v>153</v>
      </c>
      <c r="M102" s="68"/>
      <c r="N102" s="68"/>
      <c r="O102" s="68"/>
      <c r="P102" s="68"/>
      <c r="Q102" s="67">
        <f>L102/L99</f>
        <v>30599999.999999996</v>
      </c>
      <c r="R102" s="70">
        <v>0.75</v>
      </c>
      <c r="S102" s="111">
        <f>LN(Q102/I102)/(R101*LN(2))</f>
        <v>13.092297017495834</v>
      </c>
      <c r="T102" s="68" t="s">
        <v>274</v>
      </c>
      <c r="U102" s="70"/>
      <c r="V102" s="70"/>
      <c r="W102" s="70"/>
      <c r="X102" s="70"/>
      <c r="Y102" s="129" t="e">
        <f t="shared" ref="Y102:Y149" si="37">LN(V102/U102)/(R102*LN(2))</f>
        <v>#DIV/0!</v>
      </c>
      <c r="Z102" s="129" t="e">
        <f t="shared" ref="Z102:Z149" si="38">LN(X102/W102)/(R102*LN(2))</f>
        <v>#DIV/0!</v>
      </c>
    </row>
    <row r="103" spans="1:26" ht="14.45">
      <c r="A103" s="148"/>
      <c r="B103" s="66">
        <v>75</v>
      </c>
      <c r="C103" s="69">
        <v>218.1</v>
      </c>
      <c r="D103" s="41" t="s">
        <v>199</v>
      </c>
      <c r="E103" s="122">
        <v>7.7000000000000002E-3</v>
      </c>
      <c r="F103" s="70">
        <v>87</v>
      </c>
      <c r="G103" s="67">
        <v>7.9999999999999996E-6</v>
      </c>
      <c r="H103" s="67">
        <f t="shared" si="35"/>
        <v>83737.500000000015</v>
      </c>
      <c r="I103" s="67">
        <f>H103/10</f>
        <v>8373.7500000000018</v>
      </c>
      <c r="J103" s="70"/>
      <c r="K103" s="70">
        <v>52</v>
      </c>
      <c r="L103" s="68"/>
      <c r="M103" s="70"/>
      <c r="N103" s="70"/>
      <c r="O103" s="70"/>
      <c r="P103" s="70"/>
      <c r="Q103" s="71">
        <f>K103/K99</f>
        <v>5200000</v>
      </c>
      <c r="R103" s="71">
        <v>1</v>
      </c>
      <c r="S103" s="111">
        <f>LN(Q103/I103)/(R103*LN(2))</f>
        <v>9.2784220611469124</v>
      </c>
      <c r="T103" s="70" t="s">
        <v>274</v>
      </c>
      <c r="U103" s="70"/>
      <c r="V103" s="70"/>
      <c r="W103" s="70"/>
      <c r="X103" s="70"/>
      <c r="Y103" s="129" t="e">
        <f t="shared" si="37"/>
        <v>#DIV/0!</v>
      </c>
      <c r="Z103" s="129" t="e">
        <f t="shared" si="38"/>
        <v>#DIV/0!</v>
      </c>
    </row>
    <row r="104" spans="1:26" ht="14.45">
      <c r="A104" s="148"/>
      <c r="B104" s="66">
        <v>76</v>
      </c>
      <c r="C104" s="107">
        <v>44</v>
      </c>
      <c r="D104" s="41" t="s">
        <v>205</v>
      </c>
      <c r="E104" s="122">
        <v>2.0999999999999999E-3</v>
      </c>
      <c r="F104" s="70">
        <v>142</v>
      </c>
      <c r="G104" s="71">
        <v>1.9999999999999999E-6</v>
      </c>
      <c r="H104" s="67">
        <f t="shared" si="35"/>
        <v>149100</v>
      </c>
      <c r="I104" s="67">
        <f>H104/10</f>
        <v>14910</v>
      </c>
      <c r="J104" s="70"/>
      <c r="K104" s="70"/>
      <c r="L104" s="70">
        <v>67</v>
      </c>
      <c r="M104" s="70"/>
      <c r="N104" s="70"/>
      <c r="O104" s="70"/>
      <c r="P104" s="70"/>
      <c r="Q104" s="71">
        <f>L104/L99</f>
        <v>13399999.999999998</v>
      </c>
      <c r="R104" s="71">
        <v>1</v>
      </c>
      <c r="S104" s="111">
        <f>LN(Q104/I104)/(R104*LN(2))</f>
        <v>9.8117370277237796</v>
      </c>
      <c r="T104" s="70" t="s">
        <v>274</v>
      </c>
      <c r="U104" s="70"/>
      <c r="V104" s="70"/>
      <c r="W104" s="70"/>
      <c r="X104" s="70"/>
      <c r="Y104" s="129" t="e">
        <f t="shared" si="37"/>
        <v>#DIV/0!</v>
      </c>
      <c r="Z104" s="129" t="e">
        <f t="shared" si="38"/>
        <v>#DIV/0!</v>
      </c>
    </row>
    <row r="105" spans="1:26" ht="14.45">
      <c r="A105" s="148"/>
      <c r="B105" s="66">
        <v>77</v>
      </c>
      <c r="C105" s="69" t="s">
        <v>343</v>
      </c>
      <c r="D105" s="41" t="s">
        <v>206</v>
      </c>
      <c r="E105" s="121">
        <v>3.85E-2</v>
      </c>
      <c r="F105" s="70">
        <v>170</v>
      </c>
      <c r="G105" s="71">
        <v>4.0000000000000003E-5</v>
      </c>
      <c r="H105" s="67">
        <f t="shared" si="35"/>
        <v>163624.99999999997</v>
      </c>
      <c r="I105" s="67">
        <f t="shared" ref="I105" si="39">H105/10</f>
        <v>16362.499999999996</v>
      </c>
      <c r="J105" s="68"/>
      <c r="K105" s="68"/>
      <c r="L105" s="70">
        <v>217</v>
      </c>
      <c r="M105" s="68">
        <v>46</v>
      </c>
      <c r="N105" s="68"/>
      <c r="O105" s="68"/>
      <c r="P105" s="68"/>
      <c r="Q105" s="67">
        <f>L105/L99</f>
        <v>43400000</v>
      </c>
      <c r="R105" s="67">
        <v>1</v>
      </c>
      <c r="S105" s="111">
        <f>LN(Q105/I105)/(R105*LN(2))</f>
        <v>11.373086135161326</v>
      </c>
      <c r="T105" s="70" t="s">
        <v>274</v>
      </c>
      <c r="U105" s="70"/>
      <c r="V105" s="70"/>
      <c r="W105" s="70"/>
      <c r="X105" s="70"/>
      <c r="Y105" s="129" t="e">
        <f t="shared" si="37"/>
        <v>#DIV/0!</v>
      </c>
      <c r="Z105" s="129" t="e">
        <f t="shared" si="38"/>
        <v>#DIV/0!</v>
      </c>
    </row>
    <row r="106" spans="1:26" ht="14.45">
      <c r="A106" s="148"/>
      <c r="B106" s="66">
        <v>78</v>
      </c>
      <c r="C106" s="51">
        <v>215.1</v>
      </c>
      <c r="D106" s="41" t="s">
        <v>197</v>
      </c>
      <c r="E106" s="122">
        <v>6.4000000000000005E-4</v>
      </c>
      <c r="F106" s="70">
        <v>187</v>
      </c>
      <c r="G106" s="71">
        <v>7.0000000000000005E-8</v>
      </c>
      <c r="H106" s="67">
        <f t="shared" si="35"/>
        <v>1709714.2857142857</v>
      </c>
      <c r="I106" s="67">
        <f t="shared" si="36"/>
        <v>170971.42857142858</v>
      </c>
      <c r="J106" s="70"/>
      <c r="K106" s="70"/>
      <c r="L106" s="70"/>
      <c r="M106" s="70"/>
      <c r="N106" s="70"/>
      <c r="O106" s="70">
        <v>124</v>
      </c>
      <c r="P106" s="70"/>
      <c r="Q106" s="71">
        <f>O106/O99</f>
        <v>2480000000</v>
      </c>
      <c r="R106" s="70">
        <v>1.5</v>
      </c>
      <c r="S106" s="111">
        <f>LN(Q106/I106)/(R106*LN(2))</f>
        <v>9.2161981646624369</v>
      </c>
      <c r="T106" s="70" t="s">
        <v>344</v>
      </c>
      <c r="U106" s="71">
        <f>57/G106*E106/10</f>
        <v>52114.285714285717</v>
      </c>
      <c r="V106" s="71">
        <f>101/O99</f>
        <v>2020000000</v>
      </c>
      <c r="W106" s="71">
        <f>130/G106*E106/10</f>
        <v>118857.14285714287</v>
      </c>
      <c r="X106" s="71">
        <f>23/O99</f>
        <v>460000000</v>
      </c>
      <c r="Y106" s="129">
        <f t="shared" si="37"/>
        <v>10.16154457672098</v>
      </c>
      <c r="Z106" s="129">
        <f t="shared" si="38"/>
        <v>7.9454596930153158</v>
      </c>
    </row>
    <row r="107" spans="1:26" ht="14.45">
      <c r="A107" s="148"/>
      <c r="B107" s="66">
        <v>79</v>
      </c>
      <c r="C107" s="69" t="s">
        <v>345</v>
      </c>
      <c r="D107" s="106" t="s">
        <v>207</v>
      </c>
      <c r="E107" s="122">
        <v>6.1699999999999998E-2</v>
      </c>
      <c r="F107" s="75">
        <v>702</v>
      </c>
      <c r="G107" s="71">
        <v>2.9999999999999997E-4</v>
      </c>
      <c r="H107" s="67">
        <f t="shared" si="35"/>
        <v>144378.00000000003</v>
      </c>
      <c r="I107" s="67">
        <f>H107/10</f>
        <v>14437.800000000003</v>
      </c>
      <c r="J107" s="70"/>
      <c r="K107" s="70"/>
      <c r="L107" s="70"/>
      <c r="M107" s="70">
        <v>223</v>
      </c>
      <c r="N107" s="70"/>
      <c r="O107" s="70"/>
      <c r="P107" s="70"/>
      <c r="Q107" s="71">
        <f>M107/M99</f>
        <v>223000000</v>
      </c>
      <c r="R107" s="70">
        <v>1.5</v>
      </c>
      <c r="S107" s="111">
        <f>LN(Q107/I107)/(R106*LN(2))</f>
        <v>9.2766034435993454</v>
      </c>
      <c r="T107" s="70" t="s">
        <v>274</v>
      </c>
      <c r="U107" s="70"/>
      <c r="V107" s="70"/>
      <c r="W107" s="70"/>
      <c r="X107" s="70"/>
      <c r="Y107" s="129" t="e">
        <f t="shared" si="37"/>
        <v>#DIV/0!</v>
      </c>
      <c r="Z107" s="129" t="e">
        <f t="shared" si="38"/>
        <v>#DIV/0!</v>
      </c>
    </row>
    <row r="108" spans="1:26" ht="14.45">
      <c r="A108" s="148"/>
      <c r="B108" s="66">
        <v>80</v>
      </c>
      <c r="C108" s="69" t="s">
        <v>346</v>
      </c>
      <c r="D108" s="40" t="s">
        <v>208</v>
      </c>
      <c r="E108" s="122">
        <v>3.1199999999999999E-2</v>
      </c>
      <c r="F108" s="70">
        <v>140</v>
      </c>
      <c r="G108" s="71">
        <v>3.0000000000000001E-5</v>
      </c>
      <c r="H108" s="67">
        <f t="shared" si="35"/>
        <v>145599.99999999997</v>
      </c>
      <c r="I108" s="67">
        <f>H108/10</f>
        <v>14559.999999999996</v>
      </c>
      <c r="J108" s="70"/>
      <c r="K108" s="70"/>
      <c r="L108" s="70"/>
      <c r="M108" s="70">
        <v>179</v>
      </c>
      <c r="N108" s="70"/>
      <c r="O108" s="70"/>
      <c r="P108" s="70"/>
      <c r="Q108" s="71">
        <f>M108/M99</f>
        <v>179000000</v>
      </c>
      <c r="R108" s="70">
        <v>1.75</v>
      </c>
      <c r="S108" s="111">
        <f>LN(Q108/I108)/(R108*LN(2))</f>
        <v>7.7632352065727845</v>
      </c>
      <c r="T108" s="70" t="s">
        <v>347</v>
      </c>
      <c r="U108" s="71">
        <f>1/G108*E108/10</f>
        <v>104</v>
      </c>
      <c r="V108" s="71">
        <f>6/M99</f>
        <v>6000000</v>
      </c>
      <c r="W108" s="71">
        <f>139/G108*E108/10</f>
        <v>14455.999999999996</v>
      </c>
      <c r="X108" s="71">
        <f>173/M99</f>
        <v>173000000</v>
      </c>
      <c r="Y108" s="129">
        <f t="shared" si="37"/>
        <v>9.0377664868024219</v>
      </c>
      <c r="Z108" s="129">
        <f t="shared" si="38"/>
        <v>7.7410377177693137</v>
      </c>
    </row>
    <row r="109" spans="1:26" ht="14.45">
      <c r="A109" s="148"/>
      <c r="B109" s="66">
        <v>81</v>
      </c>
      <c r="C109" s="69">
        <v>235.1</v>
      </c>
      <c r="D109" s="41" t="s">
        <v>200</v>
      </c>
      <c r="E109" s="122">
        <v>8.8999999999999999E-3</v>
      </c>
      <c r="F109" s="70">
        <v>61</v>
      </c>
      <c r="G109" s="71">
        <v>9.0000000000000006E-5</v>
      </c>
      <c r="H109" s="67">
        <f t="shared" si="35"/>
        <v>6032.2222222222226</v>
      </c>
      <c r="I109" s="67">
        <f t="shared" ref="I109" si="40">H109/10</f>
        <v>603.22222222222229</v>
      </c>
      <c r="J109" s="70"/>
      <c r="K109" s="70">
        <v>62</v>
      </c>
      <c r="L109" s="70"/>
      <c r="M109" s="70"/>
      <c r="N109" s="70"/>
      <c r="O109" s="70"/>
      <c r="P109" s="70"/>
      <c r="Q109" s="71">
        <f>K109/K99</f>
        <v>6199999.9999999991</v>
      </c>
      <c r="R109" s="70">
        <v>2.5</v>
      </c>
      <c r="S109" s="111">
        <f>LN(Q109/I109)/(R109*LN(2))</f>
        <v>5.3309164070946853</v>
      </c>
      <c r="T109" s="70" t="s">
        <v>348</v>
      </c>
      <c r="U109" s="70"/>
      <c r="V109" s="70"/>
      <c r="W109" s="70"/>
      <c r="X109" s="70"/>
      <c r="Y109" s="129" t="e">
        <f t="shared" si="37"/>
        <v>#DIV/0!</v>
      </c>
      <c r="Z109" s="129" t="e">
        <f t="shared" si="38"/>
        <v>#DIV/0!</v>
      </c>
    </row>
    <row r="110" spans="1:26"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129" t="e">
        <f t="shared" si="37"/>
        <v>#DIV/0!</v>
      </c>
      <c r="Z110" s="129" t="e">
        <f t="shared" si="38"/>
        <v>#DIV/0!</v>
      </c>
    </row>
    <row r="111" spans="1:26" ht="14.45">
      <c r="A111" s="148" t="s">
        <v>349</v>
      </c>
      <c r="B111" s="66">
        <v>82</v>
      </c>
      <c r="C111" s="88">
        <v>42.2</v>
      </c>
      <c r="D111" s="41" t="s">
        <v>337</v>
      </c>
      <c r="E111" s="121">
        <v>3.3E-3</v>
      </c>
      <c r="F111" s="68">
        <v>92</v>
      </c>
      <c r="G111" s="67">
        <v>3.0000000000000001E-6</v>
      </c>
      <c r="H111" s="67">
        <f t="shared" ref="H111:H120" si="41">E111*F111/G111</f>
        <v>101199.99999999999</v>
      </c>
      <c r="I111" s="67">
        <f>H111/10</f>
        <v>10119.999999999998</v>
      </c>
      <c r="J111" s="68"/>
      <c r="K111" s="68"/>
      <c r="L111" s="68"/>
      <c r="M111" s="68">
        <v>48</v>
      </c>
      <c r="N111" s="68"/>
      <c r="O111" s="68"/>
      <c r="P111" s="68"/>
      <c r="Q111" s="67">
        <f>M111/M99</f>
        <v>48000000</v>
      </c>
      <c r="R111" s="67">
        <v>0.75</v>
      </c>
      <c r="S111" s="111">
        <f>LN(Q111/I111)/(R111*LN(2))</f>
        <v>16.282145867284878</v>
      </c>
      <c r="T111" s="68" t="s">
        <v>274</v>
      </c>
      <c r="U111" s="70"/>
      <c r="V111" s="70"/>
      <c r="W111" s="70"/>
      <c r="X111" s="70"/>
      <c r="Y111" s="129" t="e">
        <f t="shared" si="37"/>
        <v>#DIV/0!</v>
      </c>
      <c r="Z111" s="129" t="e">
        <f t="shared" si="38"/>
        <v>#DIV/0!</v>
      </c>
    </row>
    <row r="112" spans="1:26" ht="14.45">
      <c r="A112" s="148"/>
      <c r="B112" s="66">
        <v>83</v>
      </c>
      <c r="C112" s="88" t="s">
        <v>350</v>
      </c>
      <c r="D112" s="41" t="s">
        <v>196</v>
      </c>
      <c r="E112" s="121">
        <v>3.3E-3</v>
      </c>
      <c r="F112" s="68">
        <v>86</v>
      </c>
      <c r="G112" s="67">
        <v>3.0000000000000001E-6</v>
      </c>
      <c r="H112" s="67">
        <f t="shared" si="41"/>
        <v>94600</v>
      </c>
      <c r="I112" s="67">
        <f>H112/10</f>
        <v>9460</v>
      </c>
      <c r="J112" s="68"/>
      <c r="K112" s="68"/>
      <c r="L112" s="68"/>
      <c r="M112" s="68">
        <v>68</v>
      </c>
      <c r="N112" s="68"/>
      <c r="O112" s="68"/>
      <c r="P112" s="68"/>
      <c r="Q112" s="67">
        <f>M112/M99</f>
        <v>68000000</v>
      </c>
      <c r="R112" s="67">
        <v>0.75</v>
      </c>
      <c r="S112" s="111">
        <f>LN(Q112/I112)/(R112*LN(2))</f>
        <v>17.081875923130344</v>
      </c>
      <c r="T112" s="68" t="s">
        <v>274</v>
      </c>
      <c r="U112" s="70"/>
      <c r="V112" s="70"/>
      <c r="W112" s="70"/>
      <c r="X112" s="70"/>
      <c r="Y112" s="129" t="e">
        <f t="shared" si="37"/>
        <v>#DIV/0!</v>
      </c>
      <c r="Z112" s="129" t="e">
        <f t="shared" si="38"/>
        <v>#DIV/0!</v>
      </c>
    </row>
    <row r="113" spans="1:26" ht="14.45">
      <c r="A113" s="148"/>
      <c r="B113" s="66">
        <v>84</v>
      </c>
      <c r="C113" s="88">
        <v>55.2</v>
      </c>
      <c r="D113" s="41" t="s">
        <v>194</v>
      </c>
      <c r="E113" s="121">
        <v>2.18E-2</v>
      </c>
      <c r="F113" s="68">
        <v>99</v>
      </c>
      <c r="G113" s="67">
        <v>2.0000000000000002E-5</v>
      </c>
      <c r="H113" s="67">
        <f t="shared" si="41"/>
        <v>107909.99999999999</v>
      </c>
      <c r="I113" s="67">
        <f t="shared" ref="I113:I117" si="42">H113/10</f>
        <v>10790.999999999998</v>
      </c>
      <c r="J113" s="68"/>
      <c r="K113" s="68"/>
      <c r="L113" s="68"/>
      <c r="M113" s="68"/>
      <c r="N113" s="68"/>
      <c r="O113" s="68">
        <v>85</v>
      </c>
      <c r="P113" s="68"/>
      <c r="Q113" s="67">
        <f>O113/O99</f>
        <v>1700000000</v>
      </c>
      <c r="R113" s="70">
        <v>1</v>
      </c>
      <c r="S113" s="111">
        <f>LN(Q113/I113)/(R112*LN(2))</f>
        <v>23.020462207323607</v>
      </c>
      <c r="T113" s="68" t="s">
        <v>351</v>
      </c>
      <c r="U113" s="71">
        <f>16/G113*E113/10</f>
        <v>1743.9999999999995</v>
      </c>
      <c r="V113" s="71">
        <f>37/O99</f>
        <v>740000000</v>
      </c>
      <c r="W113" s="71">
        <f>83/G113*E113/10</f>
        <v>9046.9999999999982</v>
      </c>
      <c r="X113" s="71">
        <f>48/O99</f>
        <v>960000000</v>
      </c>
      <c r="Y113" s="129">
        <f t="shared" si="37"/>
        <v>18.69476570506356</v>
      </c>
      <c r="Z113" s="129">
        <f t="shared" si="38"/>
        <v>16.695235408808841</v>
      </c>
    </row>
    <row r="114" spans="1:26" ht="14.45">
      <c r="A114" s="148"/>
      <c r="B114" s="66">
        <v>85</v>
      </c>
      <c r="C114" s="69">
        <v>218.2</v>
      </c>
      <c r="D114" s="41" t="s">
        <v>199</v>
      </c>
      <c r="E114" s="122">
        <v>1.9199999999999998E-2</v>
      </c>
      <c r="F114" s="70">
        <v>111</v>
      </c>
      <c r="G114" s="67">
        <v>2.0000000000000002E-5</v>
      </c>
      <c r="H114" s="67">
        <f t="shared" si="41"/>
        <v>106559.99999999999</v>
      </c>
      <c r="I114" s="67">
        <f>H114/10</f>
        <v>10655.999999999998</v>
      </c>
      <c r="J114" s="70"/>
      <c r="K114" s="70">
        <v>123</v>
      </c>
      <c r="L114" s="68">
        <v>84</v>
      </c>
      <c r="M114" s="70"/>
      <c r="N114" s="70"/>
      <c r="O114" s="70"/>
      <c r="P114" s="70"/>
      <c r="Q114" s="71">
        <f>K114/K99</f>
        <v>12299999.999999998</v>
      </c>
      <c r="R114" s="71">
        <v>1</v>
      </c>
      <c r="S114" s="111">
        <f>LN(Q114/I114)/(R114*LN(2))</f>
        <v>10.172776612704791</v>
      </c>
      <c r="T114" s="70" t="s">
        <v>352</v>
      </c>
      <c r="U114" s="71">
        <f>1/G114*E114/10</f>
        <v>95.999999999999972</v>
      </c>
      <c r="V114" s="71">
        <f>6/K99</f>
        <v>600000</v>
      </c>
      <c r="W114" s="71">
        <v>10655.999999999998</v>
      </c>
      <c r="X114" s="71">
        <f>117/K99</f>
        <v>11699999.999999998</v>
      </c>
      <c r="Y114" s="129">
        <f t="shared" si="37"/>
        <v>12.609640474436812</v>
      </c>
      <c r="Z114" s="129">
        <f t="shared" si="38"/>
        <v>10.100626826948954</v>
      </c>
    </row>
    <row r="115" spans="1:26" ht="14.45">
      <c r="A115" s="148"/>
      <c r="B115" s="66">
        <v>86</v>
      </c>
      <c r="C115" s="107">
        <v>44.1</v>
      </c>
      <c r="D115" s="41" t="s">
        <v>205</v>
      </c>
      <c r="E115" s="122">
        <v>7.4999999999999997E-3</v>
      </c>
      <c r="F115" s="70">
        <v>130</v>
      </c>
      <c r="G115" s="71">
        <v>7.9999999999999996E-6</v>
      </c>
      <c r="H115" s="67">
        <f t="shared" si="41"/>
        <v>121875</v>
      </c>
      <c r="I115" s="67">
        <f>H115/10</f>
        <v>12187.5</v>
      </c>
      <c r="J115" s="70"/>
      <c r="K115" s="70"/>
      <c r="L115" s="70">
        <v>183</v>
      </c>
      <c r="M115" s="70">
        <v>41</v>
      </c>
      <c r="N115" s="70"/>
      <c r="O115" s="70"/>
      <c r="P115" s="70"/>
      <c r="Q115" s="71">
        <f>L115/L99</f>
        <v>36600000</v>
      </c>
      <c r="R115" s="71">
        <v>1</v>
      </c>
      <c r="S115" s="111">
        <f>LN(Q115/I115)/(R115*LN(2))</f>
        <v>11.552225714309156</v>
      </c>
      <c r="T115" s="70" t="s">
        <v>274</v>
      </c>
      <c r="U115" s="71"/>
      <c r="V115" s="70"/>
      <c r="W115" s="70"/>
      <c r="X115" s="70"/>
      <c r="Y115" s="129" t="e">
        <f t="shared" si="37"/>
        <v>#DIV/0!</v>
      </c>
      <c r="Z115" s="129" t="e">
        <f t="shared" si="38"/>
        <v>#DIV/0!</v>
      </c>
    </row>
    <row r="116" spans="1:26" ht="14.45">
      <c r="A116" s="148"/>
      <c r="B116" s="66">
        <v>87</v>
      </c>
      <c r="C116" s="69" t="s">
        <v>353</v>
      </c>
      <c r="D116" s="41" t="s">
        <v>206</v>
      </c>
      <c r="E116" s="121">
        <v>2.3E-3</v>
      </c>
      <c r="F116" s="70">
        <v>70</v>
      </c>
      <c r="G116" s="71">
        <v>1.9999999999999999E-6</v>
      </c>
      <c r="H116" s="67">
        <f t="shared" si="41"/>
        <v>80500</v>
      </c>
      <c r="I116" s="67">
        <f t="shared" ref="I116" si="43">H116/10</f>
        <v>8050</v>
      </c>
      <c r="J116" s="68"/>
      <c r="K116" s="68"/>
      <c r="L116" s="70"/>
      <c r="M116" s="68">
        <v>111</v>
      </c>
      <c r="N116" s="68"/>
      <c r="O116" s="68"/>
      <c r="P116" s="68"/>
      <c r="Q116" s="67">
        <f>M116/M99</f>
        <v>111000000</v>
      </c>
      <c r="R116" s="67">
        <v>1</v>
      </c>
      <c r="S116" s="111">
        <f>LN(Q116/I116)/(R116*LN(2))</f>
        <v>13.751211367784938</v>
      </c>
      <c r="T116" s="70" t="s">
        <v>354</v>
      </c>
      <c r="U116" s="71">
        <f>1/G116*E116/10</f>
        <v>115</v>
      </c>
      <c r="V116" s="71">
        <f>11/M99</f>
        <v>11000000</v>
      </c>
      <c r="W116" s="71">
        <f>69/G116*E116/10</f>
        <v>7935</v>
      </c>
      <c r="X116" s="71">
        <f>100/M99</f>
        <v>100000000</v>
      </c>
      <c r="Y116" s="129">
        <f t="shared" si="37"/>
        <v>16.545510137017096</v>
      </c>
      <c r="Z116" s="129">
        <f t="shared" si="38"/>
        <v>13.621410251376354</v>
      </c>
    </row>
    <row r="117" spans="1:26" ht="14.45">
      <c r="A117" s="148"/>
      <c r="B117" s="66">
        <v>88</v>
      </c>
      <c r="C117" s="69" t="s">
        <v>355</v>
      </c>
      <c r="D117" s="106" t="s">
        <v>207</v>
      </c>
      <c r="E117" s="122">
        <v>4.4999999999999999E-4</v>
      </c>
      <c r="F117" s="70">
        <v>108</v>
      </c>
      <c r="G117" s="71">
        <v>3.9999999999999998E-7</v>
      </c>
      <c r="H117" s="67">
        <f t="shared" si="41"/>
        <v>121500</v>
      </c>
      <c r="I117" s="67">
        <f t="shared" si="42"/>
        <v>12150</v>
      </c>
      <c r="J117" s="70"/>
      <c r="K117" s="70"/>
      <c r="L117" s="70"/>
      <c r="M117" s="70">
        <v>67</v>
      </c>
      <c r="N117" s="70"/>
      <c r="O117" s="70"/>
      <c r="P117" s="70"/>
      <c r="Q117" s="71">
        <f>M117/M99</f>
        <v>67000000</v>
      </c>
      <c r="R117" s="70">
        <v>1.25</v>
      </c>
      <c r="S117" s="111">
        <f>LN(Q117/I117)/(R117*LN(2))</f>
        <v>9.943191253121153</v>
      </c>
      <c r="T117" s="70" t="s">
        <v>274</v>
      </c>
      <c r="U117" s="70"/>
      <c r="V117" s="70"/>
      <c r="W117" s="70"/>
      <c r="X117" s="70"/>
      <c r="Y117" s="129" t="e">
        <f t="shared" si="37"/>
        <v>#DIV/0!</v>
      </c>
      <c r="Z117" s="129" t="e">
        <f t="shared" si="38"/>
        <v>#DIV/0!</v>
      </c>
    </row>
    <row r="118" spans="1:26" ht="14.45">
      <c r="A118" s="148"/>
      <c r="B118" s="66">
        <v>89</v>
      </c>
      <c r="C118" s="51">
        <v>215.2</v>
      </c>
      <c r="D118" s="41" t="s">
        <v>197</v>
      </c>
      <c r="E118" s="122">
        <v>4.0000000000000003E-5</v>
      </c>
      <c r="F118" s="70">
        <v>63</v>
      </c>
      <c r="G118" s="71">
        <v>4.0000000000000001E-8</v>
      </c>
      <c r="H118" s="67">
        <f t="shared" si="41"/>
        <v>63000</v>
      </c>
      <c r="I118" s="67">
        <f>H118/10</f>
        <v>6300</v>
      </c>
      <c r="J118" s="70"/>
      <c r="K118" s="70"/>
      <c r="L118" s="70"/>
      <c r="M118" s="70"/>
      <c r="N118" s="70"/>
      <c r="O118" s="70"/>
      <c r="P118" s="70">
        <v>43</v>
      </c>
      <c r="Q118" s="71">
        <f>P118/P99</f>
        <v>4300000000</v>
      </c>
      <c r="R118" s="70">
        <v>1.5</v>
      </c>
      <c r="S118" s="111">
        <f>LN(Q118/I118)/(R117*LN(2))</f>
        <v>15.504442720421084</v>
      </c>
      <c r="T118" s="70" t="s">
        <v>356</v>
      </c>
      <c r="U118" s="71">
        <f>56/G118*E118/10</f>
        <v>5600.0000000000009</v>
      </c>
      <c r="V118" s="71">
        <f>32/P99</f>
        <v>3200000000</v>
      </c>
      <c r="W118" s="71">
        <f>7/G118*E118/10</f>
        <v>700.00000000000011</v>
      </c>
      <c r="X118" s="71">
        <f>11/P99</f>
        <v>1100000000</v>
      </c>
      <c r="Y118" s="129">
        <f t="shared" si="37"/>
        <v>12.74947576484438</v>
      </c>
      <c r="Z118" s="129">
        <f t="shared" si="38"/>
        <v>13.722430177269246</v>
      </c>
    </row>
    <row r="119" spans="1:26" ht="14.45">
      <c r="A119" s="148"/>
      <c r="B119" s="66">
        <v>90</v>
      </c>
      <c r="C119" s="69" t="s">
        <v>357</v>
      </c>
      <c r="D119" s="40" t="s">
        <v>208</v>
      </c>
      <c r="E119" s="122">
        <v>5.5999999999999995E-4</v>
      </c>
      <c r="F119" s="70">
        <v>91</v>
      </c>
      <c r="G119" s="71">
        <v>5.9999999999999997E-7</v>
      </c>
      <c r="H119" s="67">
        <f t="shared" si="41"/>
        <v>84933.333333333328</v>
      </c>
      <c r="I119" s="67">
        <f>H119/10</f>
        <v>8493.3333333333321</v>
      </c>
      <c r="J119" s="70"/>
      <c r="K119" s="70"/>
      <c r="L119" s="70"/>
      <c r="M119" s="70">
        <v>261</v>
      </c>
      <c r="N119" s="70"/>
      <c r="O119" s="70"/>
      <c r="P119" s="70"/>
      <c r="Q119" s="71">
        <f>M119/M99</f>
        <v>261000000</v>
      </c>
      <c r="R119" s="70">
        <v>1.5</v>
      </c>
      <c r="S119" s="111">
        <f>LN(Q119/I119)/(R119*LN(2))</f>
        <v>9.9382396063143688</v>
      </c>
      <c r="T119" s="70" t="s">
        <v>358</v>
      </c>
      <c r="U119" s="70"/>
      <c r="V119" s="70"/>
      <c r="W119" s="70"/>
      <c r="X119" s="70"/>
      <c r="Y119" s="129" t="e">
        <f t="shared" si="37"/>
        <v>#DIV/0!</v>
      </c>
      <c r="Z119" s="129" t="e">
        <f t="shared" si="38"/>
        <v>#DIV/0!</v>
      </c>
    </row>
    <row r="120" spans="1:26" ht="14.45">
      <c r="A120" s="148"/>
      <c r="B120" s="66">
        <v>91</v>
      </c>
      <c r="C120" s="69">
        <v>235.2</v>
      </c>
      <c r="D120" s="41" t="s">
        <v>200</v>
      </c>
      <c r="E120" s="122">
        <v>1.6100000000000001E-3</v>
      </c>
      <c r="F120" s="70">
        <v>90</v>
      </c>
      <c r="G120" s="71">
        <v>2.0000000000000002E-5</v>
      </c>
      <c r="H120" s="67">
        <f t="shared" si="41"/>
        <v>7244.9999999999991</v>
      </c>
      <c r="I120" s="67">
        <f t="shared" ref="I120" si="44">H120/10</f>
        <v>724.49999999999989</v>
      </c>
      <c r="J120" s="70"/>
      <c r="K120" s="70"/>
      <c r="L120" s="70">
        <v>61</v>
      </c>
      <c r="M120" s="70"/>
      <c r="N120" s="70"/>
      <c r="O120" s="70"/>
      <c r="P120" s="70"/>
      <c r="Q120" s="71">
        <f>L120/L99</f>
        <v>12199999.999999998</v>
      </c>
      <c r="R120" s="70">
        <v>2.5</v>
      </c>
      <c r="S120" s="111">
        <f>LN(Q120/I120)/(R120*LN(2))</f>
        <v>5.6158143729771082</v>
      </c>
      <c r="T120" s="70" t="s">
        <v>359</v>
      </c>
      <c r="U120" s="70"/>
      <c r="V120" s="70"/>
      <c r="W120" s="70"/>
      <c r="X120" s="70"/>
      <c r="Y120" s="129" t="e">
        <f t="shared" si="37"/>
        <v>#DIV/0!</v>
      </c>
      <c r="Z120" s="129" t="e">
        <f t="shared" si="38"/>
        <v>#DIV/0!</v>
      </c>
    </row>
    <row r="121" spans="1:26"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129" t="e">
        <f t="shared" si="37"/>
        <v>#DIV/0!</v>
      </c>
      <c r="Z121" s="129" t="e">
        <f t="shared" si="38"/>
        <v>#DIV/0!</v>
      </c>
    </row>
    <row r="122" spans="1:26" ht="14.45" customHeight="1">
      <c r="A122" s="150" t="s">
        <v>360</v>
      </c>
      <c r="B122" s="66">
        <v>92</v>
      </c>
      <c r="C122" s="88">
        <v>42.3</v>
      </c>
      <c r="D122" s="41" t="s">
        <v>337</v>
      </c>
      <c r="E122" s="121">
        <v>2.0999999999999999E-3</v>
      </c>
      <c r="F122" s="68">
        <v>111</v>
      </c>
      <c r="G122" s="67">
        <v>1.9999999999999999E-6</v>
      </c>
      <c r="H122" s="67">
        <f t="shared" ref="H122:H129" si="45">E122*F122/G122</f>
        <v>116549.99999999999</v>
      </c>
      <c r="I122" s="67">
        <f>H122/10</f>
        <v>11654.999999999998</v>
      </c>
      <c r="J122" s="68"/>
      <c r="K122" s="68">
        <v>112</v>
      </c>
      <c r="L122" s="68">
        <v>61</v>
      </c>
      <c r="M122" s="68"/>
      <c r="N122" s="68"/>
      <c r="O122" s="68"/>
      <c r="P122" s="68"/>
      <c r="Q122" s="67">
        <f>K122/K99</f>
        <v>11200000</v>
      </c>
      <c r="R122" s="67">
        <v>0.6</v>
      </c>
      <c r="S122" s="111">
        <f>LN(Q122/I122)/(R122*LN(2))</f>
        <v>16.513890020796978</v>
      </c>
      <c r="T122" s="68" t="s">
        <v>274</v>
      </c>
      <c r="U122" s="70"/>
      <c r="V122" s="70"/>
      <c r="W122" s="70"/>
      <c r="X122" s="70"/>
      <c r="Y122" s="129" t="e">
        <f t="shared" si="37"/>
        <v>#DIV/0!</v>
      </c>
      <c r="Z122" s="129" t="e">
        <f t="shared" si="38"/>
        <v>#DIV/0!</v>
      </c>
    </row>
    <row r="123" spans="1:26" ht="14.45">
      <c r="A123" s="151"/>
      <c r="B123" s="66">
        <v>93</v>
      </c>
      <c r="C123" s="88" t="s">
        <v>361</v>
      </c>
      <c r="D123" s="41" t="s">
        <v>196</v>
      </c>
      <c r="E123" s="121">
        <v>1.47E-3</v>
      </c>
      <c r="F123" s="68">
        <v>105</v>
      </c>
      <c r="G123" s="67">
        <v>1.9999999999999999E-6</v>
      </c>
      <c r="H123" s="67">
        <f t="shared" si="45"/>
        <v>77175</v>
      </c>
      <c r="I123" s="67">
        <f>H123/10</f>
        <v>7717.5</v>
      </c>
      <c r="J123" s="68"/>
      <c r="K123" s="68"/>
      <c r="L123" s="68">
        <v>49</v>
      </c>
      <c r="M123" s="68"/>
      <c r="N123" s="68"/>
      <c r="O123" s="68"/>
      <c r="P123" s="68"/>
      <c r="Q123" s="67">
        <f>L123/L99</f>
        <v>9800000</v>
      </c>
      <c r="R123" s="67">
        <v>0.6</v>
      </c>
      <c r="S123" s="111">
        <f>LN(Q123/I123)/(R123*LN(2))</f>
        <v>17.184054093415888</v>
      </c>
      <c r="T123" s="68" t="s">
        <v>274</v>
      </c>
      <c r="U123" s="70"/>
      <c r="V123" s="70"/>
      <c r="W123" s="70"/>
      <c r="X123" s="70"/>
      <c r="Y123" s="129" t="e">
        <f t="shared" si="37"/>
        <v>#DIV/0!</v>
      </c>
      <c r="Z123" s="129" t="e">
        <f t="shared" si="38"/>
        <v>#DIV/0!</v>
      </c>
    </row>
    <row r="124" spans="1:26" ht="14.45">
      <c r="A124" s="151"/>
      <c r="B124" s="66">
        <v>94</v>
      </c>
      <c r="C124" s="69" t="s">
        <v>362</v>
      </c>
      <c r="D124" s="41" t="s">
        <v>206</v>
      </c>
      <c r="E124" s="121">
        <v>8.9999999999999998E-4</v>
      </c>
      <c r="F124" s="68">
        <v>81</v>
      </c>
      <c r="G124" s="67">
        <v>8.9999999999999996E-7</v>
      </c>
      <c r="H124" s="67">
        <f t="shared" si="45"/>
        <v>81000</v>
      </c>
      <c r="I124" s="67">
        <f t="shared" ref="I124" si="46">H124/10</f>
        <v>8100</v>
      </c>
      <c r="J124" s="68"/>
      <c r="K124" s="68"/>
      <c r="L124" s="68">
        <v>56</v>
      </c>
      <c r="M124" s="68"/>
      <c r="N124" s="68"/>
      <c r="O124" s="68"/>
      <c r="P124" s="68"/>
      <c r="Q124" s="67">
        <f>L124/L99</f>
        <v>11200000</v>
      </c>
      <c r="R124" s="70">
        <v>0.75</v>
      </c>
      <c r="S124" s="111">
        <f t="shared" ref="S124:S129" si="47">LN(Q124/I124)/(R124*LN(2))</f>
        <v>13.91105227178009</v>
      </c>
      <c r="T124" s="68" t="s">
        <v>363</v>
      </c>
      <c r="U124" s="71">
        <f>11/G124*E124/10</f>
        <v>1100</v>
      </c>
      <c r="V124" s="71">
        <f>21/L99</f>
        <v>4200000</v>
      </c>
      <c r="W124" s="71">
        <f>70/G124*E124/10</f>
        <v>7000</v>
      </c>
      <c r="X124" s="71">
        <f>35/L99</f>
        <v>6999999.9999999991</v>
      </c>
      <c r="Y124" s="129">
        <f t="shared" si="37"/>
        <v>15.864893451738066</v>
      </c>
      <c r="Z124" s="129">
        <f t="shared" si="38"/>
        <v>13.287712379549451</v>
      </c>
    </row>
    <row r="125" spans="1:26" ht="14.45">
      <c r="A125" s="151"/>
      <c r="B125" s="66">
        <v>95</v>
      </c>
      <c r="C125" s="69">
        <v>218.3</v>
      </c>
      <c r="D125" s="41" t="s">
        <v>199</v>
      </c>
      <c r="E125" s="122">
        <v>1.9199999999999998E-2</v>
      </c>
      <c r="F125" s="70">
        <v>192</v>
      </c>
      <c r="G125" s="67">
        <v>2.0000000000000002E-5</v>
      </c>
      <c r="H125" s="67">
        <f t="shared" si="45"/>
        <v>184319.99999999997</v>
      </c>
      <c r="I125" s="67">
        <f>H125/10</f>
        <v>18431.999999999996</v>
      </c>
      <c r="J125" s="70"/>
      <c r="K125" s="70"/>
      <c r="L125" s="68">
        <v>64</v>
      </c>
      <c r="M125" s="70"/>
      <c r="N125" s="70"/>
      <c r="O125" s="70"/>
      <c r="P125" s="70"/>
      <c r="Q125" s="71">
        <f>L125/L99</f>
        <v>12799999.999999998</v>
      </c>
      <c r="R125" s="71">
        <v>1</v>
      </c>
      <c r="S125" s="111">
        <f t="shared" si="47"/>
        <v>9.4397154729945001</v>
      </c>
      <c r="T125" s="70" t="s">
        <v>364</v>
      </c>
      <c r="U125" s="71">
        <f>10/G125*E125/10</f>
        <v>959.99999999999977</v>
      </c>
      <c r="V125" s="71">
        <f>14/L99</f>
        <v>2800000</v>
      </c>
      <c r="W125" s="71">
        <f>182/G125*E125/10</f>
        <v>17471.999999999996</v>
      </c>
      <c r="X125" s="71">
        <f>50/L99</f>
        <v>10000000</v>
      </c>
      <c r="Y125" s="129">
        <f t="shared" si="37"/>
        <v>11.510104800885898</v>
      </c>
      <c r="Z125" s="129">
        <f t="shared" si="38"/>
        <v>9.1607395232916851</v>
      </c>
    </row>
    <row r="126" spans="1:26" ht="14.45">
      <c r="A126" s="151"/>
      <c r="B126" s="66">
        <v>96</v>
      </c>
      <c r="C126" s="107">
        <v>44.2</v>
      </c>
      <c r="D126" s="41" t="s">
        <v>205</v>
      </c>
      <c r="E126" s="122">
        <v>2.7E-4</v>
      </c>
      <c r="F126" s="70">
        <v>93</v>
      </c>
      <c r="G126" s="71">
        <v>3.0000000000000001E-6</v>
      </c>
      <c r="H126" s="67">
        <f t="shared" si="45"/>
        <v>8370</v>
      </c>
      <c r="I126" s="67">
        <f>H126/10</f>
        <v>837</v>
      </c>
      <c r="J126" s="70"/>
      <c r="K126" s="70"/>
      <c r="L126" s="70">
        <v>87</v>
      </c>
      <c r="M126" s="70"/>
      <c r="N126" s="70"/>
      <c r="O126" s="70"/>
      <c r="P126" s="70"/>
      <c r="Q126" s="71">
        <f>L126/L99</f>
        <v>17400000</v>
      </c>
      <c r="R126" s="71">
        <v>1</v>
      </c>
      <c r="S126" s="111">
        <f t="shared" si="47"/>
        <v>14.343500157735196</v>
      </c>
      <c r="T126" s="70" t="s">
        <v>274</v>
      </c>
      <c r="U126" s="70"/>
      <c r="V126" s="70"/>
      <c r="W126" s="70"/>
      <c r="X126" s="70"/>
      <c r="Y126" s="129" t="e">
        <f t="shared" si="37"/>
        <v>#DIV/0!</v>
      </c>
      <c r="Z126" s="129" t="e">
        <f t="shared" si="38"/>
        <v>#DIV/0!</v>
      </c>
    </row>
    <row r="127" spans="1:26" ht="14.45">
      <c r="A127" s="151"/>
      <c r="B127" s="66">
        <v>97</v>
      </c>
      <c r="C127" s="69" t="s">
        <v>365</v>
      </c>
      <c r="D127" s="106" t="s">
        <v>207</v>
      </c>
      <c r="E127" s="121">
        <v>1.49E-3</v>
      </c>
      <c r="F127" s="70">
        <v>89</v>
      </c>
      <c r="G127" s="71">
        <v>1.9999999999999999E-6</v>
      </c>
      <c r="H127" s="67">
        <f t="shared" si="45"/>
        <v>66305</v>
      </c>
      <c r="I127" s="67">
        <f t="shared" ref="I127:I128" si="48">H127/10</f>
        <v>6630.5</v>
      </c>
      <c r="J127" s="68"/>
      <c r="K127" s="68">
        <v>71</v>
      </c>
      <c r="L127" s="70"/>
      <c r="M127" s="68"/>
      <c r="N127" s="68"/>
      <c r="O127" s="68"/>
      <c r="P127" s="68"/>
      <c r="Q127" s="67">
        <f>K127/K99</f>
        <v>7099999.9999999991</v>
      </c>
      <c r="R127" s="67">
        <v>1</v>
      </c>
      <c r="S127" s="111">
        <f t="shared" si="47"/>
        <v>10.064485642512935</v>
      </c>
      <c r="T127" s="70" t="s">
        <v>274</v>
      </c>
      <c r="U127" s="70"/>
      <c r="V127" s="70"/>
      <c r="W127" s="70"/>
      <c r="X127" s="70"/>
      <c r="Y127" s="129" t="e">
        <f t="shared" si="37"/>
        <v>#DIV/0!</v>
      </c>
      <c r="Z127" s="129" t="e">
        <f t="shared" si="38"/>
        <v>#DIV/0!</v>
      </c>
    </row>
    <row r="128" spans="1:26" ht="14.45">
      <c r="A128" s="151"/>
      <c r="B128" s="66">
        <v>98</v>
      </c>
      <c r="C128" s="69" t="s">
        <v>366</v>
      </c>
      <c r="D128" s="40" t="s">
        <v>208</v>
      </c>
      <c r="E128" s="122">
        <v>3.8000000000000002E-4</v>
      </c>
      <c r="F128" s="70">
        <v>115</v>
      </c>
      <c r="G128" s="71">
        <v>3.9999999999999998E-7</v>
      </c>
      <c r="H128" s="67">
        <f t="shared" si="45"/>
        <v>109250.00000000001</v>
      </c>
      <c r="I128" s="67">
        <f t="shared" si="48"/>
        <v>10925.000000000002</v>
      </c>
      <c r="J128" s="70"/>
      <c r="K128" s="70"/>
      <c r="L128" s="70"/>
      <c r="M128" s="70">
        <v>61</v>
      </c>
      <c r="N128" s="70"/>
      <c r="O128" s="70"/>
      <c r="P128" s="70"/>
      <c r="Q128" s="71">
        <f>M128/M99</f>
        <v>61000000</v>
      </c>
      <c r="R128" s="70">
        <v>1</v>
      </c>
      <c r="S128" s="111">
        <f t="shared" si="47"/>
        <v>12.446960247611738</v>
      </c>
      <c r="T128" s="70" t="s">
        <v>367</v>
      </c>
      <c r="U128" s="71">
        <f>74/G128*E128/10</f>
        <v>7030</v>
      </c>
      <c r="V128" s="71">
        <f>51/M99</f>
        <v>51000000</v>
      </c>
      <c r="W128" s="71">
        <f>41/G128*E128/10</f>
        <v>3895</v>
      </c>
      <c r="X128" s="71">
        <f>10/M99</f>
        <v>10000000</v>
      </c>
      <c r="Y128" s="129">
        <f t="shared" si="37"/>
        <v>12.824684937335771</v>
      </c>
      <c r="Z128" s="129">
        <f t="shared" si="38"/>
        <v>11.326089051262505</v>
      </c>
    </row>
    <row r="129" spans="1:26" ht="14.45">
      <c r="A129" s="152"/>
      <c r="B129" s="66">
        <v>99</v>
      </c>
      <c r="C129" s="69">
        <v>235.3</v>
      </c>
      <c r="D129" s="41" t="s">
        <v>200</v>
      </c>
      <c r="E129" s="122">
        <v>1.92E-3</v>
      </c>
      <c r="F129" s="70">
        <v>130</v>
      </c>
      <c r="G129" s="71">
        <v>1.0000000000000001E-5</v>
      </c>
      <c r="H129" s="67">
        <f t="shared" si="45"/>
        <v>24960</v>
      </c>
      <c r="I129" s="67">
        <f>H129/10</f>
        <v>2496</v>
      </c>
      <c r="J129" s="70"/>
      <c r="K129" s="70"/>
      <c r="L129" s="70"/>
      <c r="M129" s="70"/>
      <c r="N129" s="70">
        <v>55</v>
      </c>
      <c r="O129" s="70"/>
      <c r="P129" s="70"/>
      <c r="Q129" s="71">
        <f>N129/N99</f>
        <v>110000000</v>
      </c>
      <c r="R129" s="70">
        <v>2.5</v>
      </c>
      <c r="S129" s="111">
        <f t="shared" si="47"/>
        <v>6.1710104255946341</v>
      </c>
      <c r="T129" s="70" t="s">
        <v>274</v>
      </c>
      <c r="U129" s="70"/>
      <c r="V129" s="70"/>
      <c r="W129" s="70"/>
      <c r="X129" s="70"/>
      <c r="Y129" s="129" t="e">
        <f t="shared" si="37"/>
        <v>#DIV/0!</v>
      </c>
      <c r="Z129" s="129" t="e">
        <f t="shared" si="38"/>
        <v>#DIV/0!</v>
      </c>
    </row>
    <row r="130" spans="1:26" ht="14.45">
      <c r="A130" s="108"/>
      <c r="B130" s="109"/>
      <c r="C130" s="110"/>
      <c r="D130" s="33"/>
      <c r="E130" s="19"/>
      <c r="F130" s="70"/>
      <c r="G130" s="71"/>
      <c r="H130" s="67"/>
      <c r="I130" s="67"/>
      <c r="J130" s="70"/>
      <c r="K130" s="70"/>
      <c r="L130" s="70"/>
      <c r="M130" s="70"/>
      <c r="N130" s="70"/>
      <c r="O130" s="70"/>
      <c r="P130" s="70"/>
      <c r="Q130" s="70"/>
      <c r="R130" s="70"/>
      <c r="S130" s="111"/>
      <c r="T130" s="70"/>
      <c r="U130" s="70"/>
      <c r="V130" s="70"/>
      <c r="W130" s="70"/>
      <c r="X130" s="70"/>
      <c r="Y130" s="129" t="e">
        <f t="shared" si="37"/>
        <v>#DIV/0!</v>
      </c>
      <c r="Z130" s="129" t="e">
        <f t="shared" si="38"/>
        <v>#DIV/0!</v>
      </c>
    </row>
    <row r="131" spans="1:26" ht="14.45">
      <c r="A131" s="108"/>
      <c r="B131" s="109"/>
      <c r="C131" s="110"/>
      <c r="D131" s="33"/>
      <c r="E131" s="19"/>
      <c r="F131" s="70"/>
      <c r="G131" s="71"/>
      <c r="H131" s="67"/>
      <c r="I131" s="67"/>
      <c r="J131" s="70"/>
      <c r="K131" s="70"/>
      <c r="L131" s="70"/>
      <c r="M131" s="70"/>
      <c r="N131" s="70"/>
      <c r="O131" s="70"/>
      <c r="P131" s="70"/>
      <c r="Q131" s="70"/>
      <c r="R131" s="70"/>
      <c r="S131" s="111"/>
      <c r="T131" s="70"/>
      <c r="U131" s="70"/>
      <c r="V131" s="70"/>
      <c r="W131" s="70"/>
      <c r="X131" s="70"/>
      <c r="Y131" s="129" t="e">
        <f t="shared" si="37"/>
        <v>#DIV/0!</v>
      </c>
      <c r="Z131" s="129" t="e">
        <f t="shared" si="38"/>
        <v>#DIV/0!</v>
      </c>
    </row>
    <row r="132" spans="1:26" ht="28.15">
      <c r="B132" s="60" t="s">
        <v>256</v>
      </c>
      <c r="C132" s="61" t="s">
        <v>129</v>
      </c>
      <c r="D132" s="104" t="s">
        <v>1</v>
      </c>
      <c r="E132" s="104" t="s">
        <v>257</v>
      </c>
      <c r="F132" s="134" t="s">
        <v>258</v>
      </c>
      <c r="G132" s="134" t="s">
        <v>259</v>
      </c>
      <c r="H132" s="123" t="s">
        <v>260</v>
      </c>
      <c r="I132" s="123" t="s">
        <v>261</v>
      </c>
      <c r="J132" s="124">
        <v>5.0000000000000002E-5</v>
      </c>
      <c r="K132" s="124">
        <v>1.0000000000000001E-5</v>
      </c>
      <c r="L132" s="124">
        <v>5.0000000000000004E-6</v>
      </c>
      <c r="M132" s="124">
        <v>9.9999999999999995E-7</v>
      </c>
      <c r="N132" s="124">
        <v>4.9999999999999998E-7</v>
      </c>
      <c r="O132" s="124">
        <v>4.9999999999999998E-8</v>
      </c>
      <c r="P132" s="124">
        <v>1E-8</v>
      </c>
      <c r="Q132" s="134" t="s">
        <v>262</v>
      </c>
      <c r="R132" s="134" t="s">
        <v>263</v>
      </c>
      <c r="S132" s="134" t="s">
        <v>264</v>
      </c>
      <c r="T132" s="134" t="s">
        <v>265</v>
      </c>
      <c r="U132" s="119" t="s">
        <v>266</v>
      </c>
      <c r="V132" s="119" t="s">
        <v>267</v>
      </c>
      <c r="W132" s="119" t="s">
        <v>268</v>
      </c>
      <c r="X132" s="119" t="s">
        <v>269</v>
      </c>
      <c r="Y132" s="120" t="s">
        <v>270</v>
      </c>
      <c r="Z132" s="120" t="s">
        <v>271</v>
      </c>
    </row>
    <row r="133" spans="1:26" ht="14.45" customHeight="1">
      <c r="A133" s="153" t="s">
        <v>368</v>
      </c>
      <c r="B133" s="66">
        <v>100</v>
      </c>
      <c r="C133" s="88">
        <v>42.4</v>
      </c>
      <c r="D133" s="41" t="s">
        <v>337</v>
      </c>
      <c r="E133" s="121">
        <v>8.8999999999999999E-3</v>
      </c>
      <c r="F133" s="68">
        <v>92</v>
      </c>
      <c r="G133" s="67">
        <v>9.0000000000000002E-6</v>
      </c>
      <c r="H133" s="67">
        <f t="shared" ref="H133:H141" si="49">E133*F133/G133</f>
        <v>90977.777777777766</v>
      </c>
      <c r="I133" s="67">
        <f>H133/10</f>
        <v>9097.7777777777774</v>
      </c>
      <c r="J133" s="68"/>
      <c r="K133" s="68"/>
      <c r="L133" s="68">
        <v>99</v>
      </c>
      <c r="M133" s="68"/>
      <c r="N133" s="68"/>
      <c r="O133" s="68"/>
      <c r="P133" s="68"/>
      <c r="Q133" s="67">
        <f>L133/L132</f>
        <v>19800000</v>
      </c>
      <c r="R133" s="67">
        <v>0.6</v>
      </c>
      <c r="S133" s="111">
        <f>LN(Q133/I133)/(R133*LN(2))</f>
        <v>18.479497690079935</v>
      </c>
      <c r="T133" s="68" t="s">
        <v>274</v>
      </c>
      <c r="U133" s="70"/>
      <c r="V133" s="70"/>
      <c r="W133" s="70"/>
      <c r="X133" s="70"/>
      <c r="Y133" s="129"/>
      <c r="Z133" s="129"/>
    </row>
    <row r="134" spans="1:26" ht="14.45">
      <c r="A134" s="154"/>
      <c r="B134" s="66">
        <v>101</v>
      </c>
      <c r="C134" s="88">
        <v>55.3</v>
      </c>
      <c r="D134" s="41" t="s">
        <v>194</v>
      </c>
      <c r="E134" s="121">
        <v>6.0000000000000002E-5</v>
      </c>
      <c r="F134" s="68">
        <v>137</v>
      </c>
      <c r="G134" s="67">
        <v>5.9999999999999995E-8</v>
      </c>
      <c r="H134" s="67">
        <f t="shared" si="49"/>
        <v>137000</v>
      </c>
      <c r="I134" s="67">
        <f>H134/10</f>
        <v>13700</v>
      </c>
      <c r="J134" s="68"/>
      <c r="K134" s="68"/>
      <c r="L134" s="68"/>
      <c r="M134" s="68"/>
      <c r="N134" s="68">
        <v>76</v>
      </c>
      <c r="O134" s="68"/>
      <c r="P134" s="68"/>
      <c r="Q134" s="67">
        <f>N134/N132</f>
        <v>152000000</v>
      </c>
      <c r="R134" s="67">
        <v>0.6</v>
      </c>
      <c r="S134" s="111">
        <f>LN(Q134/I134)/(R134*LN(2))</f>
        <v>22.396013016720847</v>
      </c>
      <c r="T134" s="68" t="s">
        <v>369</v>
      </c>
      <c r="U134" s="71">
        <f>99/G134*E134/10</f>
        <v>9900.0000000000018</v>
      </c>
      <c r="V134" s="71">
        <f>65/N132</f>
        <v>130000000</v>
      </c>
      <c r="W134" s="71">
        <f>38/G134*E134/10</f>
        <v>3800</v>
      </c>
      <c r="X134" s="71">
        <f>11/N132</f>
        <v>22000000</v>
      </c>
      <c r="Y134" s="129">
        <f t="shared" si="37"/>
        <v>22.801205954163823</v>
      </c>
      <c r="Z134" s="129">
        <f t="shared" si="38"/>
        <v>20.832027474571934</v>
      </c>
    </row>
    <row r="135" spans="1:26" ht="14.45">
      <c r="A135" s="154"/>
      <c r="B135" s="66">
        <v>102</v>
      </c>
      <c r="C135" s="88" t="s">
        <v>370</v>
      </c>
      <c r="D135" s="41" t="s">
        <v>196</v>
      </c>
      <c r="E135" s="121">
        <v>1.0200000000000001E-2</v>
      </c>
      <c r="F135" s="68">
        <v>108</v>
      </c>
      <c r="G135" s="67">
        <v>1.0000000000000001E-5</v>
      </c>
      <c r="H135" s="67">
        <f t="shared" si="49"/>
        <v>110160</v>
      </c>
      <c r="I135" s="67">
        <f t="shared" ref="I135" si="50">H135/10</f>
        <v>11016</v>
      </c>
      <c r="J135" s="68"/>
      <c r="K135" s="68"/>
      <c r="L135" s="68">
        <v>83</v>
      </c>
      <c r="M135" s="68"/>
      <c r="N135" s="68"/>
      <c r="O135" s="68"/>
      <c r="P135" s="68"/>
      <c r="Q135" s="67">
        <f>L135/L132</f>
        <v>16599999.999999998</v>
      </c>
      <c r="R135" s="71">
        <v>0.6</v>
      </c>
      <c r="S135" s="111">
        <f t="shared" ref="S135:S141" si="51">LN(Q135/I135)/(R135*LN(2))</f>
        <v>17.595611769414621</v>
      </c>
      <c r="T135" s="68" t="s">
        <v>274</v>
      </c>
      <c r="U135" s="70"/>
      <c r="V135" s="70"/>
      <c r="W135" s="70"/>
      <c r="X135" s="70"/>
      <c r="Y135" s="129" t="e">
        <f t="shared" si="37"/>
        <v>#DIV/0!</v>
      </c>
      <c r="Z135" s="129" t="e">
        <f t="shared" si="38"/>
        <v>#DIV/0!</v>
      </c>
    </row>
    <row r="136" spans="1:26" ht="14.45">
      <c r="A136" s="154"/>
      <c r="B136" s="66">
        <v>103</v>
      </c>
      <c r="C136" s="51">
        <v>215.3</v>
      </c>
      <c r="D136" s="41" t="s">
        <v>197</v>
      </c>
      <c r="E136" s="122">
        <v>2.3E-5</v>
      </c>
      <c r="F136" s="70">
        <v>224</v>
      </c>
      <c r="G136" s="67">
        <v>2E-8</v>
      </c>
      <c r="H136" s="67">
        <f t="shared" si="49"/>
        <v>257600</v>
      </c>
      <c r="I136" s="67">
        <f>H136/10</f>
        <v>25760</v>
      </c>
      <c r="J136" s="70"/>
      <c r="K136" s="70">
        <v>40</v>
      </c>
      <c r="L136" s="68"/>
      <c r="M136" s="70"/>
      <c r="N136" s="70"/>
      <c r="O136" s="70"/>
      <c r="P136" s="70"/>
      <c r="Q136" s="71">
        <f>K136/K132</f>
        <v>3999999.9999999995</v>
      </c>
      <c r="R136" s="71">
        <v>0.6</v>
      </c>
      <c r="S136" s="111">
        <f t="shared" si="51"/>
        <v>12.131205993870324</v>
      </c>
      <c r="T136" s="70" t="s">
        <v>371</v>
      </c>
      <c r="U136" s="71">
        <f>213/G136*E136/10</f>
        <v>24495</v>
      </c>
      <c r="V136" s="71">
        <f>37/K132</f>
        <v>3699999.9999999995</v>
      </c>
      <c r="W136" s="71">
        <f>11/G136*E136/10</f>
        <v>1265</v>
      </c>
      <c r="X136" s="71">
        <f>3/K132</f>
        <v>300000</v>
      </c>
      <c r="Y136" s="129">
        <f t="shared" si="37"/>
        <v>12.064823614825913</v>
      </c>
      <c r="Z136" s="129">
        <f t="shared" si="38"/>
        <v>13.14946884262716</v>
      </c>
    </row>
    <row r="137" spans="1:26" ht="14.45">
      <c r="A137" s="154"/>
      <c r="B137" s="66">
        <v>104</v>
      </c>
      <c r="C137" s="107">
        <v>44.3</v>
      </c>
      <c r="D137" s="41" t="s">
        <v>205</v>
      </c>
      <c r="E137" s="122">
        <v>5.7999999999999996E-3</v>
      </c>
      <c r="F137" s="70">
        <v>109</v>
      </c>
      <c r="G137" s="71">
        <v>6.0000000000000002E-6</v>
      </c>
      <c r="H137" s="67">
        <f t="shared" si="49"/>
        <v>105366.66666666666</v>
      </c>
      <c r="I137" s="67">
        <f>H137/10</f>
        <v>10536.666666666666</v>
      </c>
      <c r="J137" s="70"/>
      <c r="K137" s="75">
        <v>31</v>
      </c>
      <c r="L137" s="70"/>
      <c r="M137" s="70"/>
      <c r="N137" s="70"/>
      <c r="O137" s="70"/>
      <c r="P137" s="70"/>
      <c r="Q137" s="71">
        <f>K137/K132</f>
        <v>3099999.9999999995</v>
      </c>
      <c r="R137" s="71">
        <v>0.75</v>
      </c>
      <c r="S137" s="111">
        <f t="shared" si="51"/>
        <v>10.934274494337311</v>
      </c>
      <c r="T137" s="70" t="s">
        <v>274</v>
      </c>
      <c r="U137" s="70"/>
      <c r="V137" s="70"/>
      <c r="W137" s="70"/>
      <c r="X137" s="70"/>
      <c r="Y137" s="129" t="e">
        <f t="shared" si="37"/>
        <v>#DIV/0!</v>
      </c>
      <c r="Z137" s="129" t="e">
        <f t="shared" si="38"/>
        <v>#DIV/0!</v>
      </c>
    </row>
    <row r="138" spans="1:26" ht="14.45">
      <c r="A138" s="154"/>
      <c r="B138" s="66">
        <v>105</v>
      </c>
      <c r="C138" s="69" t="s">
        <v>372</v>
      </c>
      <c r="D138" s="41" t="s">
        <v>206</v>
      </c>
      <c r="E138" s="121">
        <v>8.8999999999999999E-3</v>
      </c>
      <c r="F138" s="70">
        <v>118</v>
      </c>
      <c r="G138" s="96">
        <v>9.0000000000000002E-6</v>
      </c>
      <c r="H138" s="67">
        <f t="shared" si="49"/>
        <v>116688.88888888889</v>
      </c>
      <c r="I138" s="67">
        <f t="shared" ref="I138:I139" si="52">H138/10</f>
        <v>11668.888888888889</v>
      </c>
      <c r="J138" s="68"/>
      <c r="K138" s="68"/>
      <c r="L138" s="70"/>
      <c r="M138" s="68">
        <v>101</v>
      </c>
      <c r="N138" s="68"/>
      <c r="O138" s="68"/>
      <c r="P138" s="68"/>
      <c r="Q138" s="67">
        <f>M138/M132</f>
        <v>101000000</v>
      </c>
      <c r="R138" s="67">
        <v>0.75</v>
      </c>
      <c r="S138" s="111">
        <f t="shared" si="51"/>
        <v>17.43920063773691</v>
      </c>
      <c r="T138" s="70" t="s">
        <v>373</v>
      </c>
      <c r="U138" s="71">
        <f>63/G138*E138/10</f>
        <v>6230</v>
      </c>
      <c r="V138" s="71">
        <f>67/M132</f>
        <v>67000000</v>
      </c>
      <c r="W138" s="71">
        <f>55/G138*E138/10</f>
        <v>5438.8888888888887</v>
      </c>
      <c r="X138" s="71">
        <f>34/M132</f>
        <v>34000000</v>
      </c>
      <c r="Y138" s="129">
        <f t="shared" si="37"/>
        <v>17.856855082494114</v>
      </c>
      <c r="Z138" s="129">
        <f t="shared" si="38"/>
        <v>16.813246896851211</v>
      </c>
    </row>
    <row r="139" spans="1:26" ht="14.45">
      <c r="A139" s="154"/>
      <c r="B139" s="66">
        <v>106</v>
      </c>
      <c r="C139" s="69">
        <v>218.4</v>
      </c>
      <c r="D139" s="41" t="s">
        <v>199</v>
      </c>
      <c r="E139" s="122">
        <v>7.7999999999999996E-3</v>
      </c>
      <c r="F139" s="70">
        <v>77</v>
      </c>
      <c r="G139" s="71">
        <v>7.9999999999999996E-6</v>
      </c>
      <c r="H139" s="67">
        <f t="shared" si="49"/>
        <v>75075</v>
      </c>
      <c r="I139" s="67">
        <f t="shared" si="52"/>
        <v>7507.5</v>
      </c>
      <c r="J139" s="70"/>
      <c r="K139" s="70"/>
      <c r="L139" s="70">
        <v>60</v>
      </c>
      <c r="M139" s="70"/>
      <c r="N139" s="70"/>
      <c r="O139" s="70"/>
      <c r="P139" s="70"/>
      <c r="Q139" s="71">
        <f>L139/L132</f>
        <v>11999999.999999998</v>
      </c>
      <c r="R139" s="70">
        <v>1</v>
      </c>
      <c r="S139" s="111">
        <f t="shared" si="51"/>
        <v>10.642414215600818</v>
      </c>
      <c r="T139" s="70" t="s">
        <v>374</v>
      </c>
      <c r="U139" s="71">
        <f>14/G139*E139/10</f>
        <v>1365</v>
      </c>
      <c r="V139" s="71">
        <f>21/L132</f>
        <v>4200000</v>
      </c>
      <c r="W139" s="71">
        <f>63/G139*E139/10</f>
        <v>6142.5</v>
      </c>
      <c r="X139" s="71">
        <f>39/L132</f>
        <v>7799999.9999999991</v>
      </c>
      <c r="Y139" s="129">
        <f t="shared" si="37"/>
        <v>11.587272661408358</v>
      </c>
      <c r="Z139" s="129">
        <f t="shared" si="38"/>
        <v>10.310432456049533</v>
      </c>
    </row>
    <row r="140" spans="1:26" ht="14.45">
      <c r="A140" s="154"/>
      <c r="B140" s="66">
        <v>107</v>
      </c>
      <c r="C140" s="69" t="s">
        <v>375</v>
      </c>
      <c r="D140" s="106" t="s">
        <v>207</v>
      </c>
      <c r="E140" s="122">
        <v>1.4E-2</v>
      </c>
      <c r="F140" s="70">
        <v>128</v>
      </c>
      <c r="G140" s="71">
        <v>2.0000000000000002E-5</v>
      </c>
      <c r="H140" s="67">
        <f t="shared" si="49"/>
        <v>89600</v>
      </c>
      <c r="I140" s="67">
        <f>H140/10</f>
        <v>8960</v>
      </c>
      <c r="J140" s="70"/>
      <c r="K140" s="70">
        <v>51</v>
      </c>
      <c r="L140" s="70"/>
      <c r="M140" s="70"/>
      <c r="N140" s="70"/>
      <c r="O140" s="70"/>
      <c r="P140" s="70"/>
      <c r="Q140" s="71">
        <f>K140/K132</f>
        <v>5100000</v>
      </c>
      <c r="R140" s="70">
        <v>1</v>
      </c>
      <c r="S140" s="111">
        <f t="shared" si="51"/>
        <v>9.1527827994633402</v>
      </c>
      <c r="T140" s="70" t="s">
        <v>274</v>
      </c>
      <c r="U140" s="70"/>
      <c r="V140" s="70"/>
      <c r="W140" s="70"/>
      <c r="X140" s="70"/>
      <c r="Y140" s="129" t="e">
        <f t="shared" si="37"/>
        <v>#DIV/0!</v>
      </c>
      <c r="Z140" s="129" t="e">
        <f t="shared" si="38"/>
        <v>#DIV/0!</v>
      </c>
    </row>
    <row r="141" spans="1:26" ht="14.45">
      <c r="A141" s="154"/>
      <c r="B141" s="66">
        <v>108</v>
      </c>
      <c r="C141" s="69" t="s">
        <v>376</v>
      </c>
      <c r="D141" s="40" t="s">
        <v>208</v>
      </c>
      <c r="E141" s="122">
        <v>1.64E-3</v>
      </c>
      <c r="F141" s="70">
        <v>107</v>
      </c>
      <c r="G141" s="71">
        <v>1.9999999999999999E-6</v>
      </c>
      <c r="H141" s="67">
        <f t="shared" si="49"/>
        <v>87740</v>
      </c>
      <c r="I141" s="67">
        <f>H141/10</f>
        <v>8774</v>
      </c>
      <c r="J141" s="70"/>
      <c r="K141" s="70"/>
      <c r="L141" s="70"/>
      <c r="M141" s="70">
        <v>81</v>
      </c>
      <c r="N141" s="70"/>
      <c r="O141" s="70"/>
      <c r="P141" s="70"/>
      <c r="Q141" s="71">
        <f>M141/M132</f>
        <v>81000000</v>
      </c>
      <c r="R141" s="70">
        <v>1</v>
      </c>
      <c r="S141" s="111">
        <f t="shared" si="51"/>
        <v>13.172399581189568</v>
      </c>
      <c r="T141" s="70" t="s">
        <v>377</v>
      </c>
      <c r="U141" s="71">
        <f>91/G141*E141/10</f>
        <v>7462</v>
      </c>
      <c r="V141" s="71">
        <f>71/M132</f>
        <v>71000000</v>
      </c>
      <c r="W141" s="71">
        <f>16/G141*E141/10</f>
        <v>1312</v>
      </c>
      <c r="X141" s="71">
        <f>10/M132</f>
        <v>10000000</v>
      </c>
      <c r="Y141" s="129">
        <f t="shared" si="37"/>
        <v>13.215969044012077</v>
      </c>
      <c r="Z141" s="129">
        <f t="shared" si="38"/>
        <v>12.895944659593452</v>
      </c>
    </row>
    <row r="142" spans="1:26"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129" t="e">
        <f t="shared" si="37"/>
        <v>#DIV/0!</v>
      </c>
      <c r="Z142" s="129" t="e">
        <f t="shared" si="38"/>
        <v>#DIV/0!</v>
      </c>
    </row>
    <row r="143" spans="1:26" ht="14.45" customHeight="1">
      <c r="A143" s="148" t="s">
        <v>378</v>
      </c>
      <c r="B143" s="66">
        <v>109</v>
      </c>
      <c r="C143" s="88">
        <v>55.4</v>
      </c>
      <c r="D143" s="41" t="s">
        <v>194</v>
      </c>
      <c r="E143" s="121">
        <v>6.6E-4</v>
      </c>
      <c r="F143" s="68">
        <v>68</v>
      </c>
      <c r="G143" s="67">
        <v>6.9999999999999997E-7</v>
      </c>
      <c r="H143" s="67">
        <f t="shared" ref="H143:H149" si="53">E143*F143/G143</f>
        <v>64114.285714285725</v>
      </c>
      <c r="I143" s="67">
        <f>H143/10</f>
        <v>6411.4285714285725</v>
      </c>
      <c r="J143" s="68"/>
      <c r="K143" s="68"/>
      <c r="L143" s="68"/>
      <c r="M143" s="68">
        <v>49</v>
      </c>
      <c r="N143" s="68"/>
      <c r="O143" s="68"/>
      <c r="P143" s="68"/>
      <c r="Q143" s="67">
        <f>M143/M132</f>
        <v>49000000</v>
      </c>
      <c r="R143" s="67">
        <v>0.6</v>
      </c>
      <c r="S143" s="111">
        <f>LN(Q143/I143)/(R143*LN(2))</f>
        <v>21.499747133334719</v>
      </c>
      <c r="T143" s="68" t="s">
        <v>379</v>
      </c>
      <c r="U143" s="71">
        <f>57/G143*E143/10</f>
        <v>5374.2857142857147</v>
      </c>
      <c r="V143" s="71">
        <f>39/M132</f>
        <v>39000000</v>
      </c>
      <c r="W143" s="71">
        <f>11/G143*E143/10</f>
        <v>1037.1428571428571</v>
      </c>
      <c r="X143" s="71">
        <f>10/M132</f>
        <v>10000000</v>
      </c>
      <c r="Y143" s="129">
        <f t="shared" si="37"/>
        <v>21.375189136389118</v>
      </c>
      <c r="Z143" s="129">
        <f t="shared" si="38"/>
        <v>22.05849625564338</v>
      </c>
    </row>
    <row r="144" spans="1:26" ht="14.45">
      <c r="A144" s="148"/>
      <c r="B144" s="66">
        <v>110</v>
      </c>
      <c r="C144" s="69" t="s">
        <v>380</v>
      </c>
      <c r="D144" s="41" t="s">
        <v>206</v>
      </c>
      <c r="E144" s="121">
        <v>9.8999999999999999E-4</v>
      </c>
      <c r="F144" s="68">
        <v>124</v>
      </c>
      <c r="G144" s="67">
        <v>9.9999999999999995E-7</v>
      </c>
      <c r="H144" s="67">
        <f t="shared" si="53"/>
        <v>122760</v>
      </c>
      <c r="I144" s="67">
        <f>H144/10</f>
        <v>12276</v>
      </c>
      <c r="J144" s="68"/>
      <c r="K144" s="68"/>
      <c r="L144" s="68"/>
      <c r="M144" s="68">
        <v>116</v>
      </c>
      <c r="N144" s="68"/>
      <c r="O144" s="68"/>
      <c r="P144" s="68"/>
      <c r="Q144" s="67">
        <f>M144/M132</f>
        <v>116000000</v>
      </c>
      <c r="R144" s="67">
        <v>0.75</v>
      </c>
      <c r="S144" s="111">
        <f>LN(Q144/I144)/(R144*LN(2))</f>
        <v>17.607995511980352</v>
      </c>
      <c r="T144" s="68" t="s">
        <v>381</v>
      </c>
      <c r="U144" s="71">
        <f>90/G144*E144/10</f>
        <v>8910</v>
      </c>
      <c r="V144" s="71">
        <f>92/M132</f>
        <v>92000000</v>
      </c>
      <c r="W144" s="71">
        <f>34/G144*E144/10</f>
        <v>3366</v>
      </c>
      <c r="X144" s="71">
        <f>24/M132</f>
        <v>24000000</v>
      </c>
      <c r="Y144" s="129">
        <f t="shared" si="37"/>
        <v>17.778561078629206</v>
      </c>
      <c r="Z144" s="129">
        <f t="shared" si="38"/>
        <v>17.066282144953842</v>
      </c>
    </row>
    <row r="145" spans="1:26" ht="14.45">
      <c r="A145" s="148"/>
      <c r="B145" s="66">
        <v>111</v>
      </c>
      <c r="C145" s="69" t="s">
        <v>382</v>
      </c>
      <c r="D145" s="40" t="s">
        <v>208</v>
      </c>
      <c r="E145" s="121">
        <v>1.23E-3</v>
      </c>
      <c r="F145" s="68">
        <v>165</v>
      </c>
      <c r="G145" s="67">
        <v>1.9999999999999999E-6</v>
      </c>
      <c r="H145" s="67">
        <f t="shared" si="53"/>
        <v>101475</v>
      </c>
      <c r="I145" s="67">
        <f t="shared" ref="I145" si="54">H145/10</f>
        <v>10147.5</v>
      </c>
      <c r="J145" s="68"/>
      <c r="K145" s="68">
        <v>88</v>
      </c>
      <c r="L145" s="68"/>
      <c r="M145" s="68"/>
      <c r="N145" s="68"/>
      <c r="O145" s="68"/>
      <c r="P145" s="68"/>
      <c r="Q145" s="67">
        <f>K145/K132</f>
        <v>8800000</v>
      </c>
      <c r="R145" s="70">
        <v>0.75</v>
      </c>
      <c r="S145" s="111">
        <f t="shared" ref="S145:S149" si="55">LN(Q145/I145)/(R145*LN(2))</f>
        <v>13.013647164652072</v>
      </c>
      <c r="T145" s="68" t="s">
        <v>383</v>
      </c>
      <c r="U145" s="71">
        <f>50/G145*E145/10</f>
        <v>3075</v>
      </c>
      <c r="V145" s="71">
        <f>52/K132</f>
        <v>5200000</v>
      </c>
      <c r="W145" s="71">
        <f>115/G145*E145/10</f>
        <v>7072.5</v>
      </c>
      <c r="X145" s="71">
        <f>36/K132</f>
        <v>3599999.9999999995</v>
      </c>
      <c r="Y145" s="129">
        <f t="shared" si="37"/>
        <v>14.298279329951921</v>
      </c>
      <c r="Z145" s="129">
        <f t="shared" si="38"/>
        <v>11.988747892794013</v>
      </c>
    </row>
    <row r="146" spans="1:26" ht="14.45">
      <c r="A146" s="148"/>
      <c r="B146" s="66">
        <v>112</v>
      </c>
      <c r="C146" s="51">
        <v>215.4</v>
      </c>
      <c r="D146" s="41" t="s">
        <v>197</v>
      </c>
      <c r="E146" s="122">
        <v>2.5000000000000001E-3</v>
      </c>
      <c r="F146" s="70">
        <v>110</v>
      </c>
      <c r="G146" s="67">
        <v>3.0000000000000001E-5</v>
      </c>
      <c r="H146" s="67">
        <f t="shared" si="53"/>
        <v>9166.6666666666679</v>
      </c>
      <c r="I146" s="67">
        <f>H146/10</f>
        <v>916.66666666666674</v>
      </c>
      <c r="J146" s="70"/>
      <c r="K146" s="70"/>
      <c r="L146" s="68"/>
      <c r="M146" s="70">
        <v>50</v>
      </c>
      <c r="N146" s="70"/>
      <c r="O146" s="70"/>
      <c r="P146" s="70"/>
      <c r="Q146" s="71">
        <f>M146/M132</f>
        <v>50000000</v>
      </c>
      <c r="R146" s="71">
        <v>1</v>
      </c>
      <c r="S146" s="111">
        <f t="shared" si="55"/>
        <v>15.73517135652067</v>
      </c>
      <c r="T146" s="70" t="s">
        <v>384</v>
      </c>
      <c r="U146" s="71">
        <f>97/G146*E146/10</f>
        <v>808.33333333333326</v>
      </c>
      <c r="V146" s="71">
        <f>46/M132</f>
        <v>46000000</v>
      </c>
      <c r="W146" s="71">
        <f>13/G146*E146/10</f>
        <v>108.33333333333333</v>
      </c>
      <c r="X146" s="71">
        <f>4/M132</f>
        <v>4000000</v>
      </c>
      <c r="Y146" s="129">
        <f t="shared" si="37"/>
        <v>15.796323994140492</v>
      </c>
      <c r="Z146" s="129">
        <f t="shared" si="38"/>
        <v>15.172235162129512</v>
      </c>
    </row>
    <row r="147" spans="1:26" ht="14.45">
      <c r="A147" s="148"/>
      <c r="B147" s="66">
        <v>113</v>
      </c>
      <c r="C147" s="107">
        <v>44.2</v>
      </c>
      <c r="D147" s="41" t="s">
        <v>205</v>
      </c>
      <c r="E147" s="122">
        <v>3.2299999999999998E-3</v>
      </c>
      <c r="F147" s="70">
        <v>141</v>
      </c>
      <c r="G147" s="71">
        <v>4.0000000000000003E-5</v>
      </c>
      <c r="H147" s="67">
        <f t="shared" si="53"/>
        <v>11385.749999999998</v>
      </c>
      <c r="I147" s="67">
        <f>H147/10</f>
        <v>1138.5749999999998</v>
      </c>
      <c r="J147" s="70"/>
      <c r="K147" s="70"/>
      <c r="L147" s="70">
        <v>119</v>
      </c>
      <c r="M147" s="70"/>
      <c r="N147" s="70"/>
      <c r="O147" s="70"/>
      <c r="P147" s="70"/>
      <c r="Q147" s="71">
        <f>L147/L132</f>
        <v>23799999.999999996</v>
      </c>
      <c r="R147" s="71">
        <v>1</v>
      </c>
      <c r="S147" s="111">
        <f t="shared" si="55"/>
        <v>14.351444625539399</v>
      </c>
      <c r="T147" s="70" t="s">
        <v>274</v>
      </c>
      <c r="U147" s="70"/>
      <c r="V147" s="70"/>
      <c r="W147" s="70"/>
      <c r="X147" s="70"/>
      <c r="Y147" s="129" t="e">
        <f t="shared" si="37"/>
        <v>#DIV/0!</v>
      </c>
      <c r="Z147" s="129" t="e">
        <f t="shared" si="38"/>
        <v>#DIV/0!</v>
      </c>
    </row>
    <row r="148" spans="1:26" ht="14.45">
      <c r="A148" s="148"/>
      <c r="B148" s="66">
        <v>114</v>
      </c>
      <c r="C148" s="69" t="s">
        <v>375</v>
      </c>
      <c r="D148" s="106" t="s">
        <v>207</v>
      </c>
      <c r="E148" s="121">
        <v>1.9599999999999999E-3</v>
      </c>
      <c r="F148" s="70">
        <v>138</v>
      </c>
      <c r="G148" s="71">
        <v>2.0000000000000002E-5</v>
      </c>
      <c r="H148" s="67">
        <f t="shared" si="53"/>
        <v>13523.999999999998</v>
      </c>
      <c r="I148" s="67">
        <f t="shared" ref="I148:I149" si="56">H148/10</f>
        <v>1352.3999999999999</v>
      </c>
      <c r="J148" s="68"/>
      <c r="K148" s="68">
        <v>119</v>
      </c>
      <c r="L148" s="70"/>
      <c r="M148" s="68"/>
      <c r="N148" s="68"/>
      <c r="O148" s="68"/>
      <c r="P148" s="68"/>
      <c r="Q148" s="67">
        <f>K148/K132</f>
        <v>11899999.999999998</v>
      </c>
      <c r="R148" s="67">
        <v>1</v>
      </c>
      <c r="S148" s="111">
        <f t="shared" si="55"/>
        <v>13.103152031738741</v>
      </c>
      <c r="T148" s="70" t="s">
        <v>385</v>
      </c>
      <c r="U148" s="70"/>
      <c r="V148" s="70"/>
      <c r="W148" s="70"/>
      <c r="X148" s="70"/>
      <c r="Y148" s="129" t="e">
        <f t="shared" si="37"/>
        <v>#DIV/0!</v>
      </c>
      <c r="Z148" s="129" t="e">
        <f t="shared" si="38"/>
        <v>#DIV/0!</v>
      </c>
    </row>
    <row r="149" spans="1:26" ht="14.45">
      <c r="A149" s="148"/>
      <c r="B149" s="66">
        <v>115</v>
      </c>
      <c r="C149" s="69">
        <v>235.3</v>
      </c>
      <c r="D149" s="41" t="s">
        <v>200</v>
      </c>
      <c r="E149" s="122">
        <v>9.0000000000000006E-5</v>
      </c>
      <c r="F149" s="75">
        <v>709</v>
      </c>
      <c r="G149" s="71">
        <v>9.9999999999999995E-7</v>
      </c>
      <c r="H149" s="67">
        <f t="shared" si="53"/>
        <v>63810.000000000007</v>
      </c>
      <c r="I149" s="67">
        <f t="shared" si="56"/>
        <v>6381.0000000000009</v>
      </c>
      <c r="J149" s="70"/>
      <c r="K149" s="70"/>
      <c r="L149" s="70"/>
      <c r="M149" s="70">
        <v>146</v>
      </c>
      <c r="N149" s="70"/>
      <c r="O149" s="70"/>
      <c r="P149" s="70"/>
      <c r="Q149" s="71">
        <f>M149/M132</f>
        <v>146000000</v>
      </c>
      <c r="R149" s="70">
        <v>2.25</v>
      </c>
      <c r="S149" s="111">
        <f t="shared" si="55"/>
        <v>6.4363672486766053</v>
      </c>
      <c r="T149" s="70" t="s">
        <v>386</v>
      </c>
      <c r="U149" s="71">
        <f>1/G149*E149/10</f>
        <v>9</v>
      </c>
      <c r="V149" s="71">
        <f>3/M132</f>
        <v>3000000</v>
      </c>
      <c r="W149" s="71">
        <f>708/G149*E149/10</f>
        <v>6372.0000000000009</v>
      </c>
      <c r="X149" s="71">
        <f>143/M132</f>
        <v>143000000</v>
      </c>
      <c r="Y149" s="129">
        <f t="shared" si="37"/>
        <v>8.1540471416013407</v>
      </c>
      <c r="Z149" s="129">
        <f t="shared" si="38"/>
        <v>6.4239597131454458</v>
      </c>
    </row>
  </sheetData>
  <mergeCells count="28">
    <mergeCell ref="A122:A129"/>
    <mergeCell ref="A133:A141"/>
    <mergeCell ref="A143:A149"/>
    <mergeCell ref="A12:A17"/>
    <mergeCell ref="A19:A24"/>
    <mergeCell ref="A26:A31"/>
    <mergeCell ref="A33:A38"/>
    <mergeCell ref="A73:A79"/>
    <mergeCell ref="A57:A63"/>
    <mergeCell ref="A65:A71"/>
    <mergeCell ref="A40:A45"/>
    <mergeCell ref="A100:A109"/>
    <mergeCell ref="A111:A120"/>
    <mergeCell ref="A92:A97"/>
    <mergeCell ref="F10:I10"/>
    <mergeCell ref="J10:V10"/>
    <mergeCell ref="A2:Q2"/>
    <mergeCell ref="A3:S3"/>
    <mergeCell ref="A4:S4"/>
    <mergeCell ref="A5:S5"/>
    <mergeCell ref="A6:S6"/>
    <mergeCell ref="B10:D10"/>
    <mergeCell ref="B89:D89"/>
    <mergeCell ref="F47:I47"/>
    <mergeCell ref="J47:V47"/>
    <mergeCell ref="A49:A55"/>
    <mergeCell ref="A81:A87"/>
    <mergeCell ref="B47:D47"/>
  </mergeCells>
  <phoneticPr fontId="3" type="noConversion"/>
  <pageMargins left="0.25" right="0.25" top="0.75" bottom="0.75" header="0.3" footer="0.3"/>
  <pageSetup scale="38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8A7CE-A2BD-4CDC-946B-6C6EE02438F1}">
  <sheetPr>
    <pageSetUpPr fitToPage="1"/>
  </sheetPr>
  <dimension ref="A1:Q140"/>
  <sheetViews>
    <sheetView topLeftCell="A123" zoomScale="75" zoomScaleNormal="78" workbookViewId="0">
      <selection activeCell="F140" sqref="F140"/>
    </sheetView>
  </sheetViews>
  <sheetFormatPr defaultColWidth="9.140625" defaultRowHeight="14.45"/>
  <cols>
    <col min="1" max="1" width="12.5703125" style="7" bestFit="1" customWidth="1"/>
    <col min="2" max="2" width="19" style="24" customWidth="1"/>
    <col min="3" max="3" width="17.28515625" style="24" customWidth="1"/>
    <col min="4" max="4" width="13.42578125" style="8" customWidth="1"/>
    <col min="5" max="5" width="11.28515625" style="24" customWidth="1"/>
    <col min="6" max="6" width="18.85546875" style="23" customWidth="1"/>
    <col min="7" max="7" width="12.85546875" style="13" customWidth="1"/>
    <col min="8" max="8" width="12.42578125" style="13" customWidth="1"/>
    <col min="9" max="9" width="16" style="7" bestFit="1" customWidth="1"/>
    <col min="10" max="10" width="16.7109375" style="24" customWidth="1"/>
    <col min="11" max="11" width="48" style="7" customWidth="1"/>
    <col min="12" max="12" width="13.7109375" style="7" bestFit="1" customWidth="1"/>
    <col min="13" max="13" width="14.7109375" style="7" bestFit="1" customWidth="1"/>
    <col min="14" max="14" width="13.85546875" style="7" bestFit="1" customWidth="1"/>
    <col min="15" max="15" width="14.85546875" style="7" bestFit="1" customWidth="1"/>
    <col min="16" max="16" width="14.5703125" style="7" bestFit="1" customWidth="1"/>
    <col min="17" max="17" width="14.7109375" style="7" bestFit="1" customWidth="1"/>
    <col min="18" max="16384" width="9.140625" style="7"/>
  </cols>
  <sheetData>
    <row r="1" spans="1:17">
      <c r="A1" s="22" t="s">
        <v>387</v>
      </c>
      <c r="B1" s="82" t="s">
        <v>1</v>
      </c>
      <c r="C1" s="82" t="s">
        <v>388</v>
      </c>
      <c r="D1" s="83" t="s">
        <v>255</v>
      </c>
      <c r="E1" s="82" t="s">
        <v>389</v>
      </c>
      <c r="F1" s="84" t="s">
        <v>390</v>
      </c>
      <c r="G1" s="85" t="s">
        <v>391</v>
      </c>
      <c r="H1" s="85" t="s">
        <v>392</v>
      </c>
      <c r="I1" s="86" t="s">
        <v>393</v>
      </c>
      <c r="J1" s="82" t="s">
        <v>394</v>
      </c>
      <c r="K1" s="86" t="s">
        <v>395</v>
      </c>
      <c r="L1" s="119" t="s">
        <v>266</v>
      </c>
      <c r="M1" s="119" t="s">
        <v>267</v>
      </c>
      <c r="N1" s="119" t="s">
        <v>268</v>
      </c>
      <c r="O1" s="119" t="s">
        <v>269</v>
      </c>
      <c r="P1" s="120" t="s">
        <v>270</v>
      </c>
      <c r="Q1" s="120" t="s">
        <v>271</v>
      </c>
    </row>
    <row r="2" spans="1:17">
      <c r="A2" s="157">
        <v>41</v>
      </c>
      <c r="B2" s="156" t="s">
        <v>396</v>
      </c>
      <c r="C2" s="158">
        <v>16.62</v>
      </c>
      <c r="D2" s="87">
        <v>44447</v>
      </c>
      <c r="E2" s="88">
        <v>1</v>
      </c>
      <c r="F2" s="89">
        <v>17.670000000000002</v>
      </c>
      <c r="G2" s="81">
        <v>9660</v>
      </c>
      <c r="H2" s="81">
        <v>15000000</v>
      </c>
      <c r="I2" s="74">
        <v>0.6</v>
      </c>
      <c r="J2" s="88" t="s">
        <v>274</v>
      </c>
      <c r="K2" s="74"/>
      <c r="L2" s="49"/>
      <c r="M2" s="49"/>
      <c r="N2" s="49"/>
      <c r="O2" s="49"/>
      <c r="P2" s="1"/>
      <c r="Q2" s="1"/>
    </row>
    <row r="3" spans="1:17">
      <c r="A3" s="157"/>
      <c r="B3" s="156"/>
      <c r="C3" s="159"/>
      <c r="D3" s="87">
        <v>44449</v>
      </c>
      <c r="E3" s="88">
        <v>2</v>
      </c>
      <c r="F3" s="89">
        <v>19.46</v>
      </c>
      <c r="G3" s="81">
        <v>10100</v>
      </c>
      <c r="H3" s="81">
        <v>33200000</v>
      </c>
      <c r="I3" s="74">
        <v>0.6</v>
      </c>
      <c r="J3" s="88" t="s">
        <v>274</v>
      </c>
      <c r="K3" s="74"/>
      <c r="L3" s="49"/>
      <c r="M3" s="49"/>
      <c r="N3" s="49"/>
      <c r="O3" s="49"/>
      <c r="P3" s="1"/>
      <c r="Q3" s="1"/>
    </row>
    <row r="4" spans="1:17">
      <c r="A4" s="157"/>
      <c r="B4" s="156"/>
      <c r="C4" s="159"/>
      <c r="D4" s="87">
        <v>44453</v>
      </c>
      <c r="E4" s="88">
        <v>3</v>
      </c>
      <c r="F4" s="89">
        <v>20.5</v>
      </c>
      <c r="G4" s="81">
        <v>9700</v>
      </c>
      <c r="H4" s="81">
        <v>49000000</v>
      </c>
      <c r="I4" s="74">
        <v>0.6</v>
      </c>
      <c r="J4" s="88" t="s">
        <v>274</v>
      </c>
      <c r="K4" s="74"/>
      <c r="L4" s="49"/>
      <c r="M4" s="49"/>
      <c r="N4" s="49"/>
      <c r="O4" s="49"/>
      <c r="P4" s="1"/>
      <c r="Q4" s="1"/>
    </row>
    <row r="5" spans="1:17">
      <c r="A5" s="157"/>
      <c r="B5" s="156"/>
      <c r="C5" s="159"/>
      <c r="D5" s="87">
        <v>44454</v>
      </c>
      <c r="E5" s="88">
        <v>4</v>
      </c>
      <c r="F5" s="89">
        <v>19.579999999999998</v>
      </c>
      <c r="G5" s="81">
        <v>6630</v>
      </c>
      <c r="H5" s="81">
        <v>22800000</v>
      </c>
      <c r="I5" s="74">
        <v>0.6</v>
      </c>
      <c r="J5" s="88" t="s">
        <v>274</v>
      </c>
      <c r="K5" s="74"/>
      <c r="L5" s="49"/>
      <c r="M5" s="49"/>
      <c r="N5" s="49"/>
      <c r="O5" s="49"/>
      <c r="P5" s="1"/>
      <c r="Q5" s="1"/>
    </row>
    <row r="6" spans="1:17">
      <c r="A6" s="157"/>
      <c r="B6" s="156"/>
      <c r="C6" s="160"/>
      <c r="D6" s="87">
        <v>44455</v>
      </c>
      <c r="E6" s="88">
        <v>5</v>
      </c>
      <c r="F6" s="89">
        <v>18.87</v>
      </c>
      <c r="G6" s="81">
        <v>9860</v>
      </c>
      <c r="H6" s="81">
        <v>25200000</v>
      </c>
      <c r="I6" s="74">
        <v>0.6</v>
      </c>
      <c r="J6" s="88" t="s">
        <v>274</v>
      </c>
      <c r="K6" s="90"/>
      <c r="L6" s="49"/>
      <c r="M6" s="49"/>
      <c r="N6" s="49"/>
      <c r="O6" s="49"/>
      <c r="P6" s="1"/>
      <c r="Q6" s="1"/>
    </row>
    <row r="7" spans="1:17">
      <c r="B7" s="88"/>
      <c r="C7" s="88"/>
      <c r="D7" s="87"/>
      <c r="E7" s="88"/>
      <c r="F7" s="89"/>
      <c r="G7" s="81"/>
      <c r="H7" s="81"/>
      <c r="I7" s="74"/>
      <c r="J7" s="88"/>
      <c r="K7" s="74"/>
      <c r="L7" s="49"/>
      <c r="M7" s="49"/>
      <c r="N7" s="49"/>
      <c r="O7" s="49"/>
      <c r="P7" s="1"/>
      <c r="Q7" s="1"/>
    </row>
    <row r="8" spans="1:17">
      <c r="A8" s="157" t="s">
        <v>130</v>
      </c>
      <c r="B8" s="156" t="s">
        <v>397</v>
      </c>
      <c r="C8" s="158">
        <v>14.47</v>
      </c>
      <c r="D8" s="87">
        <v>44447</v>
      </c>
      <c r="E8" s="88">
        <v>1</v>
      </c>
      <c r="F8" s="89">
        <v>14.5</v>
      </c>
      <c r="G8" s="81">
        <v>3660</v>
      </c>
      <c r="H8" s="81">
        <v>6900000</v>
      </c>
      <c r="I8" s="74">
        <v>0.75</v>
      </c>
      <c r="J8" s="88" t="s">
        <v>274</v>
      </c>
      <c r="K8" s="74"/>
      <c r="L8" s="49"/>
      <c r="M8" s="49"/>
      <c r="N8" s="49"/>
      <c r="O8" s="49"/>
      <c r="P8" s="1"/>
      <c r="Q8" s="1"/>
    </row>
    <row r="9" spans="1:17">
      <c r="A9" s="157"/>
      <c r="B9" s="156"/>
      <c r="C9" s="159"/>
      <c r="D9" s="87">
        <v>44449</v>
      </c>
      <c r="E9" s="88">
        <v>2</v>
      </c>
      <c r="F9" s="89">
        <v>13.98</v>
      </c>
      <c r="G9" s="81">
        <v>9860</v>
      </c>
      <c r="H9" s="91">
        <v>14100000</v>
      </c>
      <c r="I9" s="74">
        <v>0.75</v>
      </c>
      <c r="J9" s="88" t="s">
        <v>274</v>
      </c>
      <c r="K9" s="74"/>
      <c r="L9" s="49"/>
      <c r="M9" s="49"/>
      <c r="N9" s="49"/>
      <c r="O9" s="49"/>
      <c r="P9" s="1"/>
      <c r="Q9" s="1"/>
    </row>
    <row r="10" spans="1:17">
      <c r="A10" s="157"/>
      <c r="B10" s="156"/>
      <c r="C10" s="159"/>
      <c r="D10" s="87">
        <v>44453</v>
      </c>
      <c r="E10" s="88">
        <v>3</v>
      </c>
      <c r="F10" s="89">
        <v>16.27</v>
      </c>
      <c r="G10" s="81">
        <v>7710</v>
      </c>
      <c r="H10" s="81">
        <v>36400000</v>
      </c>
      <c r="I10" s="74">
        <v>0.75</v>
      </c>
      <c r="J10" s="88" t="s">
        <v>274</v>
      </c>
      <c r="K10" s="74"/>
      <c r="L10" s="49"/>
      <c r="M10" s="49"/>
      <c r="N10" s="49"/>
      <c r="O10" s="49"/>
      <c r="P10" s="1"/>
      <c r="Q10" s="1"/>
    </row>
    <row r="11" spans="1:17">
      <c r="A11" s="157"/>
      <c r="B11" s="156"/>
      <c r="C11" s="159"/>
      <c r="D11" s="87">
        <v>44454</v>
      </c>
      <c r="E11" s="88">
        <v>4</v>
      </c>
      <c r="F11" s="89">
        <v>20.56</v>
      </c>
      <c r="G11" s="81">
        <v>7520</v>
      </c>
      <c r="H11" s="81">
        <v>38800000</v>
      </c>
      <c r="I11" s="74">
        <v>0.6</v>
      </c>
      <c r="J11" s="88" t="s">
        <v>274</v>
      </c>
      <c r="K11" s="74"/>
      <c r="L11" s="49"/>
      <c r="M11" s="49"/>
      <c r="N11" s="49"/>
      <c r="O11" s="49"/>
      <c r="P11" s="1"/>
      <c r="Q11" s="1"/>
    </row>
    <row r="12" spans="1:17">
      <c r="A12" s="157"/>
      <c r="B12" s="156"/>
      <c r="C12" s="160"/>
      <c r="D12" s="87">
        <v>44455</v>
      </c>
      <c r="E12" s="88">
        <v>5</v>
      </c>
      <c r="F12" s="89">
        <v>22.01</v>
      </c>
      <c r="G12" s="81">
        <v>8690</v>
      </c>
      <c r="H12" s="81">
        <v>85000000</v>
      </c>
      <c r="I12" s="74">
        <v>0.6</v>
      </c>
      <c r="J12" s="88" t="s">
        <v>274</v>
      </c>
      <c r="K12" s="74"/>
      <c r="L12" s="49"/>
      <c r="M12" s="49"/>
      <c r="N12" s="49"/>
      <c r="O12" s="49"/>
      <c r="P12" s="1"/>
      <c r="Q12" s="1"/>
    </row>
    <row r="13" spans="1:17">
      <c r="B13" s="88"/>
      <c r="C13" s="88"/>
      <c r="D13" s="87"/>
      <c r="E13" s="88"/>
      <c r="F13" s="89"/>
      <c r="G13" s="81"/>
      <c r="H13" s="81"/>
      <c r="I13" s="74"/>
      <c r="J13" s="88"/>
      <c r="K13" s="74"/>
      <c r="L13" s="49"/>
      <c r="M13" s="49"/>
      <c r="N13" s="49"/>
      <c r="O13" s="49"/>
      <c r="P13" s="1"/>
      <c r="Q13" s="1"/>
    </row>
    <row r="14" spans="1:17">
      <c r="A14" s="157" t="s">
        <v>90</v>
      </c>
      <c r="B14" s="156" t="s">
        <v>398</v>
      </c>
      <c r="C14" s="158">
        <v>16.43</v>
      </c>
      <c r="D14" s="87">
        <v>44447</v>
      </c>
      <c r="E14" s="88">
        <v>1</v>
      </c>
      <c r="F14" s="89">
        <v>19.690000000000001</v>
      </c>
      <c r="G14" s="81">
        <v>554</v>
      </c>
      <c r="H14" s="81">
        <v>2000000</v>
      </c>
      <c r="I14" s="74">
        <v>0.6</v>
      </c>
      <c r="J14" s="88" t="s">
        <v>399</v>
      </c>
      <c r="K14" s="74" t="s">
        <v>400</v>
      </c>
      <c r="L14" s="49">
        <v>92</v>
      </c>
      <c r="M14" s="49">
        <v>199999.99999999997</v>
      </c>
      <c r="N14" s="49">
        <v>3956</v>
      </c>
      <c r="O14" s="49">
        <v>14799999.999999998</v>
      </c>
      <c r="P14" s="54">
        <v>18.476797530633</v>
      </c>
      <c r="Q14" s="54">
        <v>19.782111882177752</v>
      </c>
    </row>
    <row r="15" spans="1:17">
      <c r="A15" s="157"/>
      <c r="B15" s="156"/>
      <c r="C15" s="159"/>
      <c r="D15" s="87">
        <v>44449</v>
      </c>
      <c r="E15" s="88">
        <v>2</v>
      </c>
      <c r="F15" s="89">
        <v>16.8</v>
      </c>
      <c r="G15" s="81">
        <v>6100</v>
      </c>
      <c r="H15" s="81">
        <v>2060000</v>
      </c>
      <c r="I15" s="74">
        <v>0.5</v>
      </c>
      <c r="J15" s="88" t="s">
        <v>399</v>
      </c>
      <c r="K15" s="74" t="s">
        <v>401</v>
      </c>
      <c r="L15" s="49">
        <v>100</v>
      </c>
      <c r="M15" s="49">
        <v>60000</v>
      </c>
      <c r="N15" s="49">
        <v>6000</v>
      </c>
      <c r="O15" s="49">
        <v>2000000</v>
      </c>
      <c r="P15" s="54">
        <v>18.457637380991763</v>
      </c>
      <c r="Q15" s="54">
        <v>16.761643567881862</v>
      </c>
    </row>
    <row r="16" spans="1:17">
      <c r="A16" s="157"/>
      <c r="B16" s="156"/>
      <c r="C16" s="159"/>
      <c r="D16" s="87">
        <v>44453</v>
      </c>
      <c r="E16" s="88">
        <v>3</v>
      </c>
      <c r="F16" s="89">
        <v>20.2</v>
      </c>
      <c r="G16" s="81">
        <v>8340</v>
      </c>
      <c r="H16" s="81">
        <v>32700000</v>
      </c>
      <c r="I16" s="74">
        <v>0.6</v>
      </c>
      <c r="J16" s="88" t="s">
        <v>399</v>
      </c>
      <c r="K16" s="74" t="s">
        <v>402</v>
      </c>
      <c r="L16" s="49">
        <v>291</v>
      </c>
      <c r="M16" s="49">
        <v>5400000</v>
      </c>
      <c r="N16" s="49">
        <v>8051</v>
      </c>
      <c r="O16" s="49">
        <v>31799999.999999996</v>
      </c>
      <c r="P16" s="54">
        <v>23.63275438948666</v>
      </c>
      <c r="Q16" s="54">
        <v>19.912618593645192</v>
      </c>
    </row>
    <row r="17" spans="1:17">
      <c r="A17" s="157"/>
      <c r="B17" s="156"/>
      <c r="C17" s="159"/>
      <c r="D17" s="87">
        <v>44454</v>
      </c>
      <c r="E17" s="88">
        <v>4</v>
      </c>
      <c r="F17" s="89">
        <v>20.43</v>
      </c>
      <c r="G17" s="81">
        <v>7710</v>
      </c>
      <c r="H17" s="81">
        <v>37800000</v>
      </c>
      <c r="I17" s="74">
        <v>0.6</v>
      </c>
      <c r="J17" s="88" t="s">
        <v>399</v>
      </c>
      <c r="K17" s="74" t="s">
        <v>403</v>
      </c>
      <c r="L17" s="49">
        <v>1255.3333333333335</v>
      </c>
      <c r="M17" s="49">
        <v>7399999.9999999991</v>
      </c>
      <c r="N17" s="49">
        <v>6456</v>
      </c>
      <c r="O17" s="49">
        <v>30399999.999999996</v>
      </c>
      <c r="P17" s="54">
        <v>20.875398426954483</v>
      </c>
      <c r="Q17" s="54">
        <v>20.335238541004362</v>
      </c>
    </row>
    <row r="18" spans="1:17">
      <c r="A18" s="157"/>
      <c r="B18" s="156"/>
      <c r="C18" s="160"/>
      <c r="D18" s="87">
        <v>44455</v>
      </c>
      <c r="E18" s="88">
        <v>5</v>
      </c>
      <c r="F18" s="89">
        <v>22.07</v>
      </c>
      <c r="G18" s="81">
        <v>10500</v>
      </c>
      <c r="H18" s="81">
        <v>102000000</v>
      </c>
      <c r="I18" s="74">
        <v>0.6</v>
      </c>
      <c r="J18" s="88" t="s">
        <v>399</v>
      </c>
      <c r="K18" s="70" t="s">
        <v>303</v>
      </c>
      <c r="L18" s="49">
        <v>4416.6666666666661</v>
      </c>
      <c r="M18" s="49">
        <v>65000000</v>
      </c>
      <c r="N18" s="49">
        <v>6095</v>
      </c>
      <c r="O18" s="49">
        <v>20000000</v>
      </c>
      <c r="P18" s="54">
        <v>23.07532357308083</v>
      </c>
      <c r="Q18" s="54">
        <v>19.466810264506602</v>
      </c>
    </row>
    <row r="19" spans="1:17">
      <c r="B19" s="88"/>
      <c r="C19" s="88"/>
      <c r="D19" s="87"/>
      <c r="E19" s="88"/>
      <c r="F19" s="89"/>
      <c r="G19" s="81"/>
      <c r="H19" s="81"/>
      <c r="I19" s="74"/>
      <c r="J19" s="88"/>
      <c r="K19" s="74"/>
      <c r="L19" s="49"/>
      <c r="M19" s="49"/>
      <c r="N19" s="49"/>
      <c r="O19" s="49"/>
      <c r="P19" s="1"/>
      <c r="Q19" s="1"/>
    </row>
    <row r="20" spans="1:17">
      <c r="A20" s="157">
        <v>213</v>
      </c>
      <c r="B20" s="157" t="s">
        <v>404</v>
      </c>
      <c r="C20" s="161">
        <v>5.08</v>
      </c>
      <c r="D20" s="87">
        <v>44447</v>
      </c>
      <c r="E20" s="88">
        <v>1</v>
      </c>
      <c r="F20" s="89">
        <v>8.75</v>
      </c>
      <c r="G20" s="81">
        <v>3670</v>
      </c>
      <c r="H20" s="81">
        <v>362000000</v>
      </c>
      <c r="I20" s="74">
        <v>2</v>
      </c>
      <c r="J20" s="88" t="s">
        <v>399</v>
      </c>
      <c r="K20" s="92" t="s">
        <v>405</v>
      </c>
      <c r="L20" s="49">
        <v>19.399999999999999</v>
      </c>
      <c r="M20" s="49">
        <v>103333333.33333334</v>
      </c>
      <c r="N20" s="49">
        <v>1940</v>
      </c>
      <c r="O20" s="49">
        <v>130000000</v>
      </c>
      <c r="P20" s="54">
        <v>11.172372863288745</v>
      </c>
      <c r="Q20" s="54">
        <v>8.0160477226390707</v>
      </c>
    </row>
    <row r="21" spans="1:17">
      <c r="A21" s="157"/>
      <c r="B21" s="157"/>
      <c r="C21" s="162"/>
      <c r="D21" s="87">
        <v>44449</v>
      </c>
      <c r="E21" s="88">
        <v>2</v>
      </c>
      <c r="F21" s="89">
        <v>13.18</v>
      </c>
      <c r="G21" s="81">
        <v>100000</v>
      </c>
      <c r="H21" s="81">
        <v>585000000</v>
      </c>
      <c r="I21" s="74">
        <v>1.25</v>
      </c>
      <c r="J21" s="88" t="s">
        <v>399</v>
      </c>
      <c r="K21" s="92" t="s">
        <v>284</v>
      </c>
      <c r="L21" s="49">
        <v>2852</v>
      </c>
      <c r="M21" s="49">
        <v>490000000</v>
      </c>
      <c r="N21" s="49">
        <v>3588</v>
      </c>
      <c r="O21" s="49">
        <v>85000000</v>
      </c>
      <c r="P21" s="54">
        <v>13.912358593506285</v>
      </c>
      <c r="Q21" s="54">
        <v>11.625596264434092</v>
      </c>
    </row>
    <row r="22" spans="1:17">
      <c r="A22" s="157"/>
      <c r="B22" s="157"/>
      <c r="C22" s="162"/>
      <c r="D22" s="87">
        <v>44453</v>
      </c>
      <c r="E22" s="88">
        <v>3</v>
      </c>
      <c r="F22" s="89">
        <v>13.89</v>
      </c>
      <c r="G22" s="81">
        <v>12500</v>
      </c>
      <c r="H22" s="81">
        <v>216000000</v>
      </c>
      <c r="I22" s="74">
        <v>1</v>
      </c>
      <c r="J22" s="88" t="s">
        <v>399</v>
      </c>
      <c r="K22" s="70" t="s">
        <v>290</v>
      </c>
      <c r="L22" s="49">
        <v>8330</v>
      </c>
      <c r="M22" s="49">
        <v>134000000</v>
      </c>
      <c r="N22" s="49">
        <v>1445.0000000000002</v>
      </c>
      <c r="O22" s="49">
        <v>14000000</v>
      </c>
      <c r="P22" s="54">
        <v>13.973556979529036</v>
      </c>
      <c r="Q22" s="54">
        <v>13.242069713993738</v>
      </c>
    </row>
    <row r="23" spans="1:17">
      <c r="A23" s="157"/>
      <c r="B23" s="157"/>
      <c r="C23" s="162"/>
      <c r="D23" s="87">
        <v>44454</v>
      </c>
      <c r="E23" s="88">
        <v>4</v>
      </c>
      <c r="F23" s="89">
        <v>13.87</v>
      </c>
      <c r="G23" s="81">
        <v>8740</v>
      </c>
      <c r="H23" s="81">
        <v>11800000</v>
      </c>
      <c r="I23" s="74">
        <v>0.75</v>
      </c>
      <c r="J23" s="88" t="s">
        <v>399</v>
      </c>
      <c r="K23" s="112" t="s">
        <v>406</v>
      </c>
      <c r="L23" s="81">
        <v>7452</v>
      </c>
      <c r="M23" s="81">
        <v>11300000</v>
      </c>
      <c r="N23" s="81">
        <v>1288</v>
      </c>
      <c r="O23" s="81">
        <v>499999.99999999994</v>
      </c>
      <c r="P23" s="130">
        <v>14.088543303880483</v>
      </c>
      <c r="Q23" s="130">
        <v>11.467535588279411</v>
      </c>
    </row>
    <row r="24" spans="1:17">
      <c r="A24" s="157"/>
      <c r="B24" s="157"/>
      <c r="C24" s="163"/>
      <c r="D24" s="87">
        <v>44455</v>
      </c>
      <c r="E24" s="88">
        <v>5</v>
      </c>
      <c r="F24" s="89">
        <v>13.24</v>
      </c>
      <c r="G24" s="81">
        <v>5840</v>
      </c>
      <c r="H24" s="81">
        <v>5700000</v>
      </c>
      <c r="I24" s="74">
        <v>0.75</v>
      </c>
      <c r="J24" s="88" t="s">
        <v>399</v>
      </c>
      <c r="K24" s="79" t="s">
        <v>304</v>
      </c>
      <c r="L24" s="81">
        <v>5312.5000000000009</v>
      </c>
      <c r="M24" s="81">
        <v>5699999.9999999991</v>
      </c>
      <c r="N24" s="81">
        <v>531.25</v>
      </c>
      <c r="O24" s="81">
        <v>99999.999999999985</v>
      </c>
      <c r="P24" s="130">
        <v>13.42314035706902</v>
      </c>
      <c r="Q24" s="130">
        <v>10.075191131365848</v>
      </c>
    </row>
    <row r="25" spans="1:17">
      <c r="B25" s="88"/>
      <c r="C25" s="88"/>
      <c r="D25" s="87"/>
      <c r="E25" s="88"/>
      <c r="F25" s="89"/>
      <c r="G25" s="81"/>
      <c r="H25" s="81"/>
      <c r="I25" s="74"/>
      <c r="J25" s="88"/>
      <c r="K25" s="113"/>
      <c r="L25" s="74"/>
      <c r="M25" s="74"/>
      <c r="N25" s="74"/>
      <c r="O25" s="74"/>
      <c r="P25" s="74"/>
      <c r="Q25" s="74"/>
    </row>
    <row r="26" spans="1:17">
      <c r="A26" s="157">
        <v>216</v>
      </c>
      <c r="B26" s="157" t="s">
        <v>407</v>
      </c>
      <c r="C26" s="161">
        <v>9.27</v>
      </c>
      <c r="D26" s="87">
        <v>44447</v>
      </c>
      <c r="E26" s="88">
        <v>1</v>
      </c>
      <c r="F26" s="89">
        <v>11.88</v>
      </c>
      <c r="G26" s="81">
        <v>2870</v>
      </c>
      <c r="H26" s="81">
        <v>10800000</v>
      </c>
      <c r="I26" s="74">
        <v>1</v>
      </c>
      <c r="J26" s="88" t="s">
        <v>274</v>
      </c>
      <c r="K26" s="113"/>
      <c r="L26" s="74"/>
      <c r="M26" s="74"/>
      <c r="N26" s="74"/>
      <c r="O26" s="74"/>
      <c r="P26" s="74"/>
      <c r="Q26" s="74"/>
    </row>
    <row r="27" spans="1:17">
      <c r="A27" s="157"/>
      <c r="B27" s="157"/>
      <c r="C27" s="162"/>
      <c r="D27" s="87">
        <v>44449</v>
      </c>
      <c r="E27" s="88">
        <v>2</v>
      </c>
      <c r="F27" s="89">
        <v>11.35</v>
      </c>
      <c r="G27" s="81">
        <v>6980</v>
      </c>
      <c r="H27" s="81">
        <v>4900000</v>
      </c>
      <c r="I27" s="74">
        <v>0.83</v>
      </c>
      <c r="J27" s="88" t="s">
        <v>399</v>
      </c>
      <c r="K27" s="113" t="s">
        <v>283</v>
      </c>
      <c r="L27" s="81">
        <v>92.999999999999972</v>
      </c>
      <c r="M27" s="81">
        <v>240000</v>
      </c>
      <c r="N27" s="81">
        <v>6881.9999999999982</v>
      </c>
      <c r="O27" s="81">
        <v>4280000</v>
      </c>
      <c r="P27" s="130">
        <v>13.605661547614135</v>
      </c>
      <c r="Q27" s="130">
        <v>11.141137081889093</v>
      </c>
    </row>
    <row r="28" spans="1:17">
      <c r="A28" s="157"/>
      <c r="B28" s="157"/>
      <c r="C28" s="162"/>
      <c r="D28" s="87">
        <v>44453</v>
      </c>
      <c r="E28" s="88">
        <v>3</v>
      </c>
      <c r="F28" s="89">
        <v>12.45</v>
      </c>
      <c r="G28" s="81">
        <v>6940</v>
      </c>
      <c r="H28" s="81">
        <v>38800000</v>
      </c>
      <c r="I28" s="74">
        <v>1</v>
      </c>
      <c r="J28" s="88" t="s">
        <v>399</v>
      </c>
      <c r="K28" s="115" t="s">
        <v>408</v>
      </c>
      <c r="L28" s="74"/>
      <c r="M28" s="74"/>
      <c r="N28" s="74"/>
      <c r="O28" s="74"/>
      <c r="P28" s="74"/>
      <c r="Q28" s="74"/>
    </row>
    <row r="29" spans="1:17">
      <c r="A29" s="157"/>
      <c r="B29" s="157"/>
      <c r="C29" s="162"/>
      <c r="D29" s="87">
        <v>44454</v>
      </c>
      <c r="E29" s="88">
        <v>4</v>
      </c>
      <c r="F29" s="89">
        <v>14.67</v>
      </c>
      <c r="G29" s="81">
        <v>14800</v>
      </c>
      <c r="H29" s="81">
        <v>387000000</v>
      </c>
      <c r="I29" s="74">
        <v>1</v>
      </c>
      <c r="J29" s="88" t="s">
        <v>399</v>
      </c>
      <c r="K29" s="113" t="s">
        <v>409</v>
      </c>
      <c r="L29" s="81">
        <v>7627.6666666666661</v>
      </c>
      <c r="M29" s="81">
        <v>340000000</v>
      </c>
      <c r="N29" s="81">
        <v>7160.6666666666661</v>
      </c>
      <c r="O29" s="81">
        <v>46666666.666666672</v>
      </c>
      <c r="P29" s="130">
        <v>15.443933422358164</v>
      </c>
      <c r="Q29" s="130">
        <v>12.670010890502468</v>
      </c>
    </row>
    <row r="30" spans="1:17">
      <c r="A30" s="157"/>
      <c r="B30" s="157"/>
      <c r="C30" s="163"/>
      <c r="D30" s="87">
        <v>44455</v>
      </c>
      <c r="E30" s="88">
        <v>5</v>
      </c>
      <c r="F30" s="89">
        <v>15.38</v>
      </c>
      <c r="G30" s="81">
        <v>63600</v>
      </c>
      <c r="H30" s="81">
        <v>2720000000</v>
      </c>
      <c r="I30" s="74">
        <v>1</v>
      </c>
      <c r="J30" s="88" t="s">
        <v>399</v>
      </c>
      <c r="K30" s="79" t="s">
        <v>410</v>
      </c>
      <c r="L30" s="81">
        <v>41280</v>
      </c>
      <c r="M30" s="81">
        <v>2260000000</v>
      </c>
      <c r="N30" s="81">
        <v>22360</v>
      </c>
      <c r="O30" s="81">
        <v>460000000</v>
      </c>
      <c r="P30" s="130">
        <v>15.74052027631611</v>
      </c>
      <c r="Q30" s="130">
        <v>14.328426052537997</v>
      </c>
    </row>
    <row r="31" spans="1:17">
      <c r="B31" s="88"/>
      <c r="C31" s="88"/>
      <c r="D31" s="87"/>
      <c r="E31" s="88"/>
      <c r="F31" s="89"/>
      <c r="G31" s="81"/>
      <c r="H31" s="81"/>
      <c r="I31" s="74"/>
      <c r="J31" s="88"/>
      <c r="K31" s="113"/>
      <c r="L31" s="74"/>
      <c r="M31" s="74"/>
      <c r="N31" s="74"/>
      <c r="O31" s="74"/>
      <c r="P31" s="74"/>
      <c r="Q31" s="74"/>
    </row>
    <row r="32" spans="1:17">
      <c r="A32" s="157">
        <v>236</v>
      </c>
      <c r="B32" s="157" t="s">
        <v>411</v>
      </c>
      <c r="C32" s="161">
        <v>3.99</v>
      </c>
      <c r="D32" s="87">
        <v>44447</v>
      </c>
      <c r="E32" s="88">
        <v>1</v>
      </c>
      <c r="F32" s="89">
        <v>6.27</v>
      </c>
      <c r="G32" s="81">
        <v>586</v>
      </c>
      <c r="H32" s="81">
        <v>30600000</v>
      </c>
      <c r="I32" s="74">
        <v>2.5</v>
      </c>
      <c r="J32" s="88" t="s">
        <v>274</v>
      </c>
      <c r="K32" s="113"/>
      <c r="L32" s="74"/>
      <c r="M32" s="74"/>
      <c r="N32" s="74"/>
      <c r="O32" s="74"/>
      <c r="P32" s="74"/>
      <c r="Q32" s="74"/>
    </row>
    <row r="33" spans="1:17">
      <c r="A33" s="157"/>
      <c r="B33" s="157"/>
      <c r="C33" s="162"/>
      <c r="D33" s="87">
        <v>44449</v>
      </c>
      <c r="E33" s="88">
        <v>2</v>
      </c>
      <c r="F33" s="89">
        <v>8.19</v>
      </c>
      <c r="G33" s="81">
        <v>1320</v>
      </c>
      <c r="H33" s="81">
        <v>17300000</v>
      </c>
      <c r="I33" s="74">
        <v>1.67</v>
      </c>
      <c r="J33" s="88" t="s">
        <v>274</v>
      </c>
      <c r="K33" s="113"/>
      <c r="L33" s="74"/>
      <c r="M33" s="74"/>
      <c r="N33" s="74"/>
      <c r="O33" s="74"/>
      <c r="P33" s="74"/>
      <c r="Q33" s="74"/>
    </row>
    <row r="34" spans="1:17">
      <c r="A34" s="157"/>
      <c r="B34" s="157"/>
      <c r="C34" s="162"/>
      <c r="D34" s="87">
        <v>44453</v>
      </c>
      <c r="E34" s="88">
        <v>3</v>
      </c>
      <c r="F34" s="89">
        <v>8.94</v>
      </c>
      <c r="G34" s="81">
        <v>9280</v>
      </c>
      <c r="H34" s="81">
        <v>21400000</v>
      </c>
      <c r="I34" s="74">
        <v>1.25</v>
      </c>
      <c r="J34" s="88" t="s">
        <v>399</v>
      </c>
      <c r="K34" s="79" t="s">
        <v>412</v>
      </c>
      <c r="L34" s="81">
        <v>1933.3333333333328</v>
      </c>
      <c r="M34" s="81">
        <v>12799999.999999998</v>
      </c>
      <c r="N34" s="81">
        <v>7346.6666666666661</v>
      </c>
      <c r="O34" s="81">
        <v>8600000</v>
      </c>
      <c r="P34" s="130">
        <v>10.154212632204539</v>
      </c>
      <c r="Q34" s="130">
        <v>8.1544249011212369</v>
      </c>
    </row>
    <row r="35" spans="1:17">
      <c r="A35" s="157"/>
      <c r="B35" s="157"/>
      <c r="C35" s="162"/>
      <c r="D35" s="87">
        <v>44454</v>
      </c>
      <c r="E35" s="88">
        <v>4</v>
      </c>
      <c r="F35" s="89">
        <v>10.8</v>
      </c>
      <c r="G35" s="81">
        <v>5110</v>
      </c>
      <c r="H35" s="81">
        <v>59000000</v>
      </c>
      <c r="I35" s="74">
        <v>1.25</v>
      </c>
      <c r="J35" s="88" t="s">
        <v>399</v>
      </c>
      <c r="K35" s="79" t="s">
        <v>299</v>
      </c>
      <c r="L35" s="81">
        <v>2528.4</v>
      </c>
      <c r="M35" s="81">
        <v>32000000</v>
      </c>
      <c r="N35" s="81">
        <v>1909.1999999999996</v>
      </c>
      <c r="O35" s="81">
        <v>27000000</v>
      </c>
      <c r="P35" s="130">
        <v>10.902047651738458</v>
      </c>
      <c r="Q35" s="130">
        <v>11.030162836258242</v>
      </c>
    </row>
    <row r="36" spans="1:17">
      <c r="A36" s="157"/>
      <c r="B36" s="157"/>
      <c r="C36" s="163"/>
      <c r="D36" s="87">
        <v>44455</v>
      </c>
      <c r="E36" s="88">
        <v>5</v>
      </c>
      <c r="F36" s="89">
        <v>11.25</v>
      </c>
      <c r="G36" s="81">
        <v>7900</v>
      </c>
      <c r="H36" s="81">
        <v>19400000</v>
      </c>
      <c r="I36" s="74">
        <v>1</v>
      </c>
      <c r="J36" s="88" t="s">
        <v>399</v>
      </c>
      <c r="K36" s="113" t="s">
        <v>413</v>
      </c>
      <c r="L36" s="81">
        <v>6844.5</v>
      </c>
      <c r="M36" s="81">
        <v>15399999.999999998</v>
      </c>
      <c r="N36" s="81">
        <v>1098.5</v>
      </c>
      <c r="O36" s="81">
        <v>3999999.9999999995</v>
      </c>
      <c r="P36" s="130">
        <v>11.135697575964903</v>
      </c>
      <c r="Q36" s="130">
        <v>11.830249414900898</v>
      </c>
    </row>
    <row r="37" spans="1:17">
      <c r="L37" s="74"/>
      <c r="M37" s="74"/>
      <c r="N37" s="74"/>
      <c r="O37" s="74"/>
      <c r="P37" s="74"/>
      <c r="Q37" s="74"/>
    </row>
    <row r="38" spans="1:17">
      <c r="A38" s="22" t="s">
        <v>387</v>
      </c>
      <c r="B38" s="82" t="s">
        <v>1</v>
      </c>
      <c r="C38" s="82" t="s">
        <v>388</v>
      </c>
      <c r="D38" s="83" t="s">
        <v>255</v>
      </c>
      <c r="E38" s="82" t="s">
        <v>389</v>
      </c>
      <c r="F38" s="84" t="s">
        <v>390</v>
      </c>
      <c r="G38" s="85" t="s">
        <v>391</v>
      </c>
      <c r="H38" s="85" t="s">
        <v>392</v>
      </c>
      <c r="I38" s="86" t="s">
        <v>393</v>
      </c>
      <c r="J38" s="82" t="s">
        <v>394</v>
      </c>
      <c r="K38" s="114" t="s">
        <v>395</v>
      </c>
      <c r="L38" s="119" t="s">
        <v>266</v>
      </c>
      <c r="M38" s="119" t="s">
        <v>267</v>
      </c>
      <c r="N38" s="119" t="s">
        <v>268</v>
      </c>
      <c r="O38" s="119" t="s">
        <v>269</v>
      </c>
      <c r="P38" s="120" t="s">
        <v>270</v>
      </c>
      <c r="Q38" s="120" t="s">
        <v>271</v>
      </c>
    </row>
    <row r="39" spans="1:17">
      <c r="A39" s="157">
        <v>233</v>
      </c>
      <c r="B39" s="156" t="s">
        <v>169</v>
      </c>
      <c r="C39" s="158">
        <v>6.14</v>
      </c>
      <c r="D39" s="87">
        <v>44460</v>
      </c>
      <c r="E39" s="88">
        <v>1</v>
      </c>
      <c r="F39" s="89">
        <v>7.66</v>
      </c>
      <c r="G39" s="81">
        <v>662</v>
      </c>
      <c r="H39" s="81">
        <v>4700000</v>
      </c>
      <c r="I39" s="74">
        <v>1.67</v>
      </c>
      <c r="J39" s="88" t="s">
        <v>399</v>
      </c>
      <c r="K39" s="113" t="s">
        <v>414</v>
      </c>
      <c r="L39" s="81">
        <v>60.2</v>
      </c>
      <c r="M39" s="81">
        <v>2700000</v>
      </c>
      <c r="N39" s="81">
        <v>662.2</v>
      </c>
      <c r="O39" s="81">
        <v>1999999.9999999998</v>
      </c>
      <c r="P39" s="130">
        <v>9.2531954459448738</v>
      </c>
      <c r="Q39" s="130">
        <v>6.9224223765356498</v>
      </c>
    </row>
    <row r="40" spans="1:17">
      <c r="A40" s="157"/>
      <c r="B40" s="156"/>
      <c r="C40" s="159"/>
      <c r="D40" s="87">
        <v>44461</v>
      </c>
      <c r="E40" s="88">
        <v>2</v>
      </c>
      <c r="F40" s="103">
        <v>11.34</v>
      </c>
      <c r="G40" s="81">
        <v>6283.4999999999991</v>
      </c>
      <c r="H40" s="81">
        <v>116000000</v>
      </c>
      <c r="I40" s="74">
        <v>1.25</v>
      </c>
      <c r="J40" s="88" t="s">
        <v>399</v>
      </c>
      <c r="K40" s="78" t="s">
        <v>415</v>
      </c>
      <c r="L40" s="81">
        <v>2662.5</v>
      </c>
      <c r="M40" s="81">
        <v>86000000</v>
      </c>
      <c r="N40" s="81">
        <v>3620.9999999999991</v>
      </c>
      <c r="O40" s="81">
        <v>30000000</v>
      </c>
      <c r="P40" s="130">
        <v>11.983414011220567</v>
      </c>
      <c r="Q40" s="130">
        <v>10.413029362765213</v>
      </c>
    </row>
    <row r="41" spans="1:17">
      <c r="A41" s="157"/>
      <c r="B41" s="156"/>
      <c r="C41" s="159"/>
      <c r="D41" s="87">
        <v>44462</v>
      </c>
      <c r="E41" s="88">
        <v>3</v>
      </c>
      <c r="F41" s="89">
        <v>8.8800000000000008</v>
      </c>
      <c r="G41" s="81">
        <v>108000</v>
      </c>
      <c r="H41" s="81">
        <v>237000000</v>
      </c>
      <c r="I41" s="74">
        <v>1.25</v>
      </c>
      <c r="J41" s="88" t="s">
        <v>399</v>
      </c>
      <c r="K41" s="78" t="s">
        <v>320</v>
      </c>
      <c r="L41" s="81">
        <v>4730</v>
      </c>
      <c r="M41" s="81">
        <v>189000000</v>
      </c>
      <c r="N41" s="81">
        <v>2408</v>
      </c>
      <c r="O41" s="81">
        <v>48000000</v>
      </c>
      <c r="P41" s="130">
        <v>12.228949220254792</v>
      </c>
      <c r="Q41" s="130">
        <v>11.426329114628501</v>
      </c>
    </row>
    <row r="42" spans="1:17">
      <c r="A42" s="157"/>
      <c r="B42" s="156"/>
      <c r="C42" s="159"/>
      <c r="D42" s="87">
        <v>44480</v>
      </c>
      <c r="E42" s="88">
        <v>4</v>
      </c>
      <c r="F42" s="89">
        <v>9.86</v>
      </c>
      <c r="G42" s="81">
        <v>39900</v>
      </c>
      <c r="H42" s="81">
        <v>37000000</v>
      </c>
      <c r="I42" s="74">
        <v>1</v>
      </c>
      <c r="J42" s="88" t="s">
        <v>399</v>
      </c>
      <c r="K42" s="70" t="s">
        <v>325</v>
      </c>
      <c r="L42" s="81">
        <v>5985</v>
      </c>
      <c r="M42" s="81">
        <v>27000000</v>
      </c>
      <c r="N42" s="81">
        <v>1995</v>
      </c>
      <c r="O42" s="81">
        <v>8000000</v>
      </c>
      <c r="P42" s="130">
        <v>12.139320539656778</v>
      </c>
      <c r="Q42" s="130">
        <v>11.969395538214465</v>
      </c>
    </row>
    <row r="43" spans="1:17">
      <c r="A43" s="157"/>
      <c r="B43" s="156"/>
      <c r="C43" s="160"/>
      <c r="D43" s="87">
        <v>44482</v>
      </c>
      <c r="E43" s="88">
        <v>5</v>
      </c>
      <c r="F43" s="89">
        <v>12.32</v>
      </c>
      <c r="G43" s="81">
        <v>18720</v>
      </c>
      <c r="H43" s="81">
        <v>96000000</v>
      </c>
      <c r="I43" s="74">
        <v>1</v>
      </c>
      <c r="J43" s="88" t="s">
        <v>399</v>
      </c>
      <c r="K43" s="78" t="s">
        <v>331</v>
      </c>
      <c r="L43" s="81">
        <v>3600</v>
      </c>
      <c r="M43" s="81">
        <v>48000000</v>
      </c>
      <c r="N43" s="81">
        <v>6120.0000000000009</v>
      </c>
      <c r="O43" s="81">
        <v>48000000</v>
      </c>
      <c r="P43" s="130">
        <v>13.702749878828293</v>
      </c>
      <c r="Q43" s="130">
        <v>12.937215132465317</v>
      </c>
    </row>
    <row r="44" spans="1:17">
      <c r="B44" s="88"/>
      <c r="C44" s="88"/>
      <c r="D44" s="87"/>
      <c r="E44" s="88"/>
      <c r="F44" s="89"/>
      <c r="G44" s="81"/>
      <c r="H44" s="81"/>
      <c r="I44" s="74"/>
      <c r="J44" s="88"/>
      <c r="K44" s="113"/>
      <c r="L44" s="74"/>
      <c r="M44" s="74"/>
      <c r="N44" s="74"/>
      <c r="O44" s="74"/>
      <c r="P44" s="74"/>
      <c r="Q44" s="74"/>
    </row>
    <row r="45" spans="1:17">
      <c r="A45" s="157">
        <v>45</v>
      </c>
      <c r="B45" s="156" t="s">
        <v>416</v>
      </c>
      <c r="C45" s="158">
        <v>13.66</v>
      </c>
      <c r="D45" s="87">
        <v>44460</v>
      </c>
      <c r="E45" s="88">
        <v>1</v>
      </c>
      <c r="F45" s="89">
        <v>12.75</v>
      </c>
      <c r="G45" s="81">
        <v>11248</v>
      </c>
      <c r="H45" s="67">
        <v>8500000</v>
      </c>
      <c r="I45" s="74">
        <v>0.75</v>
      </c>
      <c r="J45" s="88" t="s">
        <v>274</v>
      </c>
      <c r="K45" s="113"/>
      <c r="L45" s="74"/>
      <c r="M45" s="74"/>
      <c r="N45" s="74"/>
      <c r="O45" s="74"/>
      <c r="P45" s="74"/>
      <c r="Q45" s="74"/>
    </row>
    <row r="46" spans="1:17">
      <c r="A46" s="157"/>
      <c r="B46" s="156"/>
      <c r="C46" s="159"/>
      <c r="D46" s="87">
        <v>44461</v>
      </c>
      <c r="E46" s="88">
        <v>2</v>
      </c>
      <c r="F46" s="89">
        <v>12.83</v>
      </c>
      <c r="G46" s="81">
        <v>8259.9999999999982</v>
      </c>
      <c r="H46" s="91">
        <v>6499999.9999999991</v>
      </c>
      <c r="I46" s="74">
        <v>0.75</v>
      </c>
      <c r="J46" s="88" t="s">
        <v>274</v>
      </c>
      <c r="K46" s="113"/>
      <c r="L46" s="74"/>
      <c r="M46" s="74"/>
      <c r="N46" s="74"/>
      <c r="O46" s="74"/>
      <c r="P46" s="74"/>
      <c r="Q46" s="74"/>
    </row>
    <row r="47" spans="1:17">
      <c r="A47" s="157"/>
      <c r="B47" s="156"/>
      <c r="C47" s="159"/>
      <c r="D47" s="87">
        <v>44462</v>
      </c>
      <c r="E47" s="88">
        <v>3</v>
      </c>
      <c r="F47" s="89">
        <v>13.84</v>
      </c>
      <c r="G47" s="81">
        <v>9009</v>
      </c>
      <c r="H47" s="81">
        <v>11999999.999999998</v>
      </c>
      <c r="I47" s="74">
        <v>0.75</v>
      </c>
      <c r="J47" s="88" t="s">
        <v>274</v>
      </c>
      <c r="K47" s="113"/>
      <c r="L47" s="74"/>
      <c r="M47" s="74"/>
      <c r="N47" s="74"/>
      <c r="O47" s="74"/>
      <c r="P47" s="74"/>
      <c r="Q47" s="74"/>
    </row>
    <row r="48" spans="1:17">
      <c r="A48" s="157"/>
      <c r="B48" s="156"/>
      <c r="C48" s="159"/>
      <c r="D48" s="87">
        <v>44480</v>
      </c>
      <c r="E48" s="88">
        <v>4</v>
      </c>
      <c r="F48" s="89">
        <v>13.41</v>
      </c>
      <c r="G48" s="81">
        <v>6743.75</v>
      </c>
      <c r="H48" s="81">
        <v>7199999.9999999991</v>
      </c>
      <c r="I48" s="74">
        <v>0.75</v>
      </c>
      <c r="J48" s="88" t="s">
        <v>274</v>
      </c>
      <c r="K48" s="113"/>
      <c r="L48" s="74"/>
      <c r="M48" s="74"/>
      <c r="N48" s="74"/>
      <c r="O48" s="74"/>
      <c r="P48" s="74"/>
      <c r="Q48" s="74"/>
    </row>
    <row r="49" spans="1:17">
      <c r="A49" s="157"/>
      <c r="B49" s="156"/>
      <c r="C49" s="160"/>
      <c r="D49" s="87">
        <v>44482</v>
      </c>
      <c r="E49" s="88">
        <v>5</v>
      </c>
      <c r="F49" s="89">
        <v>13.91</v>
      </c>
      <c r="G49" s="81">
        <v>8895.9999999999982</v>
      </c>
      <c r="H49" s="81">
        <v>12299999.999999998</v>
      </c>
      <c r="I49" s="74">
        <v>0.75</v>
      </c>
      <c r="J49" s="88" t="s">
        <v>274</v>
      </c>
      <c r="K49" s="113"/>
      <c r="L49" s="74"/>
      <c r="M49" s="74"/>
      <c r="N49" s="74"/>
      <c r="O49" s="74"/>
      <c r="P49" s="74"/>
      <c r="Q49" s="74"/>
    </row>
    <row r="50" spans="1:17">
      <c r="B50" s="88"/>
      <c r="C50" s="88"/>
      <c r="D50" s="87"/>
      <c r="E50" s="88"/>
      <c r="F50" s="89"/>
      <c r="G50" s="81"/>
      <c r="H50" s="81"/>
      <c r="I50" s="74"/>
      <c r="J50" s="88"/>
      <c r="K50" s="113"/>
      <c r="L50" s="74"/>
      <c r="M50" s="74"/>
      <c r="N50" s="74"/>
      <c r="O50" s="74"/>
      <c r="P50" s="74"/>
      <c r="Q50" s="74"/>
    </row>
    <row r="51" spans="1:17">
      <c r="A51" s="157">
        <v>52</v>
      </c>
      <c r="B51" s="156" t="s">
        <v>309</v>
      </c>
      <c r="C51" s="158">
        <v>15.64</v>
      </c>
      <c r="D51" s="87">
        <v>44460</v>
      </c>
      <c r="E51" s="88">
        <v>1</v>
      </c>
      <c r="F51" s="89">
        <v>14.86</v>
      </c>
      <c r="G51" s="81">
        <v>11000</v>
      </c>
      <c r="H51" s="81">
        <v>5300000</v>
      </c>
      <c r="I51" s="74">
        <v>0.6</v>
      </c>
      <c r="J51" s="88" t="s">
        <v>274</v>
      </c>
      <c r="K51" s="113"/>
      <c r="L51" s="74"/>
      <c r="M51" s="74"/>
      <c r="N51" s="74"/>
      <c r="O51" s="74"/>
      <c r="P51" s="74"/>
      <c r="Q51" s="74"/>
    </row>
    <row r="52" spans="1:17">
      <c r="A52" s="157"/>
      <c r="B52" s="156"/>
      <c r="C52" s="159"/>
      <c r="D52" s="87">
        <v>44461</v>
      </c>
      <c r="E52" s="88">
        <v>2</v>
      </c>
      <c r="F52" s="89">
        <v>14.95</v>
      </c>
      <c r="G52" s="81">
        <v>10700</v>
      </c>
      <c r="H52" s="81">
        <v>25400000</v>
      </c>
      <c r="I52" s="74">
        <v>0.75</v>
      </c>
      <c r="J52" s="88" t="s">
        <v>274</v>
      </c>
      <c r="K52" s="113"/>
      <c r="L52" s="74"/>
      <c r="M52" s="74"/>
      <c r="N52" s="74"/>
      <c r="O52" s="74"/>
      <c r="P52" s="74"/>
      <c r="Q52" s="74"/>
    </row>
    <row r="53" spans="1:17">
      <c r="A53" s="157"/>
      <c r="B53" s="156"/>
      <c r="C53" s="159"/>
      <c r="D53" s="87">
        <v>44462</v>
      </c>
      <c r="E53" s="88">
        <v>3</v>
      </c>
      <c r="F53" s="89">
        <v>15.42</v>
      </c>
      <c r="G53" s="81">
        <v>9680</v>
      </c>
      <c r="H53" s="81">
        <v>425000000</v>
      </c>
      <c r="I53" s="74">
        <v>1</v>
      </c>
      <c r="J53" s="88" t="s">
        <v>274</v>
      </c>
      <c r="K53" s="113"/>
      <c r="L53" s="74"/>
      <c r="M53" s="74"/>
      <c r="N53" s="74"/>
      <c r="O53" s="74"/>
      <c r="P53" s="74"/>
      <c r="Q53" s="74"/>
    </row>
    <row r="54" spans="1:17">
      <c r="A54" s="157"/>
      <c r="B54" s="156"/>
      <c r="C54" s="159"/>
      <c r="D54" s="87">
        <v>44480</v>
      </c>
      <c r="E54" s="88">
        <v>4</v>
      </c>
      <c r="F54" s="89">
        <v>15.56</v>
      </c>
      <c r="G54" s="81">
        <v>7680</v>
      </c>
      <c r="H54" s="81">
        <v>25000000</v>
      </c>
      <c r="I54" s="74">
        <v>0.75</v>
      </c>
      <c r="J54" s="88" t="s">
        <v>274</v>
      </c>
      <c r="K54" s="113"/>
      <c r="L54" s="74"/>
      <c r="M54" s="74"/>
      <c r="N54" s="74"/>
      <c r="O54" s="74"/>
      <c r="P54" s="74"/>
      <c r="Q54" s="74"/>
    </row>
    <row r="55" spans="1:17">
      <c r="A55" s="157"/>
      <c r="B55" s="156"/>
      <c r="C55" s="160"/>
      <c r="D55" s="87">
        <v>44482</v>
      </c>
      <c r="E55" s="88">
        <v>5</v>
      </c>
      <c r="F55" s="89">
        <v>16.100000000000001</v>
      </c>
      <c r="G55" s="81">
        <v>8600</v>
      </c>
      <c r="H55" s="81">
        <v>37200000</v>
      </c>
      <c r="I55" s="74">
        <v>0.75</v>
      </c>
      <c r="J55" s="88" t="s">
        <v>274</v>
      </c>
      <c r="K55" s="116"/>
      <c r="L55" s="74"/>
      <c r="M55" s="74"/>
      <c r="N55" s="74"/>
      <c r="O55" s="74"/>
      <c r="P55" s="74"/>
      <c r="Q55" s="74"/>
    </row>
    <row r="56" spans="1:17">
      <c r="B56" s="88"/>
      <c r="C56" s="88"/>
      <c r="D56" s="87"/>
      <c r="E56" s="88"/>
      <c r="F56" s="89"/>
      <c r="G56" s="81"/>
      <c r="H56" s="81"/>
      <c r="I56" s="74"/>
      <c r="J56" s="88"/>
      <c r="K56" s="113"/>
      <c r="L56" s="74"/>
      <c r="M56" s="74"/>
      <c r="N56" s="74"/>
      <c r="O56" s="74"/>
      <c r="P56" s="74"/>
      <c r="Q56" s="74"/>
    </row>
    <row r="57" spans="1:17">
      <c r="A57" s="157" t="s">
        <v>101</v>
      </c>
      <c r="B57" s="156" t="s">
        <v>311</v>
      </c>
      <c r="C57" s="161">
        <v>18.170000000000002</v>
      </c>
      <c r="D57" s="87">
        <v>44460</v>
      </c>
      <c r="E57" s="88">
        <v>1</v>
      </c>
      <c r="F57" s="89">
        <v>17.850000000000001</v>
      </c>
      <c r="G57" s="81">
        <v>2280</v>
      </c>
      <c r="H57" s="81">
        <v>539000000</v>
      </c>
      <c r="I57" s="74">
        <v>1</v>
      </c>
      <c r="J57" s="88" t="s">
        <v>274</v>
      </c>
      <c r="K57" s="117"/>
      <c r="L57" s="74"/>
      <c r="M57" s="74"/>
      <c r="N57" s="74"/>
      <c r="O57" s="74"/>
      <c r="P57" s="74"/>
      <c r="Q57" s="74"/>
    </row>
    <row r="58" spans="1:17">
      <c r="A58" s="157"/>
      <c r="B58" s="156"/>
      <c r="C58" s="162"/>
      <c r="D58" s="87">
        <v>44461</v>
      </c>
      <c r="E58" s="88">
        <v>2</v>
      </c>
      <c r="F58" s="89">
        <v>20.37</v>
      </c>
      <c r="G58" s="81">
        <v>9500</v>
      </c>
      <c r="H58" s="81">
        <v>45400000</v>
      </c>
      <c r="I58" s="74">
        <v>0.6</v>
      </c>
      <c r="J58" s="88" t="s">
        <v>274</v>
      </c>
      <c r="K58" s="117"/>
      <c r="L58" s="74"/>
      <c r="M58" s="74"/>
      <c r="N58" s="74"/>
      <c r="O58" s="74"/>
      <c r="P58" s="74"/>
      <c r="Q58" s="74"/>
    </row>
    <row r="59" spans="1:17">
      <c r="A59" s="157"/>
      <c r="B59" s="156"/>
      <c r="C59" s="162"/>
      <c r="D59" s="87">
        <v>44462</v>
      </c>
      <c r="E59" s="88">
        <v>3</v>
      </c>
      <c r="F59" s="89">
        <v>21.37</v>
      </c>
      <c r="G59" s="81">
        <v>7600</v>
      </c>
      <c r="H59" s="81">
        <v>55000000</v>
      </c>
      <c r="I59" s="74">
        <v>0.6</v>
      </c>
      <c r="J59" s="88" t="s">
        <v>274</v>
      </c>
      <c r="K59" s="79"/>
      <c r="L59" s="74"/>
      <c r="M59" s="74"/>
      <c r="N59" s="74"/>
      <c r="O59" s="74"/>
      <c r="P59" s="74"/>
      <c r="Q59" s="74"/>
    </row>
    <row r="60" spans="1:17">
      <c r="A60" s="157"/>
      <c r="B60" s="156"/>
      <c r="C60" s="162"/>
      <c r="D60" s="87">
        <v>44480</v>
      </c>
      <c r="E60" s="88">
        <v>4</v>
      </c>
      <c r="F60" s="89">
        <v>19.350000000000001</v>
      </c>
      <c r="G60" s="81">
        <v>9010</v>
      </c>
      <c r="H60" s="81">
        <v>7200000</v>
      </c>
      <c r="I60" s="74">
        <v>0.6</v>
      </c>
      <c r="J60" s="88" t="s">
        <v>274</v>
      </c>
      <c r="K60" s="112"/>
      <c r="L60" s="74"/>
      <c r="M60" s="74"/>
      <c r="N60" s="74"/>
      <c r="O60" s="74"/>
      <c r="P60" s="74"/>
      <c r="Q60" s="74"/>
    </row>
    <row r="61" spans="1:17">
      <c r="A61" s="157"/>
      <c r="B61" s="156"/>
      <c r="C61" s="163"/>
      <c r="D61" s="87">
        <v>44482</v>
      </c>
      <c r="E61" s="88">
        <v>5</v>
      </c>
      <c r="F61" s="89">
        <v>22.07</v>
      </c>
      <c r="G61" s="81">
        <v>9090</v>
      </c>
      <c r="H61" s="81">
        <v>88000000</v>
      </c>
      <c r="I61" s="74">
        <v>0.6</v>
      </c>
      <c r="J61" s="88" t="s">
        <v>274</v>
      </c>
      <c r="K61" s="112"/>
      <c r="L61" s="74"/>
      <c r="M61" s="74"/>
      <c r="N61" s="74"/>
      <c r="O61" s="74"/>
      <c r="P61" s="74"/>
      <c r="Q61" s="74"/>
    </row>
    <row r="62" spans="1:17">
      <c r="B62" s="88"/>
      <c r="C62" s="88"/>
      <c r="D62" s="87"/>
      <c r="E62" s="88"/>
      <c r="F62" s="89"/>
      <c r="G62" s="81"/>
      <c r="H62" s="81"/>
      <c r="I62" s="74"/>
      <c r="J62" s="88"/>
      <c r="K62" s="113"/>
      <c r="L62" s="74"/>
      <c r="M62" s="74"/>
      <c r="N62" s="74"/>
      <c r="O62" s="74"/>
      <c r="P62" s="74"/>
      <c r="Q62" s="74"/>
    </row>
    <row r="63" spans="1:17">
      <c r="A63" s="157">
        <v>214</v>
      </c>
      <c r="B63" s="157" t="s">
        <v>173</v>
      </c>
      <c r="C63" s="161">
        <v>4.22</v>
      </c>
      <c r="D63" s="87">
        <v>44460</v>
      </c>
      <c r="E63" s="88">
        <v>1</v>
      </c>
      <c r="F63" s="89">
        <v>6.42</v>
      </c>
      <c r="G63" s="81">
        <v>2620</v>
      </c>
      <c r="H63" s="81">
        <v>179000000</v>
      </c>
      <c r="I63" s="74">
        <v>2.5</v>
      </c>
      <c r="J63" s="88" t="s">
        <v>274</v>
      </c>
      <c r="K63" s="113"/>
      <c r="L63" s="74"/>
      <c r="M63" s="74"/>
      <c r="N63" s="74"/>
      <c r="O63" s="74"/>
      <c r="P63" s="74"/>
      <c r="Q63" s="74"/>
    </row>
    <row r="64" spans="1:17">
      <c r="A64" s="157"/>
      <c r="B64" s="157"/>
      <c r="C64" s="162"/>
      <c r="D64" s="87">
        <v>44461</v>
      </c>
      <c r="E64" s="88">
        <v>2</v>
      </c>
      <c r="F64" s="89">
        <v>9.4499999999999993</v>
      </c>
      <c r="G64" s="81">
        <v>1640</v>
      </c>
      <c r="H64" s="81">
        <v>30400000</v>
      </c>
      <c r="I64" s="74">
        <v>1.5</v>
      </c>
      <c r="J64" s="88" t="s">
        <v>274</v>
      </c>
      <c r="K64" s="113"/>
      <c r="L64" s="74"/>
      <c r="M64" s="74"/>
      <c r="N64" s="74"/>
      <c r="O64" s="74"/>
      <c r="P64" s="74"/>
      <c r="Q64" s="74"/>
    </row>
    <row r="65" spans="1:17">
      <c r="A65" s="157"/>
      <c r="B65" s="157"/>
      <c r="C65" s="162"/>
      <c r="D65" s="87">
        <v>44462</v>
      </c>
      <c r="E65" s="88">
        <v>3</v>
      </c>
      <c r="F65" s="89">
        <v>7.21</v>
      </c>
      <c r="G65" s="81">
        <v>15000</v>
      </c>
      <c r="H65" s="81">
        <v>4000000000</v>
      </c>
      <c r="I65" s="74">
        <v>2.5</v>
      </c>
      <c r="J65" s="88" t="s">
        <v>399</v>
      </c>
      <c r="K65" s="79" t="s">
        <v>322</v>
      </c>
      <c r="L65" s="81">
        <v>110</v>
      </c>
      <c r="M65" s="81">
        <v>500000000</v>
      </c>
      <c r="N65" s="81">
        <v>14850</v>
      </c>
      <c r="O65" s="81">
        <v>3500000000</v>
      </c>
      <c r="P65" s="130">
        <v>8.8463972561846411</v>
      </c>
      <c r="Q65" s="130">
        <v>7.1386129861873506</v>
      </c>
    </row>
    <row r="66" spans="1:17">
      <c r="A66" s="157"/>
      <c r="B66" s="157"/>
      <c r="C66" s="162"/>
      <c r="D66" s="87">
        <v>44480</v>
      </c>
      <c r="E66" s="88">
        <v>4</v>
      </c>
      <c r="F66" s="89">
        <v>8.3699999999999992</v>
      </c>
      <c r="G66" s="81">
        <v>13800</v>
      </c>
      <c r="H66" s="81">
        <v>27600000000</v>
      </c>
      <c r="I66" s="74">
        <v>2.5</v>
      </c>
      <c r="J66" s="88" t="s">
        <v>399</v>
      </c>
      <c r="K66" s="79" t="s">
        <v>327</v>
      </c>
      <c r="L66" s="81">
        <v>400.00000000000006</v>
      </c>
      <c r="M66" s="81">
        <v>17500000000</v>
      </c>
      <c r="N66" s="81">
        <v>13400</v>
      </c>
      <c r="O66" s="81">
        <v>10100000000</v>
      </c>
      <c r="P66" s="130">
        <v>10.153111872462601</v>
      </c>
      <c r="Q66" s="130">
        <v>7.8094763446472788</v>
      </c>
    </row>
    <row r="67" spans="1:17">
      <c r="A67" s="157"/>
      <c r="B67" s="157"/>
      <c r="C67" s="163"/>
      <c r="D67" s="87">
        <v>44482</v>
      </c>
      <c r="E67" s="88">
        <v>5</v>
      </c>
      <c r="F67" s="89">
        <v>12.08</v>
      </c>
      <c r="G67" s="81">
        <v>67900</v>
      </c>
      <c r="H67" s="81">
        <v>19300000000</v>
      </c>
      <c r="I67" s="74">
        <v>1.5</v>
      </c>
      <c r="J67" s="88" t="s">
        <v>399</v>
      </c>
      <c r="K67" s="113" t="s">
        <v>417</v>
      </c>
      <c r="L67" s="81">
        <v>35295</v>
      </c>
      <c r="M67" s="81">
        <v>18200000000</v>
      </c>
      <c r="N67" s="81">
        <v>32580</v>
      </c>
      <c r="O67" s="81">
        <v>1100000000</v>
      </c>
      <c r="P67" s="130">
        <v>12.650695465643187</v>
      </c>
      <c r="Q67" s="130">
        <v>10.028771596215545</v>
      </c>
    </row>
    <row r="68" spans="1:17">
      <c r="B68" s="88"/>
      <c r="C68" s="88"/>
      <c r="D68" s="87"/>
      <c r="E68" s="88"/>
      <c r="F68" s="89"/>
      <c r="G68" s="81"/>
      <c r="H68" s="81"/>
      <c r="I68" s="74"/>
      <c r="J68" s="88"/>
      <c r="K68" s="113"/>
      <c r="L68" s="74"/>
      <c r="M68" s="74"/>
      <c r="N68" s="74"/>
      <c r="O68" s="74"/>
      <c r="P68" s="74"/>
      <c r="Q68" s="74"/>
    </row>
    <row r="69" spans="1:17">
      <c r="A69" s="157">
        <v>217</v>
      </c>
      <c r="B69" s="157" t="s">
        <v>174</v>
      </c>
      <c r="C69" s="161">
        <v>7.93</v>
      </c>
      <c r="D69" s="87">
        <v>44460</v>
      </c>
      <c r="E69" s="88">
        <v>1</v>
      </c>
      <c r="F69" s="89">
        <v>10.02</v>
      </c>
      <c r="G69" s="81">
        <v>1680</v>
      </c>
      <c r="H69" s="81">
        <v>9900000</v>
      </c>
      <c r="I69" s="74">
        <v>1.25</v>
      </c>
      <c r="J69" s="88" t="s">
        <v>274</v>
      </c>
      <c r="K69" s="113"/>
      <c r="L69" s="74"/>
      <c r="M69" s="74"/>
      <c r="N69" s="74"/>
      <c r="O69" s="74"/>
      <c r="P69" s="74"/>
      <c r="Q69" s="74"/>
    </row>
    <row r="70" spans="1:17">
      <c r="A70" s="157"/>
      <c r="B70" s="157"/>
      <c r="C70" s="162"/>
      <c r="D70" s="87">
        <v>44461</v>
      </c>
      <c r="E70" s="88">
        <v>2</v>
      </c>
      <c r="F70" s="89">
        <v>9.7100000000000009</v>
      </c>
      <c r="G70" s="81">
        <v>9190</v>
      </c>
      <c r="H70" s="81">
        <v>7700000</v>
      </c>
      <c r="I70" s="74">
        <v>1</v>
      </c>
      <c r="J70" s="88" t="s">
        <v>274</v>
      </c>
      <c r="K70" s="113"/>
      <c r="L70" s="74"/>
      <c r="M70" s="74"/>
      <c r="N70" s="74"/>
      <c r="O70" s="74"/>
      <c r="P70" s="74"/>
      <c r="Q70" s="74"/>
    </row>
    <row r="71" spans="1:17">
      <c r="A71" s="157"/>
      <c r="B71" s="157"/>
      <c r="C71" s="162"/>
      <c r="D71" s="87">
        <v>44462</v>
      </c>
      <c r="E71" s="88">
        <v>3</v>
      </c>
      <c r="F71" s="89">
        <v>9.98</v>
      </c>
      <c r="G71" s="81">
        <v>8260</v>
      </c>
      <c r="H71" s="81">
        <v>47000000</v>
      </c>
      <c r="I71" s="74">
        <v>1.25</v>
      </c>
      <c r="J71" s="88" t="s">
        <v>274</v>
      </c>
      <c r="K71" s="79"/>
      <c r="L71" s="74"/>
      <c r="M71" s="74"/>
      <c r="N71" s="74"/>
      <c r="O71" s="74"/>
      <c r="P71" s="74"/>
      <c r="Q71" s="74"/>
    </row>
    <row r="72" spans="1:17">
      <c r="A72" s="157"/>
      <c r="B72" s="157"/>
      <c r="C72" s="162"/>
      <c r="D72" s="87">
        <v>44480</v>
      </c>
      <c r="E72" s="88">
        <v>4</v>
      </c>
      <c r="F72" s="89">
        <v>11.75</v>
      </c>
      <c r="G72" s="81">
        <v>5630</v>
      </c>
      <c r="H72" s="81">
        <v>19400000</v>
      </c>
      <c r="I72" s="74">
        <v>1</v>
      </c>
      <c r="J72" s="88" t="s">
        <v>274</v>
      </c>
      <c r="K72" s="118"/>
      <c r="L72" s="74"/>
      <c r="M72" s="74"/>
      <c r="N72" s="74"/>
      <c r="O72" s="74"/>
      <c r="P72" s="74"/>
      <c r="Q72" s="74"/>
    </row>
    <row r="73" spans="1:17">
      <c r="A73" s="157"/>
      <c r="B73" s="157"/>
      <c r="C73" s="163"/>
      <c r="D73" s="87">
        <v>44482</v>
      </c>
      <c r="E73" s="88">
        <v>5</v>
      </c>
      <c r="F73" s="89">
        <v>10.29</v>
      </c>
      <c r="G73" s="81">
        <v>10700</v>
      </c>
      <c r="H73" s="81">
        <v>13400000</v>
      </c>
      <c r="I73" s="74">
        <v>1</v>
      </c>
      <c r="J73" s="88" t="s">
        <v>418</v>
      </c>
      <c r="K73" s="79" t="s">
        <v>419</v>
      </c>
      <c r="L73" s="81"/>
      <c r="M73" s="81"/>
      <c r="N73" s="81"/>
      <c r="O73" s="81"/>
      <c r="P73" s="130"/>
      <c r="Q73" s="130"/>
    </row>
    <row r="74" spans="1:17">
      <c r="L74" s="74"/>
      <c r="M74" s="74"/>
      <c r="N74" s="74"/>
      <c r="O74" s="74"/>
      <c r="P74" s="74"/>
      <c r="Q74" s="74"/>
    </row>
    <row r="75" spans="1:17">
      <c r="A75" s="157">
        <v>234</v>
      </c>
      <c r="B75" s="157" t="s">
        <v>175</v>
      </c>
      <c r="C75" s="161">
        <v>8.2899999999999991</v>
      </c>
      <c r="D75" s="87">
        <v>44460</v>
      </c>
      <c r="E75" s="88">
        <v>1</v>
      </c>
      <c r="F75" s="89">
        <v>9.67</v>
      </c>
      <c r="G75" s="81">
        <v>627</v>
      </c>
      <c r="H75" s="81">
        <v>2720000</v>
      </c>
      <c r="I75" s="74">
        <v>1.25</v>
      </c>
      <c r="J75" s="88" t="s">
        <v>274</v>
      </c>
      <c r="K75" s="113"/>
      <c r="L75" s="74"/>
      <c r="M75" s="74"/>
      <c r="N75" s="74"/>
      <c r="O75" s="74"/>
      <c r="P75" s="74"/>
      <c r="Q75" s="74"/>
    </row>
    <row r="76" spans="1:17">
      <c r="A76" s="157"/>
      <c r="B76" s="157"/>
      <c r="C76" s="162"/>
      <c r="D76" s="87">
        <v>44461</v>
      </c>
      <c r="E76" s="88">
        <v>2</v>
      </c>
      <c r="F76" s="89">
        <v>10.14</v>
      </c>
      <c r="G76" s="81">
        <v>6990</v>
      </c>
      <c r="H76" s="81">
        <v>7900000</v>
      </c>
      <c r="I76" s="74">
        <v>1</v>
      </c>
      <c r="J76" s="88" t="s">
        <v>274</v>
      </c>
      <c r="K76" s="113"/>
      <c r="L76" s="74"/>
      <c r="M76" s="74"/>
      <c r="N76" s="74"/>
      <c r="O76" s="74"/>
      <c r="P76" s="74"/>
      <c r="Q76" s="74"/>
    </row>
    <row r="77" spans="1:17">
      <c r="A77" s="157"/>
      <c r="B77" s="157"/>
      <c r="C77" s="162"/>
      <c r="D77" s="87">
        <v>44462</v>
      </c>
      <c r="E77" s="88">
        <v>3</v>
      </c>
      <c r="F77" s="89">
        <v>13.72</v>
      </c>
      <c r="G77" s="81">
        <v>593</v>
      </c>
      <c r="H77" s="81">
        <v>86000000</v>
      </c>
      <c r="I77" s="74">
        <v>1.25</v>
      </c>
      <c r="J77" s="88" t="s">
        <v>399</v>
      </c>
      <c r="K77" s="79" t="s">
        <v>321</v>
      </c>
      <c r="L77" s="81">
        <v>126.99999999999997</v>
      </c>
      <c r="M77" s="81">
        <v>2000000</v>
      </c>
      <c r="N77" s="81">
        <v>8635.9999999999982</v>
      </c>
      <c r="O77" s="81">
        <v>84000000</v>
      </c>
      <c r="P77" s="130">
        <v>11.154307106041607</v>
      </c>
      <c r="Q77" s="130">
        <v>10.598190771264344</v>
      </c>
    </row>
    <row r="78" spans="1:17">
      <c r="A78" s="157"/>
      <c r="B78" s="157"/>
      <c r="C78" s="162"/>
      <c r="D78" s="87">
        <v>44480</v>
      </c>
      <c r="E78" s="88">
        <v>4</v>
      </c>
      <c r="F78" s="89">
        <v>12.65</v>
      </c>
      <c r="G78" s="81">
        <v>3150</v>
      </c>
      <c r="H78" s="81">
        <v>20200000</v>
      </c>
      <c r="I78" s="74">
        <v>1</v>
      </c>
      <c r="J78" s="88" t="s">
        <v>399</v>
      </c>
      <c r="K78" s="79" t="s">
        <v>326</v>
      </c>
      <c r="L78" s="81">
        <v>232</v>
      </c>
      <c r="M78" s="81">
        <v>1799999.9999999998</v>
      </c>
      <c r="N78" s="81">
        <v>8468</v>
      </c>
      <c r="O78" s="81">
        <v>18400000</v>
      </c>
      <c r="P78" s="130">
        <v>12.921584480751553</v>
      </c>
      <c r="Q78" s="130">
        <v>11.085396876486236</v>
      </c>
    </row>
    <row r="79" spans="1:17">
      <c r="A79" s="157"/>
      <c r="B79" s="157"/>
      <c r="C79" s="163"/>
      <c r="D79" s="87">
        <v>44482</v>
      </c>
      <c r="E79" s="88">
        <v>5</v>
      </c>
      <c r="F79" s="89">
        <v>12.21</v>
      </c>
      <c r="G79" s="81">
        <v>2480</v>
      </c>
      <c r="H79" s="81">
        <v>11800000</v>
      </c>
      <c r="I79" s="74">
        <v>1</v>
      </c>
      <c r="J79" s="88" t="s">
        <v>399</v>
      </c>
      <c r="K79" s="79" t="s">
        <v>333</v>
      </c>
      <c r="L79" s="81">
        <v>600</v>
      </c>
      <c r="M79" s="81">
        <v>3999999.9999999995</v>
      </c>
      <c r="N79" s="81">
        <v>3999.9999999999991</v>
      </c>
      <c r="O79" s="81">
        <v>7799999.9999999991</v>
      </c>
      <c r="P79" s="130">
        <v>12.702749878828293</v>
      </c>
      <c r="Q79" s="130">
        <v>10.929258408636974</v>
      </c>
    </row>
    <row r="80" spans="1:17">
      <c r="L80" s="74"/>
      <c r="M80" s="74"/>
      <c r="N80" s="74"/>
      <c r="O80" s="74"/>
      <c r="P80" s="74"/>
      <c r="Q80" s="74"/>
    </row>
    <row r="81" spans="1:17">
      <c r="A81" s="22" t="s">
        <v>387</v>
      </c>
      <c r="B81" s="82" t="s">
        <v>1</v>
      </c>
      <c r="C81" s="82" t="s">
        <v>388</v>
      </c>
      <c r="D81" s="83" t="s">
        <v>255</v>
      </c>
      <c r="E81" s="82" t="s">
        <v>389</v>
      </c>
      <c r="F81" s="84" t="s">
        <v>390</v>
      </c>
      <c r="G81" s="85" t="s">
        <v>391</v>
      </c>
      <c r="H81" s="85" t="s">
        <v>392</v>
      </c>
      <c r="I81" s="86" t="s">
        <v>393</v>
      </c>
      <c r="J81" s="82" t="s">
        <v>394</v>
      </c>
      <c r="K81" s="114" t="s">
        <v>395</v>
      </c>
      <c r="L81" s="119" t="s">
        <v>266</v>
      </c>
      <c r="M81" s="119" t="s">
        <v>267</v>
      </c>
      <c r="N81" s="119" t="s">
        <v>268</v>
      </c>
      <c r="O81" s="119" t="s">
        <v>269</v>
      </c>
      <c r="P81" s="120" t="s">
        <v>270</v>
      </c>
      <c r="Q81" s="120" t="s">
        <v>271</v>
      </c>
    </row>
    <row r="82" spans="1:17">
      <c r="A82" s="157">
        <v>42</v>
      </c>
      <c r="B82" s="156" t="s">
        <v>420</v>
      </c>
      <c r="C82" s="158">
        <v>16.989999999999998</v>
      </c>
      <c r="D82" s="87">
        <v>44483</v>
      </c>
      <c r="E82" s="88">
        <v>1</v>
      </c>
      <c r="F82" s="89">
        <v>14.51</v>
      </c>
      <c r="G82" s="81">
        <v>25800</v>
      </c>
      <c r="H82" s="81">
        <v>48599999.999999993</v>
      </c>
      <c r="I82" s="74">
        <v>0.75</v>
      </c>
      <c r="J82" s="88" t="s">
        <v>274</v>
      </c>
      <c r="K82" s="113"/>
      <c r="L82" s="74"/>
      <c r="M82" s="74"/>
      <c r="N82" s="74"/>
      <c r="O82" s="74"/>
      <c r="P82" s="74"/>
      <c r="Q82" s="74"/>
    </row>
    <row r="83" spans="1:17">
      <c r="A83" s="157"/>
      <c r="B83" s="156"/>
      <c r="C83" s="159"/>
      <c r="D83" s="87">
        <v>44488</v>
      </c>
      <c r="E83" s="88">
        <v>2</v>
      </c>
      <c r="F83" s="103">
        <v>15.57</v>
      </c>
      <c r="G83" s="81">
        <v>9350</v>
      </c>
      <c r="H83" s="81">
        <v>30600000</v>
      </c>
      <c r="I83" s="74">
        <v>0.75</v>
      </c>
      <c r="J83" s="88" t="s">
        <v>274</v>
      </c>
      <c r="K83" s="79"/>
      <c r="L83" s="74"/>
      <c r="M83" s="74"/>
      <c r="N83" s="74"/>
      <c r="O83" s="74"/>
      <c r="P83" s="74"/>
      <c r="Q83" s="74"/>
    </row>
    <row r="84" spans="1:17">
      <c r="A84" s="157"/>
      <c r="B84" s="156"/>
      <c r="C84" s="159"/>
      <c r="D84" s="87">
        <v>44489</v>
      </c>
      <c r="E84" s="88">
        <v>3</v>
      </c>
      <c r="F84" s="89">
        <v>16.28</v>
      </c>
      <c r="G84" s="81">
        <v>10100</v>
      </c>
      <c r="H84" s="81">
        <v>48000000</v>
      </c>
      <c r="I84" s="74">
        <v>0.75</v>
      </c>
      <c r="J84" s="88" t="s">
        <v>274</v>
      </c>
      <c r="K84" s="79"/>
      <c r="L84" s="74"/>
      <c r="M84" s="74"/>
      <c r="N84" s="74"/>
      <c r="O84" s="74"/>
      <c r="P84" s="74"/>
      <c r="Q84" s="74"/>
    </row>
    <row r="85" spans="1:17">
      <c r="A85" s="157"/>
      <c r="B85" s="156"/>
      <c r="C85" s="159"/>
      <c r="D85" s="87">
        <v>44490</v>
      </c>
      <c r="E85" s="88">
        <v>4</v>
      </c>
      <c r="F85" s="89">
        <v>16.510000000000002</v>
      </c>
      <c r="G85" s="81">
        <v>11700</v>
      </c>
      <c r="H85" s="81">
        <v>11200000</v>
      </c>
      <c r="I85" s="74">
        <v>0.6</v>
      </c>
      <c r="J85" s="88" t="s">
        <v>274</v>
      </c>
      <c r="K85" s="79"/>
      <c r="L85" s="74"/>
      <c r="M85" s="74"/>
      <c r="N85" s="74"/>
      <c r="O85" s="74"/>
      <c r="P85" s="74"/>
      <c r="Q85" s="74"/>
    </row>
    <row r="86" spans="1:17">
      <c r="A86" s="157"/>
      <c r="B86" s="156"/>
      <c r="C86" s="160"/>
      <c r="D86" s="87">
        <v>44491</v>
      </c>
      <c r="E86" s="88">
        <v>5</v>
      </c>
      <c r="F86" s="89">
        <v>18.48</v>
      </c>
      <c r="G86" s="81">
        <v>9100</v>
      </c>
      <c r="H86" s="81">
        <v>19800000</v>
      </c>
      <c r="I86" s="74">
        <v>0.6</v>
      </c>
      <c r="J86" s="88" t="s">
        <v>274</v>
      </c>
      <c r="K86" s="78"/>
      <c r="L86" s="74"/>
      <c r="M86" s="74"/>
      <c r="N86" s="74"/>
      <c r="O86" s="74"/>
      <c r="P86" s="74"/>
      <c r="Q86" s="74"/>
    </row>
    <row r="87" spans="1:17">
      <c r="B87" s="88"/>
      <c r="C87" s="88"/>
      <c r="D87" s="87"/>
      <c r="E87" s="88"/>
      <c r="F87" s="89"/>
      <c r="G87" s="81"/>
      <c r="H87" s="81"/>
      <c r="I87" s="74"/>
      <c r="J87" s="88"/>
      <c r="K87" s="113"/>
      <c r="L87" s="74"/>
      <c r="M87" s="74"/>
      <c r="N87" s="74"/>
      <c r="O87" s="74"/>
      <c r="P87" s="74"/>
      <c r="Q87" s="74"/>
    </row>
    <row r="88" spans="1:17">
      <c r="A88" s="157">
        <v>55</v>
      </c>
      <c r="B88" s="156" t="s">
        <v>421</v>
      </c>
      <c r="C88" s="158">
        <v>12.07</v>
      </c>
      <c r="D88" s="87">
        <v>44483</v>
      </c>
      <c r="E88" s="88">
        <v>1</v>
      </c>
      <c r="F88" s="89">
        <v>16.04</v>
      </c>
      <c r="G88" s="81">
        <v>16700</v>
      </c>
      <c r="H88" s="67">
        <v>70000000</v>
      </c>
      <c r="I88" s="74">
        <v>1</v>
      </c>
      <c r="J88" s="88" t="s">
        <v>274</v>
      </c>
      <c r="K88" s="113"/>
      <c r="L88" s="74"/>
      <c r="M88" s="74"/>
      <c r="N88" s="74"/>
      <c r="O88" s="74"/>
      <c r="P88" s="74"/>
      <c r="Q88" s="74"/>
    </row>
    <row r="89" spans="1:17">
      <c r="A89" s="157"/>
      <c r="B89" s="156"/>
      <c r="C89" s="159"/>
      <c r="D89" s="87">
        <v>44488</v>
      </c>
      <c r="E89" s="88">
        <v>2</v>
      </c>
      <c r="F89" s="89">
        <v>11.91</v>
      </c>
      <c r="G89" s="81">
        <v>9440</v>
      </c>
      <c r="H89" s="91">
        <v>4600000</v>
      </c>
      <c r="I89" s="74">
        <v>0.75</v>
      </c>
      <c r="J89" s="88" t="s">
        <v>399</v>
      </c>
      <c r="K89" s="68" t="s">
        <v>422</v>
      </c>
      <c r="L89" s="71">
        <v>105</v>
      </c>
      <c r="M89" s="71">
        <v>600000</v>
      </c>
      <c r="N89" s="19">
        <v>9440</v>
      </c>
      <c r="O89" s="71">
        <v>3999999.9999999995</v>
      </c>
      <c r="P89" s="129">
        <v>16.640476609989129</v>
      </c>
      <c r="Q89" s="129">
        <v>11.635996566766629</v>
      </c>
    </row>
    <row r="90" spans="1:17">
      <c r="A90" s="157"/>
      <c r="B90" s="156"/>
      <c r="C90" s="159"/>
      <c r="D90" s="87">
        <v>44489</v>
      </c>
      <c r="E90" s="88">
        <v>3</v>
      </c>
      <c r="F90" s="89">
        <v>23.02</v>
      </c>
      <c r="G90" s="81">
        <v>10800</v>
      </c>
      <c r="H90" s="81">
        <v>1700000000</v>
      </c>
      <c r="I90" s="74">
        <v>1</v>
      </c>
      <c r="J90" s="88" t="s">
        <v>399</v>
      </c>
      <c r="K90" s="68" t="s">
        <v>351</v>
      </c>
      <c r="L90" s="81">
        <v>1743.9999999999995</v>
      </c>
      <c r="M90" s="81">
        <v>740000000</v>
      </c>
      <c r="N90" s="81">
        <v>9046.9999999999982</v>
      </c>
      <c r="O90" s="81">
        <v>960000000</v>
      </c>
      <c r="P90" s="130">
        <v>18.69476570506356</v>
      </c>
      <c r="Q90" s="130">
        <v>16.695235408808841</v>
      </c>
    </row>
    <row r="91" spans="1:17">
      <c r="A91" s="157"/>
      <c r="B91" s="156"/>
      <c r="C91" s="159"/>
      <c r="D91" s="87">
        <v>44491</v>
      </c>
      <c r="E91" s="88">
        <v>4</v>
      </c>
      <c r="F91" s="89">
        <v>22.4</v>
      </c>
      <c r="G91" s="81">
        <v>13700</v>
      </c>
      <c r="H91" s="81">
        <v>152000000</v>
      </c>
      <c r="I91" s="74">
        <v>0.6</v>
      </c>
      <c r="J91" s="88" t="s">
        <v>399</v>
      </c>
      <c r="K91" s="68" t="s">
        <v>423</v>
      </c>
      <c r="L91" s="81">
        <v>9900.0000000000018</v>
      </c>
      <c r="M91" s="81">
        <v>130000000</v>
      </c>
      <c r="N91" s="81">
        <v>3800</v>
      </c>
      <c r="O91" s="81">
        <v>22000000</v>
      </c>
      <c r="P91" s="130">
        <v>22.801205954163823</v>
      </c>
      <c r="Q91" s="130">
        <v>20.832027474571934</v>
      </c>
    </row>
    <row r="92" spans="1:17">
      <c r="A92" s="157"/>
      <c r="B92" s="156"/>
      <c r="C92" s="160"/>
      <c r="D92" s="87">
        <v>44496</v>
      </c>
      <c r="E92" s="88">
        <v>5</v>
      </c>
      <c r="F92" s="89">
        <v>21.5</v>
      </c>
      <c r="G92" s="81">
        <v>6410</v>
      </c>
      <c r="H92" s="81">
        <v>49000000</v>
      </c>
      <c r="I92" s="74">
        <v>0.6</v>
      </c>
      <c r="J92" s="88" t="s">
        <v>399</v>
      </c>
      <c r="K92" s="68" t="s">
        <v>424</v>
      </c>
      <c r="L92" s="81">
        <v>5374.2857142857147</v>
      </c>
      <c r="M92" s="81">
        <v>39000000</v>
      </c>
      <c r="N92" s="81">
        <v>1037.1428571428571</v>
      </c>
      <c r="O92" s="81">
        <v>10000000</v>
      </c>
      <c r="P92" s="130">
        <v>21.375189136389118</v>
      </c>
      <c r="Q92" s="130">
        <v>22.05849625564338</v>
      </c>
    </row>
    <row r="93" spans="1:17">
      <c r="B93" s="88"/>
      <c r="C93" s="88"/>
      <c r="D93" s="87"/>
      <c r="E93" s="88"/>
      <c r="F93" s="89"/>
      <c r="G93" s="81"/>
      <c r="H93" s="81"/>
      <c r="I93" s="74"/>
      <c r="J93" s="88"/>
      <c r="K93" s="113"/>
      <c r="L93" s="74"/>
      <c r="M93" s="74"/>
      <c r="N93" s="74"/>
      <c r="O93" s="74"/>
      <c r="P93" s="74"/>
      <c r="Q93" s="74"/>
    </row>
    <row r="94" spans="1:17">
      <c r="A94" s="157" t="s">
        <v>113</v>
      </c>
      <c r="B94" s="156" t="s">
        <v>196</v>
      </c>
      <c r="C94" s="158">
        <v>16.7</v>
      </c>
      <c r="D94" s="87">
        <v>44483</v>
      </c>
      <c r="E94" s="88">
        <v>1</v>
      </c>
      <c r="F94" s="89">
        <v>16.22</v>
      </c>
      <c r="G94" s="81">
        <v>1880</v>
      </c>
      <c r="H94" s="81">
        <v>8600000</v>
      </c>
      <c r="I94" s="74">
        <v>0.75</v>
      </c>
      <c r="J94" s="88" t="s">
        <v>274</v>
      </c>
      <c r="K94" s="113"/>
      <c r="L94" s="74"/>
      <c r="M94" s="74"/>
      <c r="N94" s="74"/>
      <c r="O94" s="74"/>
      <c r="P94" s="74"/>
      <c r="Q94" s="74"/>
    </row>
    <row r="95" spans="1:17">
      <c r="A95" s="157"/>
      <c r="B95" s="156"/>
      <c r="C95" s="159"/>
      <c r="D95" s="87">
        <v>44488</v>
      </c>
      <c r="E95" s="88">
        <v>2</v>
      </c>
      <c r="F95" s="89">
        <v>13.09</v>
      </c>
      <c r="G95" s="81">
        <v>33900</v>
      </c>
      <c r="H95" s="81">
        <v>30600000</v>
      </c>
      <c r="I95" s="74">
        <v>0.75</v>
      </c>
      <c r="J95" s="88" t="s">
        <v>274</v>
      </c>
      <c r="K95" s="113"/>
      <c r="L95" s="74"/>
      <c r="M95" s="74"/>
      <c r="N95" s="74"/>
      <c r="O95" s="74"/>
      <c r="P95" s="74"/>
      <c r="Q95" s="74"/>
    </row>
    <row r="96" spans="1:17">
      <c r="A96" s="157"/>
      <c r="B96" s="156"/>
      <c r="C96" s="159"/>
      <c r="D96" s="87">
        <v>44489</v>
      </c>
      <c r="E96" s="88">
        <v>3</v>
      </c>
      <c r="F96" s="89">
        <v>17.079999999999998</v>
      </c>
      <c r="G96" s="81">
        <v>9460</v>
      </c>
      <c r="H96" s="81">
        <v>68000000</v>
      </c>
      <c r="I96" s="74">
        <v>0.75</v>
      </c>
      <c r="J96" s="88" t="s">
        <v>274</v>
      </c>
      <c r="K96" s="113"/>
      <c r="L96" s="74"/>
      <c r="M96" s="74"/>
      <c r="N96" s="74"/>
      <c r="O96" s="74"/>
      <c r="P96" s="74"/>
      <c r="Q96" s="74"/>
    </row>
    <row r="97" spans="1:17">
      <c r="A97" s="157"/>
      <c r="B97" s="156"/>
      <c r="C97" s="159"/>
      <c r="D97" s="87">
        <v>44490</v>
      </c>
      <c r="E97" s="88">
        <v>4</v>
      </c>
      <c r="F97" s="89">
        <v>17.18</v>
      </c>
      <c r="G97" s="81">
        <v>7720</v>
      </c>
      <c r="H97" s="81">
        <v>9800000</v>
      </c>
      <c r="I97" s="74">
        <v>0.6</v>
      </c>
      <c r="J97" s="88" t="s">
        <v>274</v>
      </c>
      <c r="K97" s="113"/>
      <c r="L97" s="74"/>
      <c r="M97" s="74"/>
      <c r="N97" s="74"/>
      <c r="O97" s="74"/>
      <c r="P97" s="74"/>
      <c r="Q97" s="74"/>
    </row>
    <row r="98" spans="1:17">
      <c r="A98" s="157"/>
      <c r="B98" s="156"/>
      <c r="C98" s="160"/>
      <c r="D98" s="87">
        <v>44491</v>
      </c>
      <c r="E98" s="88">
        <v>5</v>
      </c>
      <c r="F98" s="89">
        <v>17.600000000000001</v>
      </c>
      <c r="G98" s="81">
        <v>11000</v>
      </c>
      <c r="H98" s="81">
        <v>16600000</v>
      </c>
      <c r="I98" s="74">
        <v>0.6</v>
      </c>
      <c r="J98" s="88" t="s">
        <v>274</v>
      </c>
      <c r="K98" s="116"/>
      <c r="L98" s="74"/>
      <c r="M98" s="74"/>
      <c r="N98" s="74"/>
      <c r="O98" s="74"/>
      <c r="P98" s="74"/>
      <c r="Q98" s="74"/>
    </row>
    <row r="99" spans="1:17">
      <c r="B99" s="88"/>
      <c r="C99" s="88"/>
      <c r="D99" s="87"/>
      <c r="E99" s="88"/>
      <c r="F99" s="89"/>
      <c r="G99" s="81"/>
      <c r="H99" s="81"/>
      <c r="I99" s="74"/>
      <c r="J99" s="88"/>
      <c r="K99" s="113"/>
      <c r="L99" s="74"/>
      <c r="M99" s="74"/>
      <c r="N99" s="74"/>
      <c r="O99" s="74"/>
      <c r="P99" s="74"/>
      <c r="Q99" s="74"/>
    </row>
    <row r="100" spans="1:17">
      <c r="A100" s="157">
        <v>215</v>
      </c>
      <c r="B100" s="156" t="s">
        <v>197</v>
      </c>
      <c r="C100" s="161">
        <v>3.77</v>
      </c>
      <c r="D100" s="87">
        <v>44483</v>
      </c>
      <c r="E100" s="88">
        <v>1</v>
      </c>
      <c r="F100" s="89">
        <v>6.8</v>
      </c>
      <c r="G100" s="81">
        <v>3700</v>
      </c>
      <c r="H100" s="81">
        <v>1560000000</v>
      </c>
      <c r="I100" s="74">
        <v>2.75</v>
      </c>
      <c r="J100" s="88" t="s">
        <v>399</v>
      </c>
      <c r="K100" s="70" t="s">
        <v>425</v>
      </c>
      <c r="L100" s="81">
        <v>85.999999999999986</v>
      </c>
      <c r="M100" s="81">
        <v>620000000</v>
      </c>
      <c r="N100" s="81">
        <v>3700</v>
      </c>
      <c r="O100" s="81">
        <v>940000000</v>
      </c>
      <c r="P100" s="130">
        <v>8.2841557163259321</v>
      </c>
      <c r="Q100" s="130">
        <v>6.5290094401765453</v>
      </c>
    </row>
    <row r="101" spans="1:17">
      <c r="A101" s="157"/>
      <c r="B101" s="156"/>
      <c r="C101" s="162"/>
      <c r="D101" s="87">
        <v>44488</v>
      </c>
      <c r="E101" s="88">
        <v>2</v>
      </c>
      <c r="F101" s="89">
        <v>9.2200000000000006</v>
      </c>
      <c r="G101" s="81">
        <v>171000</v>
      </c>
      <c r="H101" s="81">
        <v>2480000000</v>
      </c>
      <c r="I101" s="74">
        <v>1.5</v>
      </c>
      <c r="J101" s="88" t="s">
        <v>399</v>
      </c>
      <c r="K101" s="70" t="s">
        <v>426</v>
      </c>
      <c r="L101" s="81">
        <v>52114.285714285717</v>
      </c>
      <c r="M101" s="81">
        <v>2020000000</v>
      </c>
      <c r="N101" s="81">
        <v>118857.14285714287</v>
      </c>
      <c r="O101" s="81">
        <v>460000000</v>
      </c>
      <c r="P101" s="130">
        <v>10.16154457672098</v>
      </c>
      <c r="Q101" s="130">
        <v>7.9454596930153158</v>
      </c>
    </row>
    <row r="102" spans="1:17">
      <c r="A102" s="157"/>
      <c r="B102" s="156"/>
      <c r="C102" s="162"/>
      <c r="D102" s="87">
        <v>44489</v>
      </c>
      <c r="E102" s="88">
        <v>3</v>
      </c>
      <c r="F102" s="89">
        <v>15.5</v>
      </c>
      <c r="G102" s="81">
        <v>6300</v>
      </c>
      <c r="H102" s="81">
        <v>4300000000</v>
      </c>
      <c r="I102" s="74">
        <v>1.5</v>
      </c>
      <c r="J102" s="88" t="s">
        <v>399</v>
      </c>
      <c r="K102" s="70" t="s">
        <v>427</v>
      </c>
      <c r="L102" s="81">
        <v>5600.0000000000009</v>
      </c>
      <c r="M102" s="81">
        <v>3200000000</v>
      </c>
      <c r="N102" s="81">
        <v>700.00000000000011</v>
      </c>
      <c r="O102" s="81">
        <v>1100000000</v>
      </c>
      <c r="P102" s="130">
        <v>12.74947576484438</v>
      </c>
      <c r="Q102" s="130">
        <v>13.722430177269246</v>
      </c>
    </row>
    <row r="103" spans="1:17">
      <c r="A103" s="157"/>
      <c r="B103" s="156"/>
      <c r="C103" s="162"/>
      <c r="D103" s="87">
        <v>44491</v>
      </c>
      <c r="E103" s="88">
        <v>4</v>
      </c>
      <c r="F103" s="89">
        <v>12.13</v>
      </c>
      <c r="G103" s="81">
        <v>25800</v>
      </c>
      <c r="H103" s="81">
        <v>4000000</v>
      </c>
      <c r="I103" s="74">
        <v>0.6</v>
      </c>
      <c r="J103" s="88" t="s">
        <v>399</v>
      </c>
      <c r="K103" s="70" t="s">
        <v>428</v>
      </c>
      <c r="L103" s="81">
        <v>24495</v>
      </c>
      <c r="M103" s="81">
        <v>3699999.9999999995</v>
      </c>
      <c r="N103" s="81">
        <v>1265</v>
      </c>
      <c r="O103" s="81">
        <v>300000</v>
      </c>
      <c r="P103" s="130">
        <v>12.064823614825913</v>
      </c>
      <c r="Q103" s="130">
        <v>13.14946884262716</v>
      </c>
    </row>
    <row r="104" spans="1:17">
      <c r="A104" s="157"/>
      <c r="B104" s="156"/>
      <c r="C104" s="163"/>
      <c r="D104" s="87">
        <v>44496</v>
      </c>
      <c r="E104" s="88">
        <v>5</v>
      </c>
      <c r="F104" s="89">
        <v>15.74</v>
      </c>
      <c r="G104" s="81">
        <v>917</v>
      </c>
      <c r="H104" s="81">
        <v>50000000</v>
      </c>
      <c r="I104" s="74">
        <v>1</v>
      </c>
      <c r="J104" s="88" t="s">
        <v>399</v>
      </c>
      <c r="K104" s="70" t="s">
        <v>429</v>
      </c>
      <c r="L104" s="81">
        <v>808.33333333333326</v>
      </c>
      <c r="M104" s="81">
        <v>46000000</v>
      </c>
      <c r="N104" s="81">
        <v>108.33333333333333</v>
      </c>
      <c r="O104" s="81">
        <v>4000000</v>
      </c>
      <c r="P104" s="130">
        <v>15.796323994140492</v>
      </c>
      <c r="Q104" s="130">
        <v>15.172235162129512</v>
      </c>
    </row>
    <row r="105" spans="1:17">
      <c r="B105" s="88"/>
      <c r="C105" s="88"/>
      <c r="D105" s="87"/>
      <c r="E105" s="88"/>
      <c r="F105" s="89"/>
      <c r="G105" s="81"/>
      <c r="H105" s="81"/>
      <c r="I105" s="74"/>
      <c r="J105" s="88"/>
      <c r="K105" s="113"/>
      <c r="L105" s="74"/>
      <c r="M105" s="74"/>
      <c r="N105" s="74"/>
      <c r="O105" s="74"/>
      <c r="P105" s="74"/>
      <c r="Q105" s="74"/>
    </row>
    <row r="106" spans="1:17">
      <c r="A106" s="157">
        <v>218</v>
      </c>
      <c r="B106" s="157" t="s">
        <v>199</v>
      </c>
      <c r="C106" s="161">
        <v>7.95</v>
      </c>
      <c r="D106" s="87">
        <v>44483</v>
      </c>
      <c r="E106" s="88">
        <v>1</v>
      </c>
      <c r="F106" s="89">
        <v>9.76</v>
      </c>
      <c r="G106" s="81">
        <v>2770</v>
      </c>
      <c r="H106" s="81">
        <v>13000000</v>
      </c>
      <c r="I106" s="74">
        <v>1.25</v>
      </c>
      <c r="J106" s="88" t="s">
        <v>274</v>
      </c>
      <c r="K106" s="113"/>
      <c r="L106" s="74"/>
      <c r="M106" s="74"/>
      <c r="N106" s="74"/>
      <c r="O106" s="74"/>
      <c r="P106" s="74"/>
      <c r="Q106" s="74"/>
    </row>
    <row r="107" spans="1:17">
      <c r="A107" s="157"/>
      <c r="B107" s="157"/>
      <c r="C107" s="162"/>
      <c r="D107" s="87">
        <v>44488</v>
      </c>
      <c r="E107" s="88">
        <v>2</v>
      </c>
      <c r="F107" s="89">
        <v>9.2799999999999994</v>
      </c>
      <c r="G107" s="81">
        <v>8370</v>
      </c>
      <c r="H107" s="81">
        <v>5200000</v>
      </c>
      <c r="I107" s="74">
        <v>1</v>
      </c>
      <c r="J107" s="88" t="s">
        <v>274</v>
      </c>
      <c r="K107" s="113"/>
      <c r="L107" s="74"/>
      <c r="M107" s="74"/>
      <c r="N107" s="74"/>
      <c r="O107" s="74"/>
      <c r="P107" s="74"/>
      <c r="Q107" s="74"/>
    </row>
    <row r="108" spans="1:17">
      <c r="A108" s="157"/>
      <c r="B108" s="157"/>
      <c r="C108" s="162"/>
      <c r="D108" s="87">
        <v>44489</v>
      </c>
      <c r="E108" s="88">
        <v>3</v>
      </c>
      <c r="F108" s="89">
        <v>10.17</v>
      </c>
      <c r="G108" s="81">
        <v>10700</v>
      </c>
      <c r="H108" s="81">
        <v>12300000</v>
      </c>
      <c r="I108" s="74">
        <v>1</v>
      </c>
      <c r="J108" s="88" t="s">
        <v>399</v>
      </c>
      <c r="K108" s="79" t="s">
        <v>430</v>
      </c>
      <c r="L108" s="81">
        <v>95.999999999999972</v>
      </c>
      <c r="M108" s="81">
        <v>600000</v>
      </c>
      <c r="N108" s="81">
        <v>10655.999999999998</v>
      </c>
      <c r="O108" s="81">
        <v>11699999.999999998</v>
      </c>
      <c r="P108" s="130">
        <v>12.609640474436812</v>
      </c>
      <c r="Q108" s="130">
        <v>10.100626826948954</v>
      </c>
    </row>
    <row r="109" spans="1:17">
      <c r="A109" s="157"/>
      <c r="B109" s="157"/>
      <c r="C109" s="162"/>
      <c r="D109" s="87">
        <v>44490</v>
      </c>
      <c r="E109" s="88">
        <v>4</v>
      </c>
      <c r="F109" s="89">
        <v>9.44</v>
      </c>
      <c r="G109" s="81">
        <v>18400</v>
      </c>
      <c r="H109" s="81">
        <v>12800000</v>
      </c>
      <c r="I109" s="74">
        <v>1</v>
      </c>
      <c r="J109" s="88" t="s">
        <v>399</v>
      </c>
      <c r="K109" s="70" t="s">
        <v>431</v>
      </c>
      <c r="L109" s="81">
        <v>959.99999999999977</v>
      </c>
      <c r="M109" s="81">
        <v>2800000</v>
      </c>
      <c r="N109" s="81">
        <v>17471.999999999996</v>
      </c>
      <c r="O109" s="81">
        <v>10000000</v>
      </c>
      <c r="P109" s="130">
        <v>11.510104800885898</v>
      </c>
      <c r="Q109" s="130">
        <v>9.1607395232916851</v>
      </c>
    </row>
    <row r="110" spans="1:17">
      <c r="A110" s="157"/>
      <c r="B110" s="157"/>
      <c r="C110" s="163"/>
      <c r="D110" s="87">
        <v>44491</v>
      </c>
      <c r="E110" s="88">
        <v>5</v>
      </c>
      <c r="F110" s="89">
        <v>10.64</v>
      </c>
      <c r="G110" s="81">
        <v>7510</v>
      </c>
      <c r="H110" s="81">
        <v>12000000</v>
      </c>
      <c r="I110" s="74">
        <v>1</v>
      </c>
      <c r="J110" s="88" t="s">
        <v>399</v>
      </c>
      <c r="K110" s="70" t="s">
        <v>432</v>
      </c>
      <c r="L110" s="81">
        <v>1365</v>
      </c>
      <c r="M110" s="81">
        <v>4200000</v>
      </c>
      <c r="N110" s="81">
        <v>6142.5</v>
      </c>
      <c r="O110" s="81">
        <v>7799999.9999999991</v>
      </c>
      <c r="P110" s="130">
        <v>11.587272661408358</v>
      </c>
      <c r="Q110" s="130">
        <v>10.310432456049533</v>
      </c>
    </row>
    <row r="111" spans="1:17">
      <c r="B111" s="88"/>
      <c r="C111" s="88"/>
      <c r="D111" s="87"/>
      <c r="E111" s="88"/>
      <c r="F111" s="89"/>
      <c r="G111" s="81"/>
      <c r="H111" s="81"/>
      <c r="I111" s="74"/>
      <c r="J111" s="88"/>
      <c r="K111" s="113"/>
      <c r="L111" s="74"/>
      <c r="M111" s="74"/>
      <c r="N111" s="74"/>
      <c r="O111" s="74"/>
      <c r="P111" s="74"/>
      <c r="Q111" s="74"/>
    </row>
    <row r="112" spans="1:17">
      <c r="A112" s="157">
        <v>235</v>
      </c>
      <c r="B112" s="157" t="s">
        <v>200</v>
      </c>
      <c r="C112" s="161">
        <v>5.5</v>
      </c>
      <c r="D112" s="87">
        <v>44483</v>
      </c>
      <c r="E112" s="88">
        <v>1</v>
      </c>
      <c r="F112" s="89">
        <v>5.62</v>
      </c>
      <c r="G112" s="81">
        <v>66.3</v>
      </c>
      <c r="H112" s="81">
        <v>1120000</v>
      </c>
      <c r="I112" s="74">
        <v>2.5</v>
      </c>
      <c r="J112" s="88" t="s">
        <v>274</v>
      </c>
      <c r="K112" s="113" t="s">
        <v>433</v>
      </c>
      <c r="L112" s="74"/>
      <c r="M112" s="74"/>
      <c r="N112" s="74"/>
      <c r="O112" s="74"/>
      <c r="P112" s="74"/>
      <c r="Q112" s="74"/>
    </row>
    <row r="113" spans="1:17">
      <c r="A113" s="157"/>
      <c r="B113" s="157"/>
      <c r="C113" s="162"/>
      <c r="D113" s="87">
        <v>44488</v>
      </c>
      <c r="E113" s="88">
        <v>2</v>
      </c>
      <c r="F113" s="89">
        <v>5.33</v>
      </c>
      <c r="G113" s="81">
        <v>603</v>
      </c>
      <c r="H113" s="81">
        <v>6200000</v>
      </c>
      <c r="I113" s="74">
        <v>2.5</v>
      </c>
      <c r="J113" s="88" t="s">
        <v>274</v>
      </c>
      <c r="K113" s="113" t="s">
        <v>434</v>
      </c>
      <c r="L113" s="74"/>
      <c r="M113" s="74"/>
      <c r="N113" s="74"/>
      <c r="O113" s="74"/>
      <c r="P113" s="74"/>
      <c r="Q113" s="74"/>
    </row>
    <row r="114" spans="1:17">
      <c r="A114" s="157"/>
      <c r="B114" s="157"/>
      <c r="C114" s="162"/>
      <c r="D114" s="87">
        <v>44489</v>
      </c>
      <c r="E114" s="88">
        <v>3</v>
      </c>
      <c r="F114" s="89">
        <v>5.62</v>
      </c>
      <c r="G114" s="81">
        <v>725</v>
      </c>
      <c r="H114" s="81">
        <v>12200000</v>
      </c>
      <c r="I114" s="74">
        <v>2.5</v>
      </c>
      <c r="J114" s="88" t="s">
        <v>274</v>
      </c>
      <c r="K114" s="113" t="s">
        <v>435</v>
      </c>
      <c r="L114" s="74"/>
      <c r="M114" s="74"/>
      <c r="N114" s="74"/>
      <c r="O114" s="74"/>
      <c r="P114" s="74"/>
      <c r="Q114" s="74"/>
    </row>
    <row r="115" spans="1:17">
      <c r="A115" s="157"/>
      <c r="B115" s="157"/>
      <c r="C115" s="162"/>
      <c r="D115" s="87">
        <v>44490</v>
      </c>
      <c r="E115" s="88">
        <v>4</v>
      </c>
      <c r="F115" s="89">
        <v>6.17</v>
      </c>
      <c r="G115" s="81">
        <v>2500</v>
      </c>
      <c r="H115" s="81">
        <v>110000000</v>
      </c>
      <c r="I115" s="74">
        <v>2.5</v>
      </c>
      <c r="J115" s="88" t="s">
        <v>274</v>
      </c>
      <c r="K115" s="118"/>
      <c r="L115" s="74"/>
      <c r="M115" s="74"/>
      <c r="N115" s="74"/>
      <c r="O115" s="74"/>
      <c r="P115" s="74"/>
      <c r="Q115" s="74"/>
    </row>
    <row r="116" spans="1:17">
      <c r="A116" s="157"/>
      <c r="B116" s="157"/>
      <c r="C116" s="163"/>
      <c r="D116" s="87">
        <v>44496</v>
      </c>
      <c r="E116" s="88">
        <v>5</v>
      </c>
      <c r="F116" s="89">
        <v>6.44</v>
      </c>
      <c r="G116" s="81">
        <v>6300</v>
      </c>
      <c r="H116" s="81">
        <v>146000000</v>
      </c>
      <c r="I116" s="74">
        <v>2.5</v>
      </c>
      <c r="J116" s="88" t="s">
        <v>399</v>
      </c>
      <c r="K116" s="79" t="s">
        <v>436</v>
      </c>
      <c r="L116" s="81">
        <v>9</v>
      </c>
      <c r="M116" s="81">
        <v>3000000</v>
      </c>
      <c r="N116" s="81">
        <v>6372.0000000000009</v>
      </c>
      <c r="O116" s="81">
        <v>143000000</v>
      </c>
      <c r="P116" s="130">
        <v>8.1540471416013407</v>
      </c>
      <c r="Q116" s="130">
        <v>6.4239597131454458</v>
      </c>
    </row>
    <row r="117" spans="1:17">
      <c r="L117" s="74"/>
      <c r="M117" s="74"/>
      <c r="N117" s="74"/>
      <c r="O117" s="74"/>
      <c r="P117" s="74"/>
      <c r="Q117" s="74"/>
    </row>
    <row r="118" spans="1:17">
      <c r="A118" s="157">
        <v>44</v>
      </c>
      <c r="B118" s="157" t="s">
        <v>437</v>
      </c>
      <c r="C118" s="161">
        <v>9.9700000000000006</v>
      </c>
      <c r="D118" s="87">
        <v>44488</v>
      </c>
      <c r="E118" s="88">
        <v>1</v>
      </c>
      <c r="F118" s="89">
        <v>9.81</v>
      </c>
      <c r="G118" s="81">
        <v>14900</v>
      </c>
      <c r="H118" s="81">
        <v>13400000</v>
      </c>
      <c r="I118" s="74">
        <v>1</v>
      </c>
      <c r="J118" s="88" t="s">
        <v>274</v>
      </c>
      <c r="K118" s="113"/>
      <c r="L118" s="74"/>
      <c r="M118" s="74"/>
      <c r="N118" s="74"/>
      <c r="O118" s="74"/>
      <c r="P118" s="74"/>
      <c r="Q118" s="74"/>
    </row>
    <row r="119" spans="1:17">
      <c r="A119" s="157"/>
      <c r="B119" s="157"/>
      <c r="C119" s="162"/>
      <c r="D119" s="87">
        <v>44489</v>
      </c>
      <c r="E119" s="88">
        <v>2</v>
      </c>
      <c r="F119" s="89">
        <v>11.55</v>
      </c>
      <c r="G119" s="81">
        <v>12200</v>
      </c>
      <c r="H119" s="81">
        <v>36600000</v>
      </c>
      <c r="I119" s="74">
        <v>1</v>
      </c>
      <c r="J119" s="88" t="s">
        <v>274</v>
      </c>
      <c r="K119" s="113"/>
      <c r="L119" s="74"/>
      <c r="M119" s="74"/>
      <c r="N119" s="74"/>
      <c r="O119" s="74"/>
      <c r="P119" s="74"/>
      <c r="Q119" s="74"/>
    </row>
    <row r="120" spans="1:17">
      <c r="A120" s="157"/>
      <c r="B120" s="157"/>
      <c r="C120" s="162"/>
      <c r="D120" s="87">
        <v>44490</v>
      </c>
      <c r="E120" s="88">
        <v>3</v>
      </c>
      <c r="F120" s="89">
        <v>14.34</v>
      </c>
      <c r="G120" s="81">
        <v>837</v>
      </c>
      <c r="H120" s="81">
        <v>17400000</v>
      </c>
      <c r="I120" s="74">
        <v>1</v>
      </c>
      <c r="J120" s="88" t="s">
        <v>274</v>
      </c>
      <c r="K120" s="79"/>
      <c r="L120" s="74"/>
      <c r="M120" s="74"/>
      <c r="N120" s="74"/>
      <c r="O120" s="74"/>
      <c r="P120" s="74"/>
      <c r="Q120" s="74"/>
    </row>
    <row r="121" spans="1:17">
      <c r="A121" s="157"/>
      <c r="B121" s="157"/>
      <c r="C121" s="162"/>
      <c r="D121" s="87">
        <v>44491</v>
      </c>
      <c r="E121" s="88">
        <v>4</v>
      </c>
      <c r="F121" s="131">
        <v>10.93</v>
      </c>
      <c r="G121" s="81">
        <v>10500</v>
      </c>
      <c r="H121" s="132">
        <v>3100000</v>
      </c>
      <c r="I121" s="74">
        <v>0.75</v>
      </c>
      <c r="J121" s="88" t="s">
        <v>274</v>
      </c>
      <c r="K121" s="79"/>
      <c r="L121" s="74"/>
      <c r="M121" s="74"/>
      <c r="N121" s="74"/>
      <c r="O121" s="74"/>
      <c r="P121" s="74"/>
      <c r="Q121" s="74"/>
    </row>
    <row r="122" spans="1:17">
      <c r="A122" s="157"/>
      <c r="B122" s="157"/>
      <c r="C122" s="163"/>
      <c r="D122" s="87">
        <v>44496</v>
      </c>
      <c r="E122" s="88">
        <v>5</v>
      </c>
      <c r="F122" s="89">
        <v>14.35</v>
      </c>
      <c r="G122" s="81">
        <v>1140</v>
      </c>
      <c r="H122" s="81">
        <v>23800000</v>
      </c>
      <c r="I122" s="74">
        <v>1</v>
      </c>
      <c r="J122" s="88" t="s">
        <v>274</v>
      </c>
      <c r="K122" s="79"/>
      <c r="L122" s="74"/>
      <c r="M122" s="74"/>
      <c r="N122" s="74"/>
      <c r="O122" s="74"/>
      <c r="P122" s="74"/>
      <c r="Q122" s="74"/>
    </row>
    <row r="123" spans="1:17">
      <c r="B123" s="88"/>
      <c r="C123" s="88"/>
      <c r="D123" s="87"/>
      <c r="E123" s="88"/>
      <c r="F123" s="89"/>
      <c r="G123" s="81"/>
      <c r="H123" s="81"/>
      <c r="I123" s="74"/>
      <c r="J123" s="88"/>
      <c r="K123" s="113"/>
      <c r="L123" s="74"/>
      <c r="M123" s="74"/>
      <c r="N123" s="74"/>
      <c r="O123" s="74"/>
      <c r="P123" s="74"/>
      <c r="Q123" s="74"/>
    </row>
    <row r="124" spans="1:17">
      <c r="A124" s="157" t="s">
        <v>122</v>
      </c>
      <c r="B124" s="157" t="s">
        <v>438</v>
      </c>
      <c r="C124" s="161">
        <v>11.35</v>
      </c>
      <c r="D124" s="87">
        <v>44488</v>
      </c>
      <c r="E124" s="88">
        <v>1</v>
      </c>
      <c r="F124" s="89">
        <v>11.37</v>
      </c>
      <c r="G124" s="81">
        <v>16400</v>
      </c>
      <c r="H124" s="81">
        <v>43400000</v>
      </c>
      <c r="I124" s="74">
        <v>1</v>
      </c>
      <c r="J124" s="88" t="s">
        <v>274</v>
      </c>
      <c r="K124" s="113"/>
      <c r="L124" s="74"/>
      <c r="M124" s="74"/>
      <c r="N124" s="74"/>
      <c r="O124" s="74"/>
      <c r="P124" s="74"/>
      <c r="Q124" s="74"/>
    </row>
    <row r="125" spans="1:17">
      <c r="A125" s="157"/>
      <c r="B125" s="157"/>
      <c r="C125" s="162"/>
      <c r="D125" s="87">
        <v>44489</v>
      </c>
      <c r="E125" s="88">
        <v>2</v>
      </c>
      <c r="F125" s="89">
        <v>13.75</v>
      </c>
      <c r="G125" s="81">
        <v>8050</v>
      </c>
      <c r="H125" s="81">
        <v>111000000</v>
      </c>
      <c r="I125" s="74">
        <v>1</v>
      </c>
      <c r="J125" s="88" t="s">
        <v>399</v>
      </c>
      <c r="K125" s="113" t="s">
        <v>439</v>
      </c>
      <c r="L125" s="81">
        <v>115</v>
      </c>
      <c r="M125" s="81">
        <v>11000000</v>
      </c>
      <c r="N125" s="81">
        <v>7935</v>
      </c>
      <c r="O125" s="81">
        <v>100000000</v>
      </c>
      <c r="P125" s="130">
        <v>16.545510137017096</v>
      </c>
      <c r="Q125" s="130">
        <v>13.621410251376354</v>
      </c>
    </row>
    <row r="126" spans="1:17">
      <c r="A126" s="157"/>
      <c r="B126" s="157"/>
      <c r="C126" s="162"/>
      <c r="D126" s="87">
        <v>44490</v>
      </c>
      <c r="E126" s="88">
        <v>3</v>
      </c>
      <c r="F126" s="89">
        <v>13.91</v>
      </c>
      <c r="G126" s="81">
        <v>8100</v>
      </c>
      <c r="H126" s="81">
        <v>11200000</v>
      </c>
      <c r="I126" s="74">
        <v>0.75</v>
      </c>
      <c r="J126" s="88" t="s">
        <v>399</v>
      </c>
      <c r="K126" s="68" t="s">
        <v>440</v>
      </c>
      <c r="L126" s="81">
        <v>1100</v>
      </c>
      <c r="M126" s="81">
        <v>4200000</v>
      </c>
      <c r="N126" s="81">
        <v>7000</v>
      </c>
      <c r="O126" s="81">
        <v>6999999.9999999991</v>
      </c>
      <c r="P126" s="130">
        <v>15.864893451738066</v>
      </c>
      <c r="Q126" s="130">
        <v>13.287712379549451</v>
      </c>
    </row>
    <row r="127" spans="1:17">
      <c r="A127" s="157"/>
      <c r="B127" s="157"/>
      <c r="C127" s="162"/>
      <c r="D127" s="87">
        <v>44491</v>
      </c>
      <c r="E127" s="88">
        <v>4</v>
      </c>
      <c r="F127" s="89">
        <v>17.440000000000001</v>
      </c>
      <c r="G127" s="81">
        <v>11700</v>
      </c>
      <c r="H127" s="81">
        <v>101000000</v>
      </c>
      <c r="I127" s="74">
        <v>0.75</v>
      </c>
      <c r="J127" s="88" t="s">
        <v>399</v>
      </c>
      <c r="K127" s="70" t="s">
        <v>441</v>
      </c>
      <c r="L127" s="81">
        <v>6230</v>
      </c>
      <c r="M127" s="81">
        <v>67000000</v>
      </c>
      <c r="N127" s="81">
        <v>5438.8888888888887</v>
      </c>
      <c r="O127" s="81">
        <v>34000000</v>
      </c>
      <c r="P127" s="130">
        <v>17.856855082494114</v>
      </c>
      <c r="Q127" s="130">
        <v>16.813246896851211</v>
      </c>
    </row>
    <row r="128" spans="1:17">
      <c r="A128" s="157"/>
      <c r="B128" s="157"/>
      <c r="C128" s="163"/>
      <c r="D128" s="87">
        <v>44496</v>
      </c>
      <c r="E128" s="88">
        <v>5</v>
      </c>
      <c r="F128" s="89">
        <v>17.61</v>
      </c>
      <c r="G128" s="81">
        <v>12300</v>
      </c>
      <c r="H128" s="81">
        <v>116000000</v>
      </c>
      <c r="I128" s="74">
        <v>0.75</v>
      </c>
      <c r="J128" s="88" t="s">
        <v>399</v>
      </c>
      <c r="K128" s="68" t="s">
        <v>442</v>
      </c>
      <c r="L128" s="81">
        <v>8910</v>
      </c>
      <c r="M128" s="81">
        <v>92000000</v>
      </c>
      <c r="N128" s="81">
        <v>3366</v>
      </c>
      <c r="O128" s="81">
        <v>24000000</v>
      </c>
      <c r="P128" s="130">
        <v>17.778561078629206</v>
      </c>
      <c r="Q128" s="130">
        <v>17.066282144953842</v>
      </c>
    </row>
    <row r="129" spans="1:17">
      <c r="B129" s="88"/>
      <c r="C129" s="88"/>
      <c r="D129" s="87"/>
      <c r="E129" s="88"/>
      <c r="F129" s="89"/>
      <c r="G129" s="81"/>
      <c r="H129" s="81"/>
      <c r="I129" s="74"/>
      <c r="J129" s="88"/>
      <c r="K129" s="113"/>
      <c r="L129" s="74"/>
      <c r="M129" s="74"/>
      <c r="N129" s="74"/>
      <c r="O129" s="74"/>
      <c r="P129" s="74"/>
      <c r="Q129" s="74"/>
    </row>
    <row r="130" spans="1:17">
      <c r="A130" s="157" t="s">
        <v>124</v>
      </c>
      <c r="B130" s="157" t="s">
        <v>443</v>
      </c>
      <c r="C130" s="161">
        <v>7.72</v>
      </c>
      <c r="D130" s="87">
        <v>44488</v>
      </c>
      <c r="E130" s="88">
        <v>1</v>
      </c>
      <c r="F130" s="89">
        <v>9.2799999999999994</v>
      </c>
      <c r="G130" s="81">
        <v>14400</v>
      </c>
      <c r="H130" s="81">
        <v>223000000</v>
      </c>
      <c r="I130" s="74">
        <v>1.5</v>
      </c>
      <c r="J130" s="88" t="s">
        <v>274</v>
      </c>
      <c r="K130" s="113"/>
      <c r="L130" s="74"/>
      <c r="M130" s="74"/>
      <c r="N130" s="74"/>
      <c r="O130" s="74"/>
      <c r="P130" s="74"/>
      <c r="Q130" s="74"/>
    </row>
    <row r="131" spans="1:17">
      <c r="A131" s="157"/>
      <c r="B131" s="157"/>
      <c r="C131" s="162"/>
      <c r="D131" s="87">
        <v>44489</v>
      </c>
      <c r="E131" s="88">
        <v>2</v>
      </c>
      <c r="F131" s="89">
        <v>9.94</v>
      </c>
      <c r="G131" s="81">
        <v>12200</v>
      </c>
      <c r="H131" s="81">
        <v>67000000</v>
      </c>
      <c r="I131" s="74">
        <v>1.25</v>
      </c>
      <c r="J131" s="88" t="s">
        <v>274</v>
      </c>
      <c r="K131" s="113"/>
      <c r="L131" s="74"/>
      <c r="M131" s="74"/>
      <c r="N131" s="74"/>
      <c r="O131" s="74"/>
      <c r="P131" s="74"/>
      <c r="Q131" s="74"/>
    </row>
    <row r="132" spans="1:17">
      <c r="A132" s="157"/>
      <c r="B132" s="157"/>
      <c r="C132" s="162"/>
      <c r="D132" s="87">
        <v>44490</v>
      </c>
      <c r="E132" s="88">
        <v>3</v>
      </c>
      <c r="F132" s="89">
        <v>10.06</v>
      </c>
      <c r="G132" s="81">
        <v>6630</v>
      </c>
      <c r="H132" s="81">
        <v>7100000</v>
      </c>
      <c r="I132" s="74">
        <v>1</v>
      </c>
      <c r="J132" s="88" t="s">
        <v>274</v>
      </c>
      <c r="K132" s="79"/>
      <c r="L132" s="74"/>
      <c r="M132" s="74"/>
      <c r="N132" s="74"/>
      <c r="O132" s="74"/>
      <c r="P132" s="74"/>
      <c r="Q132" s="74"/>
    </row>
    <row r="133" spans="1:17">
      <c r="A133" s="157"/>
      <c r="B133" s="157"/>
      <c r="C133" s="162"/>
      <c r="D133" s="87">
        <v>44491</v>
      </c>
      <c r="E133" s="88">
        <v>4</v>
      </c>
      <c r="F133" s="89">
        <v>9.15</v>
      </c>
      <c r="G133" s="81">
        <v>8960</v>
      </c>
      <c r="H133" s="81">
        <v>5100000</v>
      </c>
      <c r="I133" s="74">
        <v>1</v>
      </c>
      <c r="J133" s="88" t="s">
        <v>274</v>
      </c>
      <c r="K133" s="118"/>
      <c r="L133" s="74"/>
      <c r="M133" s="74"/>
      <c r="N133" s="74"/>
      <c r="O133" s="74"/>
      <c r="P133" s="74"/>
      <c r="Q133" s="74"/>
    </row>
    <row r="134" spans="1:17">
      <c r="A134" s="157"/>
      <c r="B134" s="157"/>
      <c r="C134" s="163"/>
      <c r="D134" s="87">
        <v>44496</v>
      </c>
      <c r="E134" s="88">
        <v>5</v>
      </c>
      <c r="F134" s="89">
        <v>13.1</v>
      </c>
      <c r="G134" s="81">
        <v>1350</v>
      </c>
      <c r="H134" s="81">
        <v>11900000</v>
      </c>
      <c r="I134" s="74">
        <v>1</v>
      </c>
      <c r="J134" s="133" t="s">
        <v>399</v>
      </c>
      <c r="K134" s="115"/>
      <c r="L134" s="74"/>
      <c r="M134" s="74"/>
      <c r="N134" s="74"/>
      <c r="O134" s="74"/>
      <c r="P134" s="74"/>
      <c r="Q134" s="74"/>
    </row>
    <row r="135" spans="1:17">
      <c r="L135" s="74"/>
      <c r="M135" s="74"/>
      <c r="N135" s="74"/>
      <c r="O135" s="74"/>
      <c r="P135" s="74"/>
      <c r="Q135" s="74"/>
    </row>
    <row r="136" spans="1:17">
      <c r="A136" s="157" t="s">
        <v>126</v>
      </c>
      <c r="B136" s="157" t="s">
        <v>444</v>
      </c>
      <c r="C136" s="161">
        <v>6.41</v>
      </c>
      <c r="D136" s="87">
        <v>44488</v>
      </c>
      <c r="E136" s="88">
        <v>1</v>
      </c>
      <c r="F136" s="89">
        <v>7.76</v>
      </c>
      <c r="G136" s="81">
        <v>14600</v>
      </c>
      <c r="H136" s="81">
        <v>179000000</v>
      </c>
      <c r="I136" s="74">
        <v>1.75</v>
      </c>
      <c r="J136" s="88" t="s">
        <v>399</v>
      </c>
      <c r="K136" s="70" t="s">
        <v>445</v>
      </c>
      <c r="L136" s="81">
        <v>104</v>
      </c>
      <c r="M136" s="81">
        <v>6000000</v>
      </c>
      <c r="N136" s="81">
        <v>14455.999999999996</v>
      </c>
      <c r="O136" s="81">
        <v>173000000</v>
      </c>
      <c r="P136" s="130">
        <v>9.0377664868024219</v>
      </c>
      <c r="Q136" s="130">
        <v>7.7410377177693137</v>
      </c>
    </row>
    <row r="137" spans="1:17">
      <c r="A137" s="157"/>
      <c r="B137" s="157"/>
      <c r="C137" s="162"/>
      <c r="D137" s="87">
        <v>44489</v>
      </c>
      <c r="E137" s="88">
        <v>2</v>
      </c>
      <c r="F137" s="89">
        <v>9.94</v>
      </c>
      <c r="G137" s="81">
        <v>8490</v>
      </c>
      <c r="H137" s="81">
        <v>261000000</v>
      </c>
      <c r="I137" s="74">
        <v>1.5</v>
      </c>
      <c r="J137" s="88"/>
      <c r="K137" s="75" t="s">
        <v>358</v>
      </c>
      <c r="L137" s="74"/>
      <c r="M137" s="74"/>
      <c r="N137" s="74"/>
      <c r="O137" s="74"/>
      <c r="P137" s="74"/>
      <c r="Q137" s="74"/>
    </row>
    <row r="138" spans="1:17">
      <c r="A138" s="157"/>
      <c r="B138" s="157"/>
      <c r="C138" s="162"/>
      <c r="D138" s="87">
        <v>44490</v>
      </c>
      <c r="E138" s="88">
        <v>3</v>
      </c>
      <c r="F138" s="89">
        <v>12.45</v>
      </c>
      <c r="G138" s="81">
        <v>10900</v>
      </c>
      <c r="H138" s="81">
        <v>61000000</v>
      </c>
      <c r="I138" s="74">
        <v>1</v>
      </c>
      <c r="J138" s="88" t="s">
        <v>399</v>
      </c>
      <c r="K138" s="70" t="s">
        <v>446</v>
      </c>
      <c r="L138" s="81">
        <v>7030</v>
      </c>
      <c r="M138" s="81">
        <v>51000000</v>
      </c>
      <c r="N138" s="81">
        <v>3895</v>
      </c>
      <c r="O138" s="81">
        <v>10000000</v>
      </c>
      <c r="P138" s="130">
        <v>12.824684937335771</v>
      </c>
      <c r="Q138" s="130">
        <v>11.326089051262505</v>
      </c>
    </row>
    <row r="139" spans="1:17">
      <c r="A139" s="157"/>
      <c r="B139" s="157"/>
      <c r="C139" s="162"/>
      <c r="D139" s="87">
        <v>44491</v>
      </c>
      <c r="E139" s="88">
        <v>4</v>
      </c>
      <c r="F139" s="89">
        <v>13.17</v>
      </c>
      <c r="G139" s="81">
        <v>8770</v>
      </c>
      <c r="H139" s="81">
        <v>81000000</v>
      </c>
      <c r="I139" s="74">
        <v>1</v>
      </c>
      <c r="J139" s="88" t="s">
        <v>399</v>
      </c>
      <c r="K139" s="70" t="s">
        <v>447</v>
      </c>
      <c r="L139" s="81">
        <v>7462</v>
      </c>
      <c r="M139" s="81">
        <v>71000000</v>
      </c>
      <c r="N139" s="81">
        <v>1312</v>
      </c>
      <c r="O139" s="81">
        <v>10000000</v>
      </c>
      <c r="P139" s="130">
        <v>13.215969044012077</v>
      </c>
      <c r="Q139" s="130">
        <v>12.895944659593452</v>
      </c>
    </row>
    <row r="140" spans="1:17">
      <c r="A140" s="157"/>
      <c r="B140" s="157"/>
      <c r="C140" s="163"/>
      <c r="D140" s="87">
        <v>44496</v>
      </c>
      <c r="E140" s="88">
        <v>5</v>
      </c>
      <c r="F140" s="89">
        <v>13.01</v>
      </c>
      <c r="G140" s="81">
        <v>10100</v>
      </c>
      <c r="H140" s="81">
        <v>8800000</v>
      </c>
      <c r="I140" s="74">
        <v>0.75</v>
      </c>
      <c r="J140" s="88" t="s">
        <v>399</v>
      </c>
      <c r="K140" s="68" t="s">
        <v>448</v>
      </c>
      <c r="L140" s="81">
        <v>3075</v>
      </c>
      <c r="M140" s="81">
        <v>5200000</v>
      </c>
      <c r="N140" s="81">
        <v>7072.5</v>
      </c>
      <c r="O140" s="81">
        <v>3599999.9999999995</v>
      </c>
      <c r="P140" s="130">
        <v>14.298279329951921</v>
      </c>
      <c r="Q140" s="130">
        <v>11.988747892794013</v>
      </c>
    </row>
  </sheetData>
  <mergeCells count="69">
    <mergeCell ref="A130:A134"/>
    <mergeCell ref="B130:B134"/>
    <mergeCell ref="C130:C134"/>
    <mergeCell ref="A136:A140"/>
    <mergeCell ref="B136:B140"/>
    <mergeCell ref="C136:C140"/>
    <mergeCell ref="A118:A122"/>
    <mergeCell ref="B118:B122"/>
    <mergeCell ref="C118:C122"/>
    <mergeCell ref="A124:A128"/>
    <mergeCell ref="B124:B128"/>
    <mergeCell ref="C124:C128"/>
    <mergeCell ref="A106:A110"/>
    <mergeCell ref="B106:B110"/>
    <mergeCell ref="C106:C110"/>
    <mergeCell ref="A112:A116"/>
    <mergeCell ref="B112:B116"/>
    <mergeCell ref="C112:C116"/>
    <mergeCell ref="A94:A98"/>
    <mergeCell ref="B94:B98"/>
    <mergeCell ref="C94:C98"/>
    <mergeCell ref="A100:A104"/>
    <mergeCell ref="B100:B104"/>
    <mergeCell ref="C100:C104"/>
    <mergeCell ref="A82:A86"/>
    <mergeCell ref="B82:B86"/>
    <mergeCell ref="C82:C86"/>
    <mergeCell ref="A88:A92"/>
    <mergeCell ref="B88:B92"/>
    <mergeCell ref="C88:C92"/>
    <mergeCell ref="A69:A73"/>
    <mergeCell ref="B69:B73"/>
    <mergeCell ref="C69:C73"/>
    <mergeCell ref="A75:A79"/>
    <mergeCell ref="B75:B79"/>
    <mergeCell ref="C75:C79"/>
    <mergeCell ref="A57:A61"/>
    <mergeCell ref="B57:B61"/>
    <mergeCell ref="C57:C61"/>
    <mergeCell ref="A63:A67"/>
    <mergeCell ref="B63:B67"/>
    <mergeCell ref="C63:C67"/>
    <mergeCell ref="A45:A49"/>
    <mergeCell ref="B45:B49"/>
    <mergeCell ref="C45:C49"/>
    <mergeCell ref="A51:A55"/>
    <mergeCell ref="B51:B55"/>
    <mergeCell ref="C51:C55"/>
    <mergeCell ref="A39:A43"/>
    <mergeCell ref="B39:B43"/>
    <mergeCell ref="C39:C43"/>
    <mergeCell ref="C26:C30"/>
    <mergeCell ref="C32:C36"/>
    <mergeCell ref="B26:B30"/>
    <mergeCell ref="B32:B36"/>
    <mergeCell ref="A32:A36"/>
    <mergeCell ref="A2:A6"/>
    <mergeCell ref="A8:A12"/>
    <mergeCell ref="A14:A18"/>
    <mergeCell ref="A20:A24"/>
    <mergeCell ref="A26:A30"/>
    <mergeCell ref="B2:B6"/>
    <mergeCell ref="B8:B12"/>
    <mergeCell ref="B14:B18"/>
    <mergeCell ref="B20:B24"/>
    <mergeCell ref="C2:C6"/>
    <mergeCell ref="C8:C12"/>
    <mergeCell ref="C14:C18"/>
    <mergeCell ref="C20:C24"/>
  </mergeCells>
  <phoneticPr fontId="3" type="noConversion"/>
  <pageMargins left="0.7" right="0.7" top="0.75" bottom="0.75" header="0.3" footer="0.3"/>
  <pageSetup scale="24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79E18-F47B-4708-A5C7-7A68C34218E4}">
  <dimension ref="A1:I28"/>
  <sheetViews>
    <sheetView tabSelected="1" topLeftCell="A10" workbookViewId="0">
      <selection activeCell="E27" sqref="E27"/>
    </sheetView>
  </sheetViews>
  <sheetFormatPr defaultRowHeight="14.45"/>
  <cols>
    <col min="2" max="2" width="18.7109375" customWidth="1"/>
    <col min="3" max="7" width="9.7109375" customWidth="1"/>
    <col min="8" max="8" width="10.7109375" customWidth="1"/>
    <col min="9" max="9" width="9.7109375" customWidth="1"/>
  </cols>
  <sheetData>
    <row r="1" spans="1:9" ht="63.75">
      <c r="A1" s="137" t="s">
        <v>0</v>
      </c>
      <c r="B1" s="137" t="s">
        <v>1</v>
      </c>
      <c r="C1" s="138" t="s">
        <v>449</v>
      </c>
      <c r="D1" s="168" t="s">
        <v>450</v>
      </c>
      <c r="E1" s="138" t="s">
        <v>451</v>
      </c>
      <c r="F1" s="136" t="s">
        <v>452</v>
      </c>
      <c r="G1" s="136" t="s">
        <v>453</v>
      </c>
      <c r="H1" s="139" t="s">
        <v>454</v>
      </c>
      <c r="I1" s="136" t="s">
        <v>455</v>
      </c>
    </row>
    <row r="2" spans="1:9" ht="15.75">
      <c r="A2" s="40">
        <v>41</v>
      </c>
      <c r="B2" s="140" t="s">
        <v>86</v>
      </c>
      <c r="C2" s="166" t="s">
        <v>38</v>
      </c>
      <c r="D2" s="164">
        <v>16.62</v>
      </c>
      <c r="E2" s="89">
        <v>18.87</v>
      </c>
      <c r="F2" s="51" t="s">
        <v>399</v>
      </c>
      <c r="G2" s="51" t="s">
        <v>274</v>
      </c>
      <c r="H2" s="51"/>
      <c r="I2" s="51" t="s">
        <v>38</v>
      </c>
    </row>
    <row r="3" spans="1:9" ht="15.75">
      <c r="A3" s="40">
        <v>51</v>
      </c>
      <c r="B3" s="140" t="s">
        <v>88</v>
      </c>
      <c r="C3" s="166" t="s">
        <v>38</v>
      </c>
      <c r="D3" s="164">
        <v>14.47</v>
      </c>
      <c r="E3" s="89">
        <v>22.01</v>
      </c>
      <c r="F3" s="51" t="s">
        <v>399</v>
      </c>
      <c r="G3" s="51" t="s">
        <v>274</v>
      </c>
      <c r="H3" s="51"/>
      <c r="I3" s="51" t="s">
        <v>38</v>
      </c>
    </row>
    <row r="4" spans="1:9" ht="15.75">
      <c r="A4" s="40" t="s">
        <v>90</v>
      </c>
      <c r="B4" s="140" t="s">
        <v>91</v>
      </c>
      <c r="C4" s="166" t="s">
        <v>38</v>
      </c>
      <c r="D4" s="164">
        <v>16.43</v>
      </c>
      <c r="E4" s="89">
        <v>22.07</v>
      </c>
      <c r="F4" s="51" t="s">
        <v>399</v>
      </c>
      <c r="G4" s="51" t="s">
        <v>399</v>
      </c>
      <c r="H4" s="51">
        <v>1</v>
      </c>
      <c r="I4" s="51" t="s">
        <v>38</v>
      </c>
    </row>
    <row r="5" spans="1:9" ht="15.75">
      <c r="A5" s="40">
        <v>213</v>
      </c>
      <c r="B5" s="140" t="s">
        <v>93</v>
      </c>
      <c r="C5" s="166" t="s">
        <v>38</v>
      </c>
      <c r="D5" s="164">
        <v>5.080000000000001</v>
      </c>
      <c r="E5" s="89">
        <v>13.24</v>
      </c>
      <c r="F5" s="51" t="s">
        <v>399</v>
      </c>
      <c r="G5" s="51" t="s">
        <v>399</v>
      </c>
      <c r="H5" s="51">
        <v>1</v>
      </c>
      <c r="I5" s="51" t="s">
        <v>38</v>
      </c>
    </row>
    <row r="6" spans="1:9" ht="15.75">
      <c r="A6" s="40">
        <v>216</v>
      </c>
      <c r="B6" s="140" t="s">
        <v>95</v>
      </c>
      <c r="C6" s="166" t="s">
        <v>38</v>
      </c>
      <c r="D6" s="164">
        <v>9.2733333333333334</v>
      </c>
      <c r="E6" s="89">
        <v>15.38</v>
      </c>
      <c r="F6" s="51" t="s">
        <v>399</v>
      </c>
      <c r="G6" s="51" t="s">
        <v>399</v>
      </c>
      <c r="H6" s="51">
        <v>2</v>
      </c>
      <c r="I6" s="51" t="s">
        <v>38</v>
      </c>
    </row>
    <row r="7" spans="1:9" ht="15.75">
      <c r="A7" s="40">
        <v>233</v>
      </c>
      <c r="B7" s="140" t="s">
        <v>96</v>
      </c>
      <c r="C7" s="166" t="s">
        <v>38</v>
      </c>
      <c r="D7" s="170">
        <v>6.1433333333333335</v>
      </c>
      <c r="E7" s="89">
        <v>12.32</v>
      </c>
      <c r="F7" s="51" t="s">
        <v>399</v>
      </c>
      <c r="G7" s="51" t="s">
        <v>399</v>
      </c>
      <c r="H7" s="51">
        <v>1</v>
      </c>
      <c r="I7" s="51" t="s">
        <v>38</v>
      </c>
    </row>
    <row r="8" spans="1:9" ht="15.75">
      <c r="A8" s="40">
        <v>236</v>
      </c>
      <c r="B8" s="140" t="s">
        <v>94</v>
      </c>
      <c r="C8" s="166" t="s">
        <v>38</v>
      </c>
      <c r="D8" s="172">
        <v>3.99</v>
      </c>
      <c r="E8" s="169">
        <v>11.25</v>
      </c>
      <c r="F8" s="51" t="s">
        <v>399</v>
      </c>
      <c r="G8" s="51" t="s">
        <v>399</v>
      </c>
      <c r="H8" s="51">
        <v>3</v>
      </c>
      <c r="I8" s="51" t="s">
        <v>38</v>
      </c>
    </row>
    <row r="9" spans="1:9" ht="15.75">
      <c r="A9" s="40">
        <v>45</v>
      </c>
      <c r="B9" s="140" t="s">
        <v>97</v>
      </c>
      <c r="C9" s="166" t="s">
        <v>38</v>
      </c>
      <c r="D9" s="171">
        <v>13.66</v>
      </c>
      <c r="E9" s="89">
        <v>13.91</v>
      </c>
      <c r="F9" s="51" t="s">
        <v>274</v>
      </c>
      <c r="G9" s="51" t="s">
        <v>274</v>
      </c>
      <c r="H9" s="51"/>
      <c r="I9" s="51" t="s">
        <v>38</v>
      </c>
    </row>
    <row r="10" spans="1:9" ht="15.75">
      <c r="A10" s="40">
        <v>52</v>
      </c>
      <c r="B10" s="140" t="s">
        <v>99</v>
      </c>
      <c r="C10" s="166" t="s">
        <v>38</v>
      </c>
      <c r="D10" s="164">
        <v>15.64</v>
      </c>
      <c r="E10" s="89">
        <v>16.100000000000001</v>
      </c>
      <c r="F10" s="51" t="s">
        <v>274</v>
      </c>
      <c r="G10" s="51" t="s">
        <v>274</v>
      </c>
      <c r="H10" s="51"/>
      <c r="I10" s="51" t="s">
        <v>38</v>
      </c>
    </row>
    <row r="11" spans="1:9" ht="15.75">
      <c r="A11" s="40" t="s">
        <v>101</v>
      </c>
      <c r="B11" s="140" t="s">
        <v>102</v>
      </c>
      <c r="C11" s="166" t="s">
        <v>38</v>
      </c>
      <c r="D11" s="164">
        <v>18.170000000000002</v>
      </c>
      <c r="E11" s="89">
        <v>22.07</v>
      </c>
      <c r="F11" s="51" t="s">
        <v>399</v>
      </c>
      <c r="G11" s="51" t="s">
        <v>274</v>
      </c>
      <c r="H11" s="51"/>
      <c r="I11" s="51" t="s">
        <v>38</v>
      </c>
    </row>
    <row r="12" spans="1:9" ht="15.75">
      <c r="A12" s="40">
        <v>214</v>
      </c>
      <c r="B12" s="140" t="s">
        <v>104</v>
      </c>
      <c r="C12" s="166" t="s">
        <v>38</v>
      </c>
      <c r="D12" s="164">
        <v>4.2233333333333336</v>
      </c>
      <c r="E12" s="89">
        <v>12.08</v>
      </c>
      <c r="F12" s="51" t="s">
        <v>399</v>
      </c>
      <c r="G12" s="51" t="s">
        <v>399</v>
      </c>
      <c r="H12" s="51">
        <v>3</v>
      </c>
      <c r="I12" s="51" t="s">
        <v>38</v>
      </c>
    </row>
    <row r="13" spans="1:9" ht="15.75">
      <c r="A13" s="141">
        <v>237</v>
      </c>
      <c r="B13" s="142" t="s">
        <v>105</v>
      </c>
      <c r="C13" s="166"/>
      <c r="D13" s="165"/>
      <c r="E13" s="167"/>
      <c r="F13" s="51"/>
      <c r="G13" s="51"/>
      <c r="H13" s="51"/>
      <c r="I13" s="51"/>
    </row>
    <row r="14" spans="1:9" ht="15.75">
      <c r="A14" s="40">
        <v>217</v>
      </c>
      <c r="B14" s="140" t="s">
        <v>107</v>
      </c>
      <c r="C14" s="166" t="s">
        <v>38</v>
      </c>
      <c r="D14" s="164">
        <v>7.9333333333333336</v>
      </c>
      <c r="E14" s="89">
        <v>10.29</v>
      </c>
      <c r="F14" s="51" t="s">
        <v>399</v>
      </c>
      <c r="G14" s="51" t="s">
        <v>274</v>
      </c>
      <c r="H14" s="51"/>
      <c r="I14" s="51" t="s">
        <v>38</v>
      </c>
    </row>
    <row r="15" spans="1:9" ht="15.75">
      <c r="A15" s="40">
        <v>234</v>
      </c>
      <c r="B15" s="140" t="s">
        <v>108</v>
      </c>
      <c r="C15" s="166" t="s">
        <v>38</v>
      </c>
      <c r="D15" s="164">
        <v>8.2900000000000009</v>
      </c>
      <c r="E15" s="89">
        <v>12.21</v>
      </c>
      <c r="F15" s="51" t="s">
        <v>399</v>
      </c>
      <c r="G15" s="51" t="s">
        <v>399</v>
      </c>
      <c r="H15" s="51">
        <v>3</v>
      </c>
      <c r="I15" s="51" t="s">
        <v>38</v>
      </c>
    </row>
    <row r="16" spans="1:9" ht="15.75">
      <c r="A16" s="40">
        <v>42</v>
      </c>
      <c r="B16" s="140" t="s">
        <v>109</v>
      </c>
      <c r="C16" s="166" t="s">
        <v>38</v>
      </c>
      <c r="D16" s="164">
        <v>16.989999999999998</v>
      </c>
      <c r="E16" s="89">
        <v>18.48</v>
      </c>
      <c r="F16" s="51" t="s">
        <v>399</v>
      </c>
      <c r="G16" s="51" t="s">
        <v>274</v>
      </c>
      <c r="H16" s="51"/>
      <c r="I16" s="51" t="s">
        <v>38</v>
      </c>
    </row>
    <row r="17" spans="1:9" ht="15.75">
      <c r="A17" s="40">
        <v>55</v>
      </c>
      <c r="B17" s="140" t="s">
        <v>111</v>
      </c>
      <c r="C17" s="166" t="s">
        <v>38</v>
      </c>
      <c r="D17" s="164">
        <v>12.07</v>
      </c>
      <c r="E17" s="89">
        <v>21.5</v>
      </c>
      <c r="F17" s="51" t="s">
        <v>399</v>
      </c>
      <c r="G17" s="51" t="s">
        <v>399</v>
      </c>
      <c r="H17" s="51">
        <v>2</v>
      </c>
      <c r="I17" s="51" t="s">
        <v>38</v>
      </c>
    </row>
    <row r="18" spans="1:9" ht="15.75">
      <c r="A18" s="40" t="s">
        <v>113</v>
      </c>
      <c r="B18" s="140" t="s">
        <v>114</v>
      </c>
      <c r="C18" s="166" t="s">
        <v>38</v>
      </c>
      <c r="D18" s="164">
        <v>16.7</v>
      </c>
      <c r="E18" s="89">
        <v>17.600000000000001</v>
      </c>
      <c r="F18" s="51" t="s">
        <v>274</v>
      </c>
      <c r="G18" s="51" t="s">
        <v>274</v>
      </c>
      <c r="H18" s="51"/>
      <c r="I18" s="51" t="s">
        <v>38</v>
      </c>
    </row>
    <row r="19" spans="1:9" ht="15.75">
      <c r="A19" s="40">
        <v>215</v>
      </c>
      <c r="B19" s="140" t="s">
        <v>116</v>
      </c>
      <c r="C19" s="166" t="s">
        <v>38</v>
      </c>
      <c r="D19" s="164">
        <v>3.77</v>
      </c>
      <c r="E19" s="89">
        <v>15.74</v>
      </c>
      <c r="F19" s="51" t="s">
        <v>399</v>
      </c>
      <c r="G19" s="51" t="s">
        <v>399</v>
      </c>
      <c r="H19" s="51">
        <v>1</v>
      </c>
      <c r="I19" s="51" t="s">
        <v>38</v>
      </c>
    </row>
    <row r="20" spans="1:9" ht="15.75">
      <c r="A20" s="141">
        <v>238</v>
      </c>
      <c r="B20" s="142" t="s">
        <v>117</v>
      </c>
      <c r="C20" s="166"/>
      <c r="D20" s="165"/>
      <c r="E20" s="167"/>
      <c r="F20" s="51"/>
      <c r="G20" s="51"/>
      <c r="H20" s="51"/>
      <c r="I20" s="51"/>
    </row>
    <row r="21" spans="1:9" ht="15.75">
      <c r="A21" s="40">
        <v>218</v>
      </c>
      <c r="B21" s="140" t="s">
        <v>118</v>
      </c>
      <c r="C21" s="166" t="s">
        <v>38</v>
      </c>
      <c r="D21" s="164">
        <v>7.9533333333333331</v>
      </c>
      <c r="E21" s="89">
        <v>10.64</v>
      </c>
      <c r="F21" s="51" t="s">
        <v>399</v>
      </c>
      <c r="G21" s="51" t="s">
        <v>399</v>
      </c>
      <c r="H21" s="51">
        <v>3</v>
      </c>
      <c r="I21" s="51" t="s">
        <v>38</v>
      </c>
    </row>
    <row r="22" spans="1:9" ht="15.75">
      <c r="A22" s="40">
        <v>235</v>
      </c>
      <c r="B22" s="140" t="s">
        <v>119</v>
      </c>
      <c r="C22" s="166" t="s">
        <v>38</v>
      </c>
      <c r="D22" s="164">
        <v>5.5</v>
      </c>
      <c r="E22" s="89">
        <v>6.44</v>
      </c>
      <c r="F22" s="51" t="s">
        <v>274</v>
      </c>
      <c r="G22" s="51" t="s">
        <v>399</v>
      </c>
      <c r="H22" s="51">
        <v>5</v>
      </c>
      <c r="I22" s="51" t="s">
        <v>38</v>
      </c>
    </row>
    <row r="23" spans="1:9" ht="15.75">
      <c r="A23" s="40"/>
      <c r="B23" s="140"/>
      <c r="C23" s="166"/>
      <c r="D23" s="164"/>
      <c r="E23" s="167"/>
      <c r="F23" s="51"/>
      <c r="G23" s="51"/>
      <c r="H23" s="51"/>
      <c r="I23" s="51"/>
    </row>
    <row r="24" spans="1:9" ht="15">
      <c r="A24" s="40">
        <v>44</v>
      </c>
      <c r="B24" s="1" t="s">
        <v>121</v>
      </c>
      <c r="C24" s="166" t="s">
        <v>38</v>
      </c>
      <c r="D24" s="164">
        <v>9.9700000000000006</v>
      </c>
      <c r="E24" s="89">
        <v>14.35</v>
      </c>
      <c r="F24" s="51" t="s">
        <v>399</v>
      </c>
      <c r="G24" s="51" t="s">
        <v>274</v>
      </c>
      <c r="H24" s="51"/>
      <c r="I24" s="51" t="s">
        <v>38</v>
      </c>
    </row>
    <row r="25" spans="1:9" ht="15">
      <c r="A25" s="1" t="s">
        <v>122</v>
      </c>
      <c r="B25" s="1" t="s">
        <v>123</v>
      </c>
      <c r="C25" s="166" t="s">
        <v>38</v>
      </c>
      <c r="D25" s="164">
        <v>11.35</v>
      </c>
      <c r="E25" s="89">
        <v>17.61</v>
      </c>
      <c r="F25" s="51" t="s">
        <v>399</v>
      </c>
      <c r="G25" s="51" t="s">
        <v>399</v>
      </c>
      <c r="H25" s="51">
        <v>2</v>
      </c>
      <c r="I25" s="51" t="s">
        <v>38</v>
      </c>
    </row>
    <row r="26" spans="1:9" ht="15">
      <c r="A26" s="1" t="s">
        <v>124</v>
      </c>
      <c r="B26" s="1" t="s">
        <v>125</v>
      </c>
      <c r="C26" s="166" t="s">
        <v>38</v>
      </c>
      <c r="D26" s="164">
        <v>7.72</v>
      </c>
      <c r="E26" s="89">
        <v>13.1</v>
      </c>
      <c r="F26" s="51" t="s">
        <v>399</v>
      </c>
      <c r="G26" s="51" t="s">
        <v>399</v>
      </c>
      <c r="H26" s="51">
        <v>5</v>
      </c>
      <c r="I26" s="51" t="s">
        <v>38</v>
      </c>
    </row>
    <row r="27" spans="1:9" ht="15">
      <c r="A27" s="1" t="s">
        <v>126</v>
      </c>
      <c r="B27" s="1" t="s">
        <v>127</v>
      </c>
      <c r="C27" s="166" t="s">
        <v>38</v>
      </c>
      <c r="D27" s="164">
        <v>6.41</v>
      </c>
      <c r="E27" s="89">
        <v>13.01</v>
      </c>
      <c r="F27" s="51" t="s">
        <v>399</v>
      </c>
      <c r="G27" s="51" t="s">
        <v>399</v>
      </c>
      <c r="H27" s="51">
        <v>1</v>
      </c>
      <c r="I27" s="51" t="s">
        <v>38</v>
      </c>
    </row>
    <row r="28" spans="1:9" ht="15"/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Scott, Luann (lscott@uidaho.edu)</dc:creator>
  <cp:keywords/>
  <dc:description/>
  <cp:lastModifiedBy>LuAnn Scott</cp:lastModifiedBy>
  <cp:revision/>
  <dcterms:created xsi:type="dcterms:W3CDTF">2021-05-10T20:00:26Z</dcterms:created>
  <dcterms:modified xsi:type="dcterms:W3CDTF">2021-11-08T23:40:50Z</dcterms:modified>
  <cp:category/>
  <cp:contentStatus/>
</cp:coreProperties>
</file>