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dalsuidaho-my.sharepoint.com/personal/ealtman_uidaho_edu/Documents/"/>
    </mc:Choice>
  </mc:AlternateContent>
  <xr:revisionPtr revIDLastSave="4758" documentId="8_{29DFF2CF-EB16-4573-851A-602CC18D96CE}" xr6:coauthVersionLast="47" xr6:coauthVersionMax="47" xr10:uidLastSave="{1BBF5233-E345-4658-B6F8-35FFF431CC84}"/>
  <bookViews>
    <workbookView xWindow="0" yWindow="30" windowWidth="20460" windowHeight="10890" firstSheet="6" xr2:uid="{29DDCCC5-60BF-4408-B893-D4C15612E557}"/>
  </bookViews>
  <sheets>
    <sheet name="titers" sheetId="1" r:id="rId1"/>
    <sheet name="INFO for Powerpoint data" sheetId="12" r:id="rId2"/>
    <sheet name="Sheet1" sheetId="6" r:id="rId3"/>
    <sheet name="Passaging Prep" sheetId="5" r:id="rId4"/>
    <sheet name="Plaque Counts Titer" sheetId="11" r:id="rId5"/>
    <sheet name="Passaging" sheetId="2" r:id="rId6"/>
    <sheet name="Organized passages" sheetId="8" r:id="rId7"/>
    <sheet name="PCR Prep" sheetId="9" r:id="rId8"/>
    <sheet name="Phage sequencing reaction Prep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4" i="2" l="1"/>
  <c r="AK43" i="8"/>
  <c r="AL43" i="8"/>
  <c r="AJ43" i="8"/>
  <c r="AI43" i="8"/>
  <c r="N43" i="8"/>
  <c r="M43" i="8"/>
  <c r="L43" i="8"/>
  <c r="AK42" i="8"/>
  <c r="AI38" i="8"/>
  <c r="AK10" i="8"/>
  <c r="G21" i="11"/>
  <c r="H21" i="11" s="1"/>
  <c r="G20" i="11"/>
  <c r="G19" i="11"/>
  <c r="G18" i="11"/>
  <c r="G17" i="11"/>
  <c r="H17" i="11"/>
  <c r="H18" i="11"/>
  <c r="H19" i="11"/>
  <c r="H20" i="11"/>
  <c r="G10" i="11"/>
  <c r="H10" i="11" s="1"/>
  <c r="AE20" i="2"/>
  <c r="G15" i="11"/>
  <c r="H15" i="11" s="1"/>
  <c r="G13" i="11"/>
  <c r="H13" i="11" s="1"/>
  <c r="G12" i="11"/>
  <c r="H12" i="11" s="1"/>
  <c r="G11" i="11"/>
  <c r="H11" i="11" s="1"/>
  <c r="G16" i="11"/>
  <c r="H16" i="11" s="1"/>
  <c r="G14" i="11"/>
  <c r="H14" i="11" s="1"/>
  <c r="B5" i="10"/>
  <c r="C5" i="10"/>
  <c r="D5" i="10"/>
  <c r="AD42" i="2"/>
  <c r="AE42" i="2" s="1"/>
  <c r="AJ41" i="8"/>
  <c r="AI41" i="8"/>
  <c r="N41" i="8"/>
  <c r="AJ28" i="8"/>
  <c r="AI28" i="8"/>
  <c r="AJ12" i="8"/>
  <c r="AJ40" i="8"/>
  <c r="AJ46" i="8"/>
  <c r="AJ49" i="8"/>
  <c r="AJ44" i="8"/>
  <c r="AI44" i="8"/>
  <c r="AJ42" i="8"/>
  <c r="AI42" i="8"/>
  <c r="M42" i="8"/>
  <c r="AD45" i="2"/>
  <c r="AJ37" i="8"/>
  <c r="AI37" i="8"/>
  <c r="AD37" i="2"/>
  <c r="AJ32" i="8"/>
  <c r="AI32" i="8"/>
  <c r="N26" i="8"/>
  <c r="N12" i="8"/>
  <c r="M12" i="8"/>
  <c r="L12" i="8"/>
  <c r="AI29" i="8"/>
  <c r="AI30" i="8"/>
  <c r="AI35" i="8"/>
  <c r="AI36" i="8"/>
  <c r="AJ35" i="8"/>
  <c r="AI47" i="8"/>
  <c r="AI50" i="8"/>
  <c r="AJ50" i="8"/>
  <c r="AI49" i="8"/>
  <c r="L49" i="8"/>
  <c r="AJ48" i="8"/>
  <c r="AI48" i="8"/>
  <c r="AJ47" i="8"/>
  <c r="AI46" i="8"/>
  <c r="N46" i="8"/>
  <c r="N47" i="8"/>
  <c r="N48" i="8"/>
  <c r="N49" i="8"/>
  <c r="AL49" i="8" s="1"/>
  <c r="N50" i="8"/>
  <c r="M46" i="8"/>
  <c r="M47" i="8"/>
  <c r="M48" i="8"/>
  <c r="M49" i="8"/>
  <c r="M50" i="8"/>
  <c r="M40" i="8"/>
  <c r="L46" i="8"/>
  <c r="L47" i="8"/>
  <c r="L48" i="8"/>
  <c r="L50" i="8"/>
  <c r="L44" i="8"/>
  <c r="C39" i="9"/>
  <c r="C40" i="9" s="1"/>
  <c r="B46" i="9"/>
  <c r="C36" i="9"/>
  <c r="C35" i="9"/>
  <c r="C33" i="9"/>
  <c r="C32" i="9"/>
  <c r="C31" i="9"/>
  <c r="C30" i="9"/>
  <c r="C34" i="9" s="1"/>
  <c r="B37" i="9"/>
  <c r="B19" i="9"/>
  <c r="B28" i="9"/>
  <c r="C26" i="9"/>
  <c r="C21" i="9"/>
  <c r="C24" i="9" s="1"/>
  <c r="C12" i="9"/>
  <c r="C16" i="9" s="1"/>
  <c r="E8" i="9"/>
  <c r="E9" i="9"/>
  <c r="E10" i="9"/>
  <c r="E7" i="9"/>
  <c r="AE39" i="2"/>
  <c r="AD51" i="2"/>
  <c r="I51" i="2"/>
  <c r="H51" i="2"/>
  <c r="AD50" i="2"/>
  <c r="I50" i="2"/>
  <c r="H50" i="2"/>
  <c r="AI23" i="8"/>
  <c r="AI25" i="8"/>
  <c r="AI40" i="8"/>
  <c r="AJ38" i="8"/>
  <c r="M34" i="8"/>
  <c r="AJ36" i="8"/>
  <c r="AJ34" i="8"/>
  <c r="AJ31" i="8"/>
  <c r="M38" i="8"/>
  <c r="M37" i="8"/>
  <c r="M36" i="8"/>
  <c r="L38" i="8"/>
  <c r="L37" i="8"/>
  <c r="L34" i="8"/>
  <c r="L35" i="8"/>
  <c r="L36" i="8"/>
  <c r="M23" i="8"/>
  <c r="AK38" i="8"/>
  <c r="N38" i="8"/>
  <c r="N37" i="8"/>
  <c r="H48" i="2"/>
  <c r="N42" i="8"/>
  <c r="N40" i="8"/>
  <c r="AL40" i="8" s="1"/>
  <c r="N36" i="8"/>
  <c r="N35" i="8"/>
  <c r="AD49" i="2"/>
  <c r="AE49" i="2"/>
  <c r="H49" i="2"/>
  <c r="I49" i="2"/>
  <c r="AL41" i="8"/>
  <c r="AJ18" i="8"/>
  <c r="B8" i="5"/>
  <c r="B10" i="5"/>
  <c r="B11" i="5"/>
  <c r="B12" i="5"/>
  <c r="B15" i="5"/>
  <c r="B16" i="5"/>
  <c r="B18" i="5"/>
  <c r="AE48" i="2"/>
  <c r="AD48" i="2"/>
  <c r="I48" i="2"/>
  <c r="AD47" i="2"/>
  <c r="AE47" i="2" s="1"/>
  <c r="H47" i="2"/>
  <c r="I47" i="2"/>
  <c r="M44" i="8"/>
  <c r="N44" i="8"/>
  <c r="AL44" i="8" s="1"/>
  <c r="AD46" i="2"/>
  <c r="AE46" i="2" s="1"/>
  <c r="H46" i="2"/>
  <c r="I46" i="2"/>
  <c r="AD39" i="2"/>
  <c r="AL35" i="8"/>
  <c r="AL42" i="8"/>
  <c r="AJ10" i="8"/>
  <c r="H45" i="2"/>
  <c r="I45" i="2"/>
  <c r="AE45" i="2" s="1"/>
  <c r="AD44" i="2"/>
  <c r="H44" i="2"/>
  <c r="I44" i="2"/>
  <c r="AJ30" i="8"/>
  <c r="AJ29" i="8"/>
  <c r="AJ26" i="8"/>
  <c r="AL26" i="8" s="1"/>
  <c r="AJ25" i="8"/>
  <c r="AJ24" i="8"/>
  <c r="AJ23" i="8"/>
  <c r="AJ22" i="8"/>
  <c r="AJ20" i="8"/>
  <c r="AJ19" i="8"/>
  <c r="AJ17" i="8"/>
  <c r="AJ16" i="8"/>
  <c r="AJ14" i="8"/>
  <c r="AJ13" i="8"/>
  <c r="AL12" i="8"/>
  <c r="AJ11" i="8"/>
  <c r="N20" i="8"/>
  <c r="AL20" i="8" s="1"/>
  <c r="N11" i="8"/>
  <c r="N13" i="8"/>
  <c r="N14" i="8"/>
  <c r="N16" i="8"/>
  <c r="N17" i="8"/>
  <c r="AL17" i="8" s="1"/>
  <c r="N18" i="8"/>
  <c r="AL18" i="8" s="1"/>
  <c r="N19" i="8"/>
  <c r="N22" i="8"/>
  <c r="N23" i="8"/>
  <c r="N24" i="8"/>
  <c r="N25" i="8"/>
  <c r="AL25" i="8" s="1"/>
  <c r="N28" i="8"/>
  <c r="AL28" i="8" s="1"/>
  <c r="N29" i="8"/>
  <c r="N30" i="8"/>
  <c r="N31" i="8"/>
  <c r="AL31" i="8" s="1"/>
  <c r="N32" i="8"/>
  <c r="AL32" i="8" s="1"/>
  <c r="N34" i="8"/>
  <c r="N10" i="8"/>
  <c r="M10" i="8"/>
  <c r="AD40" i="2"/>
  <c r="AD43" i="2"/>
  <c r="AE43" i="2" s="1"/>
  <c r="H43" i="2"/>
  <c r="I43" i="2"/>
  <c r="AI34" i="8"/>
  <c r="AK34" i="8" s="1"/>
  <c r="AI31" i="8"/>
  <c r="AI26" i="8"/>
  <c r="AI24" i="8"/>
  <c r="AI22" i="8"/>
  <c r="AI20" i="8"/>
  <c r="AI19" i="8"/>
  <c r="AI18" i="8"/>
  <c r="AI17" i="8"/>
  <c r="AI16" i="8"/>
  <c r="AI14" i="8"/>
  <c r="AI13" i="8"/>
  <c r="AI12" i="8"/>
  <c r="AK12" i="8" s="1"/>
  <c r="AI11" i="8"/>
  <c r="AI10" i="8"/>
  <c r="L42" i="8"/>
  <c r="L41" i="8"/>
  <c r="M41" i="8"/>
  <c r="L40" i="8"/>
  <c r="M35" i="8"/>
  <c r="AK35" i="8" s="1"/>
  <c r="L24" i="8"/>
  <c r="M24" i="8"/>
  <c r="I42" i="2"/>
  <c r="H42" i="2"/>
  <c r="AE40" i="2"/>
  <c r="AD41" i="2"/>
  <c r="AE41" i="2" s="1"/>
  <c r="I41" i="2"/>
  <c r="H41" i="2"/>
  <c r="I40" i="2"/>
  <c r="H40" i="2"/>
  <c r="M14" i="8"/>
  <c r="M32" i="8"/>
  <c r="L32" i="8"/>
  <c r="M31" i="8"/>
  <c r="L31" i="8"/>
  <c r="M30" i="8"/>
  <c r="L30" i="8"/>
  <c r="M29" i="8"/>
  <c r="AK29" i="8" s="1"/>
  <c r="L29" i="8"/>
  <c r="H32" i="2"/>
  <c r="I32" i="2"/>
  <c r="AE32" i="2" s="1"/>
  <c r="AD32" i="2"/>
  <c r="M28" i="8"/>
  <c r="L28" i="8"/>
  <c r="M26" i="8"/>
  <c r="L26" i="8"/>
  <c r="AE38" i="2"/>
  <c r="AD33" i="2"/>
  <c r="AD38" i="2"/>
  <c r="I38" i="2"/>
  <c r="H38" i="2"/>
  <c r="I37" i="2"/>
  <c r="H37" i="2"/>
  <c r="AD25" i="2"/>
  <c r="AD36" i="2"/>
  <c r="AE36" i="2" s="1"/>
  <c r="AD35" i="2"/>
  <c r="I36" i="2"/>
  <c r="H36" i="2"/>
  <c r="I35" i="2"/>
  <c r="H35" i="2"/>
  <c r="AD34" i="2"/>
  <c r="I34" i="2"/>
  <c r="H34" i="2"/>
  <c r="I33" i="2"/>
  <c r="H33" i="2"/>
  <c r="AD30" i="2"/>
  <c r="AD31" i="2"/>
  <c r="I31" i="2"/>
  <c r="H31" i="2"/>
  <c r="AD29" i="2"/>
  <c r="I30" i="2"/>
  <c r="AE30" i="2" s="1"/>
  <c r="H30" i="2"/>
  <c r="I29" i="2"/>
  <c r="H29" i="2"/>
  <c r="H28" i="2"/>
  <c r="AD28" i="2"/>
  <c r="I28" i="2"/>
  <c r="AE28" i="2" s="1"/>
  <c r="M25" i="8"/>
  <c r="L25" i="8"/>
  <c r="AD27" i="2"/>
  <c r="I27" i="2"/>
  <c r="H27" i="2"/>
  <c r="L18" i="8"/>
  <c r="M18" i="8"/>
  <c r="L23" i="8"/>
  <c r="M22" i="8"/>
  <c r="L22" i="8"/>
  <c r="M20" i="8"/>
  <c r="L20" i="8"/>
  <c r="M19" i="8"/>
  <c r="L19" i="8"/>
  <c r="M17" i="8"/>
  <c r="L17" i="8"/>
  <c r="M16" i="8"/>
  <c r="L16" i="8"/>
  <c r="L14" i="8"/>
  <c r="M13" i="8"/>
  <c r="L13" i="8"/>
  <c r="M11" i="8"/>
  <c r="L11" i="8"/>
  <c r="L10" i="8"/>
  <c r="AD26" i="2"/>
  <c r="I26" i="2"/>
  <c r="H26" i="2"/>
  <c r="I25" i="2"/>
  <c r="H25" i="2"/>
  <c r="AD24" i="2"/>
  <c r="I24" i="2"/>
  <c r="H24" i="2"/>
  <c r="AD23" i="2"/>
  <c r="I23" i="2"/>
  <c r="H23" i="2"/>
  <c r="AD22" i="2"/>
  <c r="I22" i="2"/>
  <c r="H22" i="2"/>
  <c r="AD20" i="2"/>
  <c r="AD21" i="2"/>
  <c r="I21" i="2"/>
  <c r="H21" i="2"/>
  <c r="I20" i="2"/>
  <c r="H20" i="2"/>
  <c r="AD19" i="2"/>
  <c r="AE19" i="2" s="1"/>
  <c r="I19" i="2"/>
  <c r="H19" i="2"/>
  <c r="AD18" i="2"/>
  <c r="AE18" i="2" s="1"/>
  <c r="I18" i="2"/>
  <c r="H18" i="2"/>
  <c r="AD17" i="2"/>
  <c r="I17" i="2"/>
  <c r="H17" i="2"/>
  <c r="AD12" i="2"/>
  <c r="AE12" i="2" s="1"/>
  <c r="AD16" i="2"/>
  <c r="AD15" i="2"/>
  <c r="H14" i="2"/>
  <c r="I16" i="2"/>
  <c r="H16" i="2"/>
  <c r="I15" i="2"/>
  <c r="H15" i="2"/>
  <c r="AD14" i="2"/>
  <c r="AD13" i="2"/>
  <c r="I14" i="2"/>
  <c r="H13" i="2"/>
  <c r="I13" i="2"/>
  <c r="AE13" i="2" s="1"/>
  <c r="I12" i="2"/>
  <c r="H12" i="2"/>
  <c r="AD11" i="2"/>
  <c r="AE11" i="2" s="1"/>
  <c r="I11" i="2"/>
  <c r="H11" i="2"/>
  <c r="AD10" i="2"/>
  <c r="H10" i="2"/>
  <c r="I10" i="2"/>
  <c r="AK11" i="8" l="1"/>
  <c r="AK13" i="8"/>
  <c r="AK14" i="8"/>
  <c r="AK16" i="8"/>
  <c r="AK17" i="8"/>
  <c r="AK18" i="8"/>
  <c r="AK19" i="8"/>
  <c r="AK20" i="8"/>
  <c r="AK22" i="8"/>
  <c r="AK24" i="8"/>
  <c r="AK26" i="8"/>
  <c r="AK31" i="8"/>
  <c r="AL11" i="8"/>
  <c r="AL13" i="8"/>
  <c r="AL16" i="8"/>
  <c r="AL22" i="8"/>
  <c r="AL24" i="8"/>
  <c r="AL29" i="8"/>
  <c r="AL10" i="8"/>
  <c r="AL36" i="8"/>
  <c r="AL38" i="8"/>
  <c r="AK25" i="8"/>
  <c r="AK23" i="8"/>
  <c r="AK40" i="8"/>
  <c r="AK46" i="8"/>
  <c r="AL47" i="8"/>
  <c r="AK48" i="8"/>
  <c r="AL48" i="8"/>
  <c r="AK49" i="8"/>
  <c r="AL50" i="8"/>
  <c r="AK50" i="8"/>
  <c r="AK47" i="8"/>
  <c r="AK36" i="8"/>
  <c r="AK30" i="8"/>
  <c r="AK32" i="8"/>
  <c r="AK37" i="8"/>
  <c r="AL37" i="8"/>
  <c r="AK44" i="8"/>
  <c r="AL46" i="8"/>
  <c r="AK28" i="8"/>
  <c r="AK41" i="8"/>
  <c r="C37" i="9"/>
  <c r="D37" i="9" s="1"/>
  <c r="AL30" i="8"/>
  <c r="AL34" i="8"/>
  <c r="C25" i="9"/>
  <c r="C17" i="9"/>
  <c r="AL23" i="8"/>
  <c r="C22" i="9"/>
  <c r="C28" i="9" s="1"/>
  <c r="D28" i="9" s="1"/>
  <c r="C15" i="9"/>
  <c r="C14" i="9"/>
  <c r="C23" i="9"/>
  <c r="C18" i="9"/>
  <c r="AL14" i="8"/>
  <c r="C27" i="9"/>
  <c r="C13" i="9"/>
  <c r="C19" i="9" s="1"/>
  <c r="D19" i="9" s="1"/>
  <c r="AL19" i="8"/>
  <c r="C45" i="9"/>
  <c r="C44" i="9"/>
  <c r="C43" i="9"/>
  <c r="C42" i="9"/>
  <c r="C41" i="9"/>
  <c r="C46" i="9" s="1"/>
  <c r="D46" i="9" s="1"/>
  <c r="AE51" i="2"/>
  <c r="AE50" i="2"/>
  <c r="AE25" i="2"/>
  <c r="AE15" i="2"/>
  <c r="AE27" i="2"/>
  <c r="AE29" i="2"/>
  <c r="AE31" i="2"/>
  <c r="AE33" i="2"/>
  <c r="AE34" i="2"/>
  <c r="AE35" i="2"/>
  <c r="AE37" i="2"/>
  <c r="AE26" i="2"/>
  <c r="AE24" i="2"/>
  <c r="AE23" i="2"/>
  <c r="AE22" i="2"/>
  <c r="AE21" i="2"/>
  <c r="AE17" i="2"/>
  <c r="AE16" i="2"/>
  <c r="AE14" i="2"/>
  <c r="AE10" i="2"/>
</calcChain>
</file>

<file path=xl/sharedStrings.xml><?xml version="1.0" encoding="utf-8"?>
<sst xmlns="http://schemas.openxmlformats.org/spreadsheetml/2006/main" count="537" uniqueCount="235">
  <si>
    <t>Number</t>
  </si>
  <si>
    <t>Construct</t>
  </si>
  <si>
    <t>Approx. Titer</t>
  </si>
  <si>
    <t>Approx. Fitness</t>
  </si>
  <si>
    <t>F shuffle 100% rep 3</t>
  </si>
  <si>
    <t>R22</t>
  </si>
  <si>
    <t>G_0.5shuf_rep2</t>
  </si>
  <si>
    <t>R181</t>
  </si>
  <si>
    <t>H shuffle 100% rep 3</t>
  </si>
  <si>
    <t>Shuf-3 FG-1</t>
  </si>
  <si>
    <t>Shuf-3 FH-1</t>
  </si>
  <si>
    <t>Shuf-3 GH</t>
  </si>
  <si>
    <t>Shuf-3 FGH</t>
  </si>
  <si>
    <t>Passage Number</t>
  </si>
  <si>
    <t>Shuf-3 F</t>
  </si>
  <si>
    <t>Shuf-3 G</t>
  </si>
  <si>
    <t>Shuf-3 H</t>
  </si>
  <si>
    <t>Shuf-3 FG</t>
  </si>
  <si>
    <t>Shuf-3 FH</t>
  </si>
  <si>
    <t>PhiX174 Mutant Construct R01 Shuffles Flask Passaging 2021 TXW</t>
  </si>
  <si>
    <t>Mutants Constructed ERA/LAS 2020 &amp; 2021</t>
  </si>
  <si>
    <t>Construct Name</t>
  </si>
  <si>
    <t>Mutant Genes</t>
  </si>
  <si>
    <t>Flask Passaging</t>
  </si>
  <si>
    <t>Date</t>
  </si>
  <si>
    <t>Construct(s)</t>
  </si>
  <si>
    <t>Approx. fitness of construct</t>
  </si>
  <si>
    <t>Passage Number(s)</t>
  </si>
  <si>
    <t>Titer from previous passage</t>
  </si>
  <si>
    <t xml:space="preserve">Amt of previous passage to add (mL)  </t>
  </si>
  <si>
    <t>Amt of previous passage to add (uL) 10 in 990</t>
  </si>
  <si>
    <t>Titer of flask (T0)</t>
  </si>
  <si>
    <t>Approx. amt. to plate of previous passage ("T0")</t>
  </si>
  <si>
    <t>Approx. amt. to plate of this passage (T40)</t>
  </si>
  <si>
    <t>High temp (°C)</t>
  </si>
  <si>
    <t>Low temp (°C)</t>
  </si>
  <si>
    <t>Thermometer location</t>
  </si>
  <si>
    <t>Passaging flask location</t>
  </si>
  <si>
    <t xml:space="preserve">Fitness </t>
  </si>
  <si>
    <t>Assay Time for 10^7</t>
  </si>
  <si>
    <t>Actual Assay Time (hrs)</t>
  </si>
  <si>
    <t>Actual Assay Time (hr:min)</t>
  </si>
  <si>
    <t>40mins</t>
  </si>
  <si>
    <t>fill out during assay</t>
  </si>
  <si>
    <t>fill out before assay</t>
  </si>
  <si>
    <r>
      <t>One-Flask Passaging Assays @ 37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</si>
  <si>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r>
      <t>Grew 90 ul 50X C (Apr2021) in 10 ml phage LB + 2 mM CaCl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to O.D. ~0.300, then aliquoted 1.5 ml into flask w/ 8.5 mL phage LB + 2 mM CaCl2</t>
    </r>
  </si>
  <si>
    <r>
      <t>Added 10</t>
    </r>
    <r>
      <rPr>
        <vertAlign val="superscript"/>
        <sz val="11"/>
        <color theme="1"/>
        <rFont val="Calibri"/>
        <family val="2"/>
        <scheme val="minor"/>
      </rPr>
      <t xml:space="preserve">5 </t>
    </r>
    <r>
      <rPr>
        <sz val="11"/>
        <color theme="1"/>
        <rFont val="Calibri"/>
        <family val="2"/>
        <scheme val="minor"/>
      </rPr>
      <t>phage to each assay according to titers (unless noted for low titer phages, highlighted in yellow for 10^4)</t>
    </r>
  </si>
  <si>
    <t>At T=40', sampled ~3 mL, 1.25 mL into each of two tubes w/ 100 uL CHCl3; vortex 30", spin down max speed 5', remove 1 mL aqueous layer into eppendorf (fridge storage) &amp; screw top cap w/ 250 uL glycerol (freezer storage)</t>
  </si>
  <si>
    <t>freeze screw top cap w/ liquid N2, dilute from fridge storage tube to plate T=40'</t>
  </si>
  <si>
    <t>plate "T=0" from tube used to innoculate passage</t>
  </si>
  <si>
    <t>repeat for 5 passages</t>
  </si>
  <si>
    <t>sample #</t>
  </si>
  <si>
    <t>T40 titer</t>
  </si>
  <si>
    <t>10^5 Microliter</t>
  </si>
  <si>
    <t>comment</t>
  </si>
  <si>
    <t>212.48.1</t>
  </si>
  <si>
    <t>212.48.2</t>
  </si>
  <si>
    <t>212.48.3</t>
  </si>
  <si>
    <t>212.48.4</t>
  </si>
  <si>
    <t xml:space="preserve">REDO 9/17---redo </t>
  </si>
  <si>
    <t>212.48.5</t>
  </si>
  <si>
    <t>212.24.1</t>
  </si>
  <si>
    <t>212.24.2</t>
  </si>
  <si>
    <t>212.24.3</t>
  </si>
  <si>
    <t>212.24.4</t>
  </si>
  <si>
    <t>212.24.5</t>
  </si>
  <si>
    <t xml:space="preserve">48 Hour </t>
  </si>
  <si>
    <t>24 Hour</t>
  </si>
  <si>
    <t>REDO 9/17--redo</t>
  </si>
  <si>
    <t>T0</t>
  </si>
  <si>
    <t>T40</t>
  </si>
  <si>
    <r>
      <t>for 10</t>
    </r>
    <r>
      <rPr>
        <b/>
        <vertAlign val="superscript"/>
        <sz val="11"/>
        <color theme="1"/>
        <rFont val="Calibri"/>
        <family val="2"/>
        <scheme val="minor"/>
      </rPr>
      <t xml:space="preserve">5  </t>
    </r>
    <r>
      <rPr>
        <b/>
        <sz val="11"/>
        <color theme="1"/>
        <rFont val="Calibri"/>
        <family val="2"/>
        <scheme val="minor"/>
      </rPr>
      <t>(mL)</t>
    </r>
  </si>
  <si>
    <r>
      <t>for 10</t>
    </r>
    <r>
      <rPr>
        <b/>
        <vertAlign val="superscript"/>
        <sz val="11"/>
        <color theme="1"/>
        <rFont val="Calibri"/>
        <family val="2"/>
        <scheme val="minor"/>
      </rPr>
      <t xml:space="preserve">5  </t>
    </r>
    <r>
      <rPr>
        <b/>
        <sz val="11"/>
        <color theme="1"/>
        <rFont val="Calibri"/>
        <family val="2"/>
        <scheme val="minor"/>
      </rPr>
      <t>(uL)</t>
    </r>
  </si>
  <si>
    <t>counts</t>
  </si>
  <si>
    <t>dil</t>
  </si>
  <si>
    <t>actual # of phage added to assay</t>
  </si>
  <si>
    <t>T0 titer</t>
  </si>
  <si>
    <t>fitness</t>
  </si>
  <si>
    <t>Sanger 2x mut</t>
  </si>
  <si>
    <t>7.45 uL 10^-1</t>
  </si>
  <si>
    <t>F Shuffle 100% rep 3</t>
  </si>
  <si>
    <t xml:space="preserve">157.1 (5E-4) I saw two mutant plaques. There was no growth on the rest of the dilution plates. </t>
  </si>
  <si>
    <t>TMTC</t>
  </si>
  <si>
    <t>First occurance of mutant plaques on 157.4</t>
  </si>
  <si>
    <t>G_0.5.Shuf_rep2</t>
  </si>
  <si>
    <t>R22.1</t>
  </si>
  <si>
    <t>R22.2</t>
  </si>
  <si>
    <t>Many mutants were found--many for picking</t>
  </si>
  <si>
    <t>R22.3</t>
  </si>
  <si>
    <t>H Shuffle 100% rep 3</t>
  </si>
  <si>
    <t>R22.4</t>
  </si>
  <si>
    <t>REdo</t>
  </si>
  <si>
    <t xml:space="preserve">Was left in 3 mins more than normal for T40 (Time was altered in fitness equation) </t>
  </si>
  <si>
    <t>Shuf-3-GH-1</t>
  </si>
  <si>
    <t>have to redo</t>
  </si>
  <si>
    <t>Cleared</t>
  </si>
  <si>
    <t>RE-PLATED</t>
  </si>
  <si>
    <t xml:space="preserve">5e-7=19----Did not have spot </t>
  </si>
  <si>
    <t xml:space="preserve">5e-7=9----Did not have spot </t>
  </si>
  <si>
    <t>CLEARED</t>
  </si>
  <si>
    <t xml:space="preserve">LINK TO SUMMARY: </t>
  </si>
  <si>
    <t>Here</t>
  </si>
  <si>
    <t>for 105  (mL)</t>
  </si>
  <si>
    <t>counts2</t>
  </si>
  <si>
    <t>dil2</t>
  </si>
  <si>
    <t>counts3</t>
  </si>
  <si>
    <t>dil3</t>
  </si>
  <si>
    <t>T0 titer sing</t>
  </si>
  <si>
    <t>T0 titer comb</t>
  </si>
  <si>
    <t>T40 titer single plate</t>
  </si>
  <si>
    <t>T40 titer comb</t>
  </si>
  <si>
    <t>fitness sing</t>
  </si>
  <si>
    <t>fitness comb</t>
  </si>
  <si>
    <t>Time(Hr.Min)</t>
  </si>
  <si>
    <t>Pictures</t>
  </si>
  <si>
    <t>Uriphin Sequencing Notes</t>
  </si>
  <si>
    <t>1390cT Base change</t>
  </si>
  <si>
    <t>1635 conflict 691 of 4669F</t>
  </si>
  <si>
    <t>Complete Squence</t>
  </si>
  <si>
    <t>,</t>
  </si>
  <si>
    <t>Many mutants were found</t>
  </si>
  <si>
    <t>recounted T40 8/6/2021</t>
  </si>
  <si>
    <t>Shuf-3 GH-1</t>
  </si>
  <si>
    <t>A Half</t>
  </si>
  <si>
    <t>B Half</t>
  </si>
  <si>
    <t>209: FG Double</t>
  </si>
  <si>
    <t>0 F, 2953 R</t>
  </si>
  <si>
    <t>2299 F, 379 R</t>
  </si>
  <si>
    <t>157:F Single</t>
  </si>
  <si>
    <t>2605 F, 379 R</t>
  </si>
  <si>
    <t>181: H Single</t>
  </si>
  <si>
    <t>0 F, 2717 R</t>
  </si>
  <si>
    <t>Master Mix #</t>
  </si>
  <si>
    <t>Forward+Reverse</t>
  </si>
  <si>
    <t>Master Mix Constructs</t>
  </si>
  <si>
    <t># Without Extra</t>
  </si>
  <si>
    <t># Total</t>
  </si>
  <si>
    <t>MM1</t>
  </si>
  <si>
    <t>209.5.1P, 209.5.2P/// 157.5.1</t>
  </si>
  <si>
    <t>MM2</t>
  </si>
  <si>
    <t>181.5.1P, 181.5.2P</t>
  </si>
  <si>
    <t>MM3</t>
  </si>
  <si>
    <t>209.51P, 209.5.2p</t>
  </si>
  <si>
    <t>MM4</t>
  </si>
  <si>
    <t>181.5.1P, 181.5.2///157.5.1</t>
  </si>
  <si>
    <t>Master Mix 1</t>
  </si>
  <si>
    <t>1x</t>
  </si>
  <si>
    <t>10ul 0F</t>
  </si>
  <si>
    <t>10ul 2953 R</t>
  </si>
  <si>
    <t>10x Taq Pol Buffer</t>
  </si>
  <si>
    <t>12.5 mm dNTPs</t>
  </si>
  <si>
    <t>Taq Polmerase</t>
  </si>
  <si>
    <t>H20</t>
  </si>
  <si>
    <t>TOTAL</t>
  </si>
  <si>
    <t>Master Mix 2</t>
  </si>
  <si>
    <t>10ul 2717 R</t>
  </si>
  <si>
    <t>Master Mix 3</t>
  </si>
  <si>
    <t>10ul 2299 F</t>
  </si>
  <si>
    <t>10ul  379 R</t>
  </si>
  <si>
    <t>Master Mix 4</t>
  </si>
  <si>
    <t>10ul 2605 F</t>
  </si>
  <si>
    <t>10ul 379 R</t>
  </si>
  <si>
    <t>Tube #</t>
  </si>
  <si>
    <t>Contents</t>
  </si>
  <si>
    <t>MM1+209.5.1P</t>
  </si>
  <si>
    <t>A half of FG double plaque 1</t>
  </si>
  <si>
    <t>MM3+ 209.5.1P</t>
  </si>
  <si>
    <t>B half of FG double plaque 1</t>
  </si>
  <si>
    <t>MM1+209.5.2P</t>
  </si>
  <si>
    <t>A half of FG double plaque 2</t>
  </si>
  <si>
    <t>MM3+209.5.2P</t>
  </si>
  <si>
    <t>B half of FG double plaque 2</t>
  </si>
  <si>
    <t>MM2+181.5.1P</t>
  </si>
  <si>
    <t>A half H single Plaque 1</t>
  </si>
  <si>
    <t>MM4+181.5.1P</t>
  </si>
  <si>
    <t>B half H single Plaque 1</t>
  </si>
  <si>
    <t>MM2+181.5.2P</t>
  </si>
  <si>
    <t>A half H single Plaque 2</t>
  </si>
  <si>
    <t>MM4+181.5.2P</t>
  </si>
  <si>
    <t>B half H single Plaque 2</t>
  </si>
  <si>
    <t>MM1+ 157.5.1P</t>
  </si>
  <si>
    <t>A half F single Plaque 1</t>
  </si>
  <si>
    <t>MM4+ 157.5.1P</t>
  </si>
  <si>
    <t>B half F single Plaque 2</t>
  </si>
  <si>
    <t>No Template</t>
  </si>
  <si>
    <t>Phage sequnce Master Mix</t>
  </si>
  <si>
    <t>14x</t>
  </si>
  <si>
    <t>1ul big dye terminator mix</t>
  </si>
  <si>
    <t>Uriphin Plate Set Up</t>
  </si>
  <si>
    <t>2ul 5x Big Dye buffer</t>
  </si>
  <si>
    <t>A</t>
  </si>
  <si>
    <t>X</t>
  </si>
  <si>
    <t>209.5.2A</t>
  </si>
  <si>
    <t>181.5.1A</t>
  </si>
  <si>
    <t>4 ul H20</t>
  </si>
  <si>
    <t>B</t>
  </si>
  <si>
    <t xml:space="preserve">TOTAL </t>
  </si>
  <si>
    <t>C</t>
  </si>
  <si>
    <t>209.5.2B</t>
  </si>
  <si>
    <t>181.5.1B</t>
  </si>
  <si>
    <t>D</t>
  </si>
  <si>
    <t xml:space="preserve">Phage A Half </t>
  </si>
  <si>
    <t>E</t>
  </si>
  <si>
    <t>209.5.1A</t>
  </si>
  <si>
    <t>157.5.1A</t>
  </si>
  <si>
    <t>181.5.2A</t>
  </si>
  <si>
    <t>7ul MM</t>
  </si>
  <si>
    <t>+ 1ul A Half Template</t>
  </si>
  <si>
    <t>2ul of 0 F</t>
  </si>
  <si>
    <t>F</t>
  </si>
  <si>
    <t>7MM</t>
  </si>
  <si>
    <t>600 F</t>
  </si>
  <si>
    <t>G</t>
  </si>
  <si>
    <t>209.5.1B</t>
  </si>
  <si>
    <t>157.5.1B</t>
  </si>
  <si>
    <t>181.5.2B</t>
  </si>
  <si>
    <t>979 F</t>
  </si>
  <si>
    <t>H</t>
  </si>
  <si>
    <t>2312 R</t>
  </si>
  <si>
    <t>2500 R</t>
  </si>
  <si>
    <t>E2</t>
  </si>
  <si>
    <t>2953 R</t>
  </si>
  <si>
    <t>F2</t>
  </si>
  <si>
    <t>Phage B Half</t>
  </si>
  <si>
    <t>G2</t>
  </si>
  <si>
    <t>+ 1ul B Half Template</t>
  </si>
  <si>
    <t>3381 R</t>
  </si>
  <si>
    <t>H2</t>
  </si>
  <si>
    <t>3849 R</t>
  </si>
  <si>
    <t>4292 R</t>
  </si>
  <si>
    <t>4669 F</t>
  </si>
  <si>
    <t>4753 R</t>
  </si>
  <si>
    <t>5199 R</t>
  </si>
  <si>
    <t>379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</si>
</sst>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A9DE7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5ABC4"/>
        <bgColor indexed="64"/>
      </patternFill>
    </fill>
    <fill>
      <patternFill patternType="solid">
        <fgColor rgb="FFBFAD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AFA5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11" fontId="2" fillId="0" borderId="1" xfId="0" applyNumberFormat="1" applyFont="1" applyBorder="1" applyAlignment="1">
      <alignment horizontal="center" wrapText="1"/>
    </xf>
    <xf numFmtId="11" fontId="2" fillId="0" borderId="1" xfId="0" applyNumberFormat="1" applyFont="1" applyBorder="1" applyAlignment="1">
      <alignment horizontal="center"/>
    </xf>
    <xf numFmtId="11" fontId="2" fillId="0" borderId="2" xfId="0" applyNumberFormat="1" applyFont="1" applyBorder="1" applyAlignment="1">
      <alignment horizontal="center"/>
    </xf>
    <xf numFmtId="11" fontId="0" fillId="0" borderId="1" xfId="0" applyNumberFormat="1" applyBorder="1"/>
    <xf numFmtId="0" fontId="1" fillId="0" borderId="0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49" fontId="0" fillId="0" borderId="5" xfId="0" applyNumberFormat="1" applyBorder="1" applyAlignment="1">
      <alignment horizontal="center"/>
    </xf>
    <xf numFmtId="0" fontId="0" fillId="0" borderId="0" xfId="0" applyBorder="1"/>
    <xf numFmtId="1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11" fontId="0" fillId="0" borderId="0" xfId="0" applyNumberFormat="1" applyBorder="1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 applyBorder="1" applyAlignment="1">
      <alignment horizontal="left"/>
    </xf>
    <xf numFmtId="2" fontId="0" fillId="0" borderId="0" xfId="0" applyNumberFormat="1" applyBorder="1" applyAlignment="1">
      <alignment horizontal="left"/>
    </xf>
    <xf numFmtId="0" fontId="0" fillId="2" borderId="0" xfId="0" applyFill="1"/>
    <xf numFmtId="0" fontId="0" fillId="3" borderId="0" xfId="0" applyFill="1"/>
    <xf numFmtId="14" fontId="0" fillId="0" borderId="1" xfId="0" applyNumberFormat="1" applyBorder="1"/>
    <xf numFmtId="14" fontId="0" fillId="3" borderId="1" xfId="0" applyNumberFormat="1" applyFill="1" applyBorder="1"/>
    <xf numFmtId="0" fontId="0" fillId="3" borderId="1" xfId="0" applyFill="1" applyBorder="1"/>
    <xf numFmtId="11" fontId="0" fillId="3" borderId="1" xfId="0" applyNumberFormat="1" applyFill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" fontId="0" fillId="0" borderId="1" xfId="0" applyNumberFormat="1" applyBorder="1"/>
    <xf numFmtId="2" fontId="0" fillId="3" borderId="1" xfId="0" applyNumberFormat="1" applyFill="1" applyBorder="1" applyAlignment="1">
      <alignment horizontal="left"/>
    </xf>
    <xf numFmtId="11" fontId="6" fillId="4" borderId="1" xfId="0" applyNumberFormat="1" applyFont="1" applyFill="1" applyBorder="1"/>
    <xf numFmtId="2" fontId="0" fillId="0" borderId="0" xfId="0" applyNumberFormat="1"/>
    <xf numFmtId="0" fontId="7" fillId="0" borderId="0" xfId="0" applyFont="1" applyAlignment="1">
      <alignment wrapText="1"/>
    </xf>
    <xf numFmtId="2" fontId="0" fillId="3" borderId="0" xfId="0" applyNumberFormat="1" applyFill="1"/>
    <xf numFmtId="20" fontId="0" fillId="3" borderId="0" xfId="0" applyNumberFormat="1" applyFill="1"/>
    <xf numFmtId="0" fontId="8" fillId="0" borderId="0" xfId="1" applyFill="1"/>
    <xf numFmtId="0" fontId="8" fillId="0" borderId="0" xfId="1"/>
    <xf numFmtId="0" fontId="2" fillId="0" borderId="0" xfId="0" applyFont="1"/>
    <xf numFmtId="0" fontId="0" fillId="0" borderId="0" xfId="0" applyFill="1"/>
    <xf numFmtId="0" fontId="0" fillId="5" borderId="0" xfId="0" applyFill="1"/>
    <xf numFmtId="0" fontId="0" fillId="4" borderId="1" xfId="0" applyFill="1" applyBorder="1"/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11" fontId="0" fillId="0" borderId="0" xfId="0" applyNumberFormat="1"/>
    <xf numFmtId="0" fontId="7" fillId="0" borderId="0" xfId="0" applyFont="1"/>
    <xf numFmtId="0" fontId="0" fillId="3" borderId="0" xfId="0" applyFill="1" applyBorder="1"/>
    <xf numFmtId="0" fontId="0" fillId="0" borderId="1" xfId="0" applyFont="1" applyBorder="1"/>
    <xf numFmtId="11" fontId="2" fillId="6" borderId="1" xfId="0" applyNumberFormat="1" applyFont="1" applyFill="1" applyBorder="1" applyAlignment="1">
      <alignment horizontal="center" wrapText="1"/>
    </xf>
    <xf numFmtId="11" fontId="2" fillId="6" borderId="1" xfId="0" applyNumberFormat="1" applyFont="1" applyFill="1" applyBorder="1" applyAlignment="1">
      <alignment horizontal="center"/>
    </xf>
    <xf numFmtId="11" fontId="2" fillId="6" borderId="2" xfId="0" applyNumberFormat="1" applyFont="1" applyFill="1" applyBorder="1" applyAlignment="1">
      <alignment horizontal="center"/>
    </xf>
    <xf numFmtId="0" fontId="0" fillId="7" borderId="0" xfId="0" applyFont="1" applyFill="1"/>
    <xf numFmtId="0" fontId="6" fillId="8" borderId="0" xfId="0" applyFont="1" applyFill="1"/>
    <xf numFmtId="0" fontId="0" fillId="0" borderId="0" xfId="0" applyFont="1"/>
    <xf numFmtId="0" fontId="0" fillId="4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6" fillId="12" borderId="0" xfId="0" applyFont="1" applyFill="1"/>
    <xf numFmtId="0" fontId="0" fillId="13" borderId="0" xfId="0" applyFill="1"/>
    <xf numFmtId="0" fontId="6" fillId="14" borderId="0" xfId="0" applyFont="1" applyFill="1"/>
    <xf numFmtId="0" fontId="0" fillId="15" borderId="0" xfId="0" applyFill="1"/>
    <xf numFmtId="0" fontId="0" fillId="16" borderId="0" xfId="0" applyFill="1"/>
    <xf numFmtId="0" fontId="2" fillId="8" borderId="0" xfId="0" applyFont="1" applyFill="1"/>
    <xf numFmtId="0" fontId="2" fillId="13" borderId="0" xfId="0" applyFont="1" applyFill="1"/>
    <xf numFmtId="0" fontId="2" fillId="12" borderId="0" xfId="0" applyFont="1" applyFill="1"/>
    <xf numFmtId="0" fontId="2" fillId="11" borderId="0" xfId="0" applyFont="1" applyFill="1"/>
    <xf numFmtId="0" fontId="2" fillId="16" borderId="0" xfId="0" applyFont="1" applyFill="1" applyAlignment="1">
      <alignment horizontal="center"/>
    </xf>
    <xf numFmtId="0" fontId="2" fillId="16" borderId="0" xfId="0" applyFont="1" applyFill="1"/>
    <xf numFmtId="0" fontId="2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0" fillId="9" borderId="0" xfId="0" applyFont="1" applyFill="1"/>
    <xf numFmtId="0" fontId="6" fillId="15" borderId="0" xfId="0" applyFont="1" applyFill="1"/>
    <xf numFmtId="0" fontId="9" fillId="17" borderId="0" xfId="0" applyFont="1" applyFill="1"/>
    <xf numFmtId="0" fontId="2" fillId="17" borderId="0" xfId="0" applyFont="1" applyFill="1"/>
    <xf numFmtId="0" fontId="2" fillId="18" borderId="0" xfId="0" applyFont="1" applyFill="1"/>
    <xf numFmtId="0" fontId="9" fillId="18" borderId="0" xfId="0" applyFont="1" applyFill="1"/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  <xf numFmtId="0" fontId="2" fillId="8" borderId="0" xfId="0" applyFont="1" applyFill="1" applyAlignment="1">
      <alignment horizontal="right" vertical="top"/>
    </xf>
    <xf numFmtId="0" fontId="2" fillId="8" borderId="0" xfId="0" applyFont="1" applyFill="1" applyAlignment="1">
      <alignment horizontal="right"/>
    </xf>
    <xf numFmtId="0" fontId="2" fillId="13" borderId="0" xfId="0" applyFont="1" applyFill="1" applyAlignment="1">
      <alignment horizontal="right" vertical="top"/>
    </xf>
    <xf numFmtId="0" fontId="2" fillId="13" borderId="0" xfId="0" applyFont="1" applyFill="1" applyAlignment="1">
      <alignment horizontal="right"/>
    </xf>
    <xf numFmtId="0" fontId="2" fillId="12" borderId="0" xfId="0" applyFont="1" applyFill="1" applyAlignment="1">
      <alignment horizontal="right" vertical="top"/>
    </xf>
    <xf numFmtId="0" fontId="2" fillId="12" borderId="0" xfId="0" applyFont="1" applyFill="1" applyAlignment="1">
      <alignment horizontal="right"/>
    </xf>
    <xf numFmtId="0" fontId="2" fillId="11" borderId="0" xfId="0" applyFont="1" applyFill="1" applyAlignment="1">
      <alignment horizontal="right" vertical="top"/>
    </xf>
    <xf numFmtId="0" fontId="2" fillId="11" borderId="0" xfId="0" applyFont="1" applyFill="1" applyAlignment="1">
      <alignment horizontal="right"/>
    </xf>
    <xf numFmtId="0" fontId="0" fillId="16" borderId="0" xfId="0" applyFill="1" applyAlignment="1">
      <alignment horizontal="center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20" borderId="0" xfId="0" applyFill="1"/>
    <xf numFmtId="0" fontId="2" fillId="15" borderId="0" xfId="0" applyFont="1" applyFill="1"/>
    <xf numFmtId="0" fontId="0" fillId="14" borderId="0" xfId="0" applyFill="1"/>
    <xf numFmtId="0" fontId="0" fillId="17" borderId="0" xfId="0" applyFill="1"/>
    <xf numFmtId="0" fontId="0" fillId="21" borderId="0" xfId="0" applyFill="1"/>
    <xf numFmtId="0" fontId="0" fillId="22" borderId="0" xfId="0" applyFill="1"/>
    <xf numFmtId="14" fontId="0" fillId="0" borderId="0" xfId="0" applyNumberFormat="1"/>
    <xf numFmtId="1" fontId="0" fillId="0" borderId="1" xfId="0" applyNumberFormat="1" applyBorder="1"/>
    <xf numFmtId="1" fontId="0" fillId="0" borderId="0" xfId="0" applyNumberFormat="1"/>
    <xf numFmtId="1" fontId="7" fillId="0" borderId="0" xfId="0" applyNumberFormat="1" applyFont="1"/>
    <xf numFmtId="0" fontId="0" fillId="0" borderId="1" xfId="0" applyFill="1" applyBorder="1"/>
    <xf numFmtId="14" fontId="0" fillId="23" borderId="1" xfId="0" applyNumberFormat="1" applyFill="1" applyBorder="1"/>
    <xf numFmtId="0" fontId="0" fillId="23" borderId="1" xfId="0" applyFill="1" applyBorder="1"/>
    <xf numFmtId="0" fontId="7" fillId="23" borderId="0" xfId="0" applyFont="1" applyFill="1" applyAlignment="1">
      <alignment wrapText="1"/>
    </xf>
    <xf numFmtId="11" fontId="6" fillId="23" borderId="1" xfId="0" applyNumberFormat="1" applyFont="1" applyFill="1" applyBorder="1"/>
    <xf numFmtId="2" fontId="0" fillId="23" borderId="1" xfId="0" applyNumberFormat="1" applyFill="1" applyBorder="1"/>
    <xf numFmtId="11" fontId="0" fillId="23" borderId="1" xfId="0" applyNumberFormat="1" applyFill="1" applyBorder="1"/>
    <xf numFmtId="1" fontId="0" fillId="23" borderId="1" xfId="0" applyNumberFormat="1" applyFill="1" applyBorder="1"/>
    <xf numFmtId="0" fontId="0" fillId="23" borderId="0" xfId="0" applyFill="1"/>
    <xf numFmtId="0" fontId="8" fillId="23" borderId="0" xfId="1" applyFill="1"/>
    <xf numFmtId="0" fontId="0" fillId="2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2" fillId="14" borderId="0" xfId="0" applyFont="1" applyFill="1"/>
    <xf numFmtId="0" fontId="0" fillId="11" borderId="0" xfId="0" applyFill="1" applyAlignment="1">
      <alignment horizontal="center"/>
    </xf>
    <xf numFmtId="2" fontId="0" fillId="3" borderId="1" xfId="0" applyNumberFormat="1" applyFill="1" applyBorder="1"/>
    <xf numFmtId="11" fontId="2" fillId="0" borderId="4" xfId="0" applyNumberFormat="1" applyFont="1" applyBorder="1" applyAlignment="1">
      <alignment horizontal="center"/>
    </xf>
    <xf numFmtId="0" fontId="0" fillId="24" borderId="1" xfId="0" applyFill="1" applyBorder="1"/>
    <xf numFmtId="0" fontId="0" fillId="24" borderId="0" xfId="0" applyFill="1"/>
    <xf numFmtId="0" fontId="10" fillId="0" borderId="0" xfId="0" applyFont="1" applyBorder="1" applyAlignment="1"/>
    <xf numFmtId="0" fontId="10" fillId="3" borderId="0" xfId="0" applyFont="1" applyFill="1" applyBorder="1" applyAlignme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0" fillId="0" borderId="0" xfId="0" applyNumberForma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5ABC4"/>
      <color rgb="FFF04F4F"/>
      <color rgb="FFBFADCC"/>
      <color rgb="FFFAFA55"/>
      <color rgb="FFE3F054"/>
      <color rgb="FFA9DE71"/>
      <color rgb="FF8C7791"/>
      <color rgb="FFFF6699"/>
      <color rgb="FFAC93BF"/>
      <color rgb="FFE6A1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Tessa%20Plate%20Images/T40;%20181.4.JPG" TargetMode="External"/><Relationship Id="rId18" Type="http://schemas.openxmlformats.org/officeDocument/2006/relationships/hyperlink" Target="Tessa%20Plate%20Images/T40;%20209.4.JPG" TargetMode="External"/><Relationship Id="rId26" Type="http://schemas.openxmlformats.org/officeDocument/2006/relationships/hyperlink" Target="Tessa%20Plate%20Images/T40;%20212.5.JPG" TargetMode="External"/><Relationship Id="rId3" Type="http://schemas.openxmlformats.org/officeDocument/2006/relationships/hyperlink" Target="Tessa%20Plate%20Images/T40;%20R22.3.JPG" TargetMode="External"/><Relationship Id="rId21" Type="http://schemas.openxmlformats.org/officeDocument/2006/relationships/hyperlink" Target="Tessa%20Plate%20Images/T40;%20R181.3.JPG" TargetMode="External"/><Relationship Id="rId34" Type="http://schemas.openxmlformats.org/officeDocument/2006/relationships/hyperlink" Target="Tessa%20Plate%20Images/Jul%2029/T40;%20222.3.JPG" TargetMode="External"/><Relationship Id="rId7" Type="http://schemas.openxmlformats.org/officeDocument/2006/relationships/hyperlink" Target="Tessa%20Plate%20Images/T40;%20157.2.JPG" TargetMode="External"/><Relationship Id="rId12" Type="http://schemas.openxmlformats.org/officeDocument/2006/relationships/hyperlink" Target="Tessa%20Plate%20Images/T40;%20R181.2.JPG" TargetMode="External"/><Relationship Id="rId17" Type="http://schemas.openxmlformats.org/officeDocument/2006/relationships/hyperlink" Target="Tessa%20Plate%20Images/T40;%20209.3.JPG" TargetMode="External"/><Relationship Id="rId25" Type="http://schemas.openxmlformats.org/officeDocument/2006/relationships/hyperlink" Target="Tessa%20Plate%20Images/T0;%20212.3.JPG" TargetMode="External"/><Relationship Id="rId33" Type="http://schemas.openxmlformats.org/officeDocument/2006/relationships/hyperlink" Target="Tessa%20Plate%20Images/Jul%2029/T40;222.2.JPG" TargetMode="External"/><Relationship Id="rId2" Type="http://schemas.openxmlformats.org/officeDocument/2006/relationships/hyperlink" Target="Tessa%20Plate%20Images/T0;%20R22.1.JPG" TargetMode="External"/><Relationship Id="rId16" Type="http://schemas.openxmlformats.org/officeDocument/2006/relationships/hyperlink" Target="Tessa%20Plate%20Images/T40;%20209.1.JPG" TargetMode="External"/><Relationship Id="rId20" Type="http://schemas.openxmlformats.org/officeDocument/2006/relationships/hyperlink" Target="https://docs.google.com/document/d/1QYSXA9dZ3pviKrf6aqaos_aKOdCb2fqYIPtXDSMZckA/edit?usp=sharing" TargetMode="External"/><Relationship Id="rId29" Type="http://schemas.openxmlformats.org/officeDocument/2006/relationships/hyperlink" Target="Tessa%20Plate%20Images/T40;%20221.2.JPG" TargetMode="External"/><Relationship Id="rId1" Type="http://schemas.openxmlformats.org/officeDocument/2006/relationships/hyperlink" Target="Tessa%20Plate%20Images/T0;%20R22%20.JPG" TargetMode="External"/><Relationship Id="rId6" Type="http://schemas.openxmlformats.org/officeDocument/2006/relationships/hyperlink" Target="Tessa%20Plate%20Images/T0;%20157.JPG" TargetMode="External"/><Relationship Id="rId11" Type="http://schemas.openxmlformats.org/officeDocument/2006/relationships/hyperlink" Target="Tessa%20Plate%20Images/T0;%20R181.JPG" TargetMode="External"/><Relationship Id="rId24" Type="http://schemas.openxmlformats.org/officeDocument/2006/relationships/hyperlink" Target="Tessa%20Plate%20Images/T40;%20212.2.JPG" TargetMode="External"/><Relationship Id="rId32" Type="http://schemas.openxmlformats.org/officeDocument/2006/relationships/hyperlink" Target="Tessa%20Plate%20Images/Jul%2029/T40;%20222.1.JPG" TargetMode="External"/><Relationship Id="rId5" Type="http://schemas.openxmlformats.org/officeDocument/2006/relationships/hyperlink" Target="Tessa%20Plate%20Images/T40;%20R22.5.JPG" TargetMode="External"/><Relationship Id="rId15" Type="http://schemas.openxmlformats.org/officeDocument/2006/relationships/hyperlink" Target="Tessa%20Plate%20Images/T0;%20209.JPG" TargetMode="External"/><Relationship Id="rId23" Type="http://schemas.openxmlformats.org/officeDocument/2006/relationships/hyperlink" Target="Tessa%20Plate%20Images/T0;%20212.1.JPG" TargetMode="External"/><Relationship Id="rId28" Type="http://schemas.openxmlformats.org/officeDocument/2006/relationships/hyperlink" Target="Tessa%20Plate%20Images/T40;%20221.1.JPG" TargetMode="External"/><Relationship Id="rId36" Type="http://schemas.openxmlformats.org/officeDocument/2006/relationships/hyperlink" Target="Tessa%20Plate%20Images/Jul%2029/T40;%20222.5.JPG" TargetMode="External"/><Relationship Id="rId10" Type="http://schemas.openxmlformats.org/officeDocument/2006/relationships/hyperlink" Target="Tessa%20Plate%20Images/T40;%20157.5.JPG" TargetMode="External"/><Relationship Id="rId19" Type="http://schemas.openxmlformats.org/officeDocument/2006/relationships/hyperlink" Target="Tessa%20Plate%20Images/T40;%20209.5.JPG" TargetMode="External"/><Relationship Id="rId31" Type="http://schemas.openxmlformats.org/officeDocument/2006/relationships/hyperlink" Target="Tessa%20Plate%20Images/T40;%20221.5.JPG" TargetMode="External"/><Relationship Id="rId4" Type="http://schemas.openxmlformats.org/officeDocument/2006/relationships/hyperlink" Target="Tessa%20Plate%20Images/T40;%20R22.4.JPG" TargetMode="External"/><Relationship Id="rId9" Type="http://schemas.openxmlformats.org/officeDocument/2006/relationships/hyperlink" Target="Tessa%20Plate%20Images/T40;%20157.4.JPG" TargetMode="External"/><Relationship Id="rId14" Type="http://schemas.openxmlformats.org/officeDocument/2006/relationships/hyperlink" Target="Tessa%20Plate%20Images/T40;%20181.5.JPG" TargetMode="External"/><Relationship Id="rId22" Type="http://schemas.openxmlformats.org/officeDocument/2006/relationships/hyperlink" Target="Tessa%20Plate%20Images/T0;%20212.JPG" TargetMode="External"/><Relationship Id="rId27" Type="http://schemas.openxmlformats.org/officeDocument/2006/relationships/hyperlink" Target="Tessa%20Plate%20Images/T0;%20221.JPG" TargetMode="External"/><Relationship Id="rId30" Type="http://schemas.openxmlformats.org/officeDocument/2006/relationships/hyperlink" Target="Tessa%20Plate%20Images/T40%20221.3.JPG" TargetMode="External"/><Relationship Id="rId35" Type="http://schemas.openxmlformats.org/officeDocument/2006/relationships/hyperlink" Target="Tessa%20Plate%20Images/Jul%2029/T40;%20222.4.JPG" TargetMode="External"/><Relationship Id="rId8" Type="http://schemas.openxmlformats.org/officeDocument/2006/relationships/hyperlink" Target="Tessa%20Plate%20Images/T40;%20157.3.JP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AA28-AC0A-42F6-8B4B-A4B4685409D1}">
  <sheetPr>
    <tabColor rgb="FFF4B084"/>
    <pageSetUpPr fitToPage="1"/>
  </sheetPr>
  <dimension ref="A1:L23"/>
  <sheetViews>
    <sheetView tabSelected="1" workbookViewId="0">
      <selection activeCell="B3" sqref="B3"/>
    </sheetView>
  </sheetViews>
  <sheetFormatPr defaultRowHeight="15"/>
  <cols>
    <col min="2" max="2" width="20.5703125" bestFit="1" customWidth="1"/>
    <col min="3" max="3" width="17" style="2" customWidth="1"/>
    <col min="4" max="4" width="14.85546875" style="2" bestFit="1" customWidth="1"/>
    <col min="5" max="6" width="8.7109375" style="2" customWidth="1"/>
    <col min="7" max="7" width="15.7109375" style="2" customWidth="1"/>
    <col min="8" max="9" width="8.28515625" style="2" bestFit="1" customWidth="1"/>
  </cols>
  <sheetData>
    <row r="1" spans="1:12">
      <c r="A1" s="17" t="s">
        <v>0</v>
      </c>
      <c r="B1" s="17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17"/>
    </row>
    <row r="2" spans="1:12">
      <c r="A2" s="19">
        <v>157</v>
      </c>
      <c r="B2" s="19" t="s">
        <v>4</v>
      </c>
      <c r="C2" s="20">
        <v>178000000</v>
      </c>
      <c r="D2" s="21">
        <v>14.143333333333301</v>
      </c>
      <c r="E2" s="18"/>
      <c r="F2" s="18"/>
      <c r="G2" s="3"/>
      <c r="H2" s="3"/>
      <c r="I2" s="3"/>
      <c r="J2" s="17"/>
    </row>
    <row r="3" spans="1:12" ht="15.75">
      <c r="A3" s="19" t="s">
        <v>5</v>
      </c>
      <c r="B3" s="22" t="s">
        <v>6</v>
      </c>
      <c r="C3" s="20">
        <v>21250000</v>
      </c>
      <c r="D3" s="23">
        <v>15.8721027780912</v>
      </c>
      <c r="E3" s="18"/>
      <c r="F3" s="3"/>
      <c r="G3" s="18"/>
      <c r="H3" s="18"/>
      <c r="I3" s="18"/>
      <c r="J3" s="17"/>
    </row>
    <row r="4" spans="1:12" ht="15.75">
      <c r="A4" s="19" t="s">
        <v>7</v>
      </c>
      <c r="B4" s="22" t="s">
        <v>8</v>
      </c>
      <c r="C4" s="20">
        <v>4000000</v>
      </c>
      <c r="D4" s="23">
        <v>17.733333333333299</v>
      </c>
      <c r="E4" s="18"/>
      <c r="F4" s="3"/>
      <c r="G4" s="18"/>
      <c r="H4" s="18"/>
      <c r="I4" s="18"/>
      <c r="J4" s="17"/>
    </row>
    <row r="5" spans="1:12" ht="15.75">
      <c r="A5" s="19">
        <v>209</v>
      </c>
      <c r="B5" s="22" t="s">
        <v>9</v>
      </c>
      <c r="C5" s="20">
        <v>360000</v>
      </c>
      <c r="D5" s="19">
        <v>5.42</v>
      </c>
      <c r="E5" s="3"/>
      <c r="F5" s="3"/>
      <c r="G5" s="18"/>
      <c r="H5" s="18"/>
      <c r="I5" s="18"/>
      <c r="J5" s="17"/>
    </row>
    <row r="6" spans="1:12" ht="15.75">
      <c r="A6" s="19">
        <v>212</v>
      </c>
      <c r="B6" s="22" t="s">
        <v>10</v>
      </c>
      <c r="C6" s="20">
        <v>6400000</v>
      </c>
      <c r="D6" s="19">
        <v>8.65</v>
      </c>
      <c r="E6" s="18"/>
      <c r="F6" s="3"/>
      <c r="G6" s="18"/>
      <c r="H6" s="18"/>
      <c r="I6" s="18"/>
      <c r="J6" s="18"/>
      <c r="K6" s="18"/>
      <c r="L6" s="18"/>
    </row>
    <row r="7" spans="1:12" ht="15.75">
      <c r="A7" s="19">
        <v>221</v>
      </c>
      <c r="B7" s="22" t="s">
        <v>11</v>
      </c>
      <c r="C7" s="20">
        <v>5600000</v>
      </c>
      <c r="D7" s="19">
        <v>9.7100000000000009</v>
      </c>
      <c r="E7" s="18"/>
      <c r="F7" s="3"/>
      <c r="G7" s="18"/>
      <c r="H7" s="18"/>
      <c r="I7" s="18"/>
      <c r="J7" s="18"/>
      <c r="K7" s="18"/>
      <c r="L7" s="18"/>
    </row>
    <row r="8" spans="1:12" ht="15.75">
      <c r="A8" s="19">
        <v>222</v>
      </c>
      <c r="B8" s="22" t="s">
        <v>12</v>
      </c>
      <c r="C8" s="20">
        <v>1050000</v>
      </c>
      <c r="D8" s="19">
        <v>3</v>
      </c>
      <c r="E8" s="3"/>
      <c r="F8" s="3"/>
      <c r="G8" s="18"/>
      <c r="H8" s="18"/>
      <c r="I8" s="18"/>
      <c r="J8" s="18"/>
      <c r="K8" s="18"/>
      <c r="L8" s="18"/>
    </row>
    <row r="9" spans="1:12" ht="15.75">
      <c r="A9" s="3"/>
      <c r="B9" s="12"/>
      <c r="C9" s="3"/>
      <c r="D9" s="3"/>
      <c r="E9" s="3"/>
      <c r="F9" s="3"/>
      <c r="G9" s="18"/>
      <c r="H9" s="18"/>
      <c r="I9" s="18"/>
      <c r="J9" s="18"/>
      <c r="K9" s="18"/>
      <c r="L9" s="18"/>
    </row>
    <row r="10" spans="1:12" ht="15.75">
      <c r="A10" s="3"/>
      <c r="B10" s="12"/>
      <c r="C10" s="3"/>
      <c r="D10" s="3"/>
      <c r="E10" s="3"/>
      <c r="F10" s="3"/>
      <c r="G10" s="18"/>
      <c r="H10" s="18"/>
      <c r="I10" s="18"/>
      <c r="J10" s="18"/>
      <c r="K10" s="18"/>
      <c r="L10" s="18"/>
    </row>
    <row r="11" spans="1:12" ht="15.75">
      <c r="A11" s="3"/>
      <c r="B11" s="12"/>
      <c r="C11" s="3"/>
      <c r="D11" s="3"/>
      <c r="E11" s="3"/>
      <c r="F11" s="3"/>
      <c r="G11" s="18"/>
      <c r="H11" s="18"/>
      <c r="I11" s="18"/>
      <c r="J11" s="18"/>
      <c r="K11" s="18"/>
      <c r="L11" s="18"/>
    </row>
    <row r="12" spans="1:12" ht="15.75">
      <c r="A12" s="3"/>
      <c r="B12" s="12"/>
      <c r="C12" s="3"/>
      <c r="D12" s="3"/>
      <c r="E12" s="3"/>
      <c r="F12" s="3"/>
      <c r="G12" s="18"/>
      <c r="H12" s="18"/>
      <c r="I12" s="18"/>
      <c r="J12" s="18"/>
      <c r="K12" s="18"/>
      <c r="L12" s="18"/>
    </row>
    <row r="13" spans="1:12" ht="15.75">
      <c r="A13" s="3"/>
      <c r="B13" s="12"/>
      <c r="C13" s="3"/>
      <c r="D13" s="3"/>
      <c r="E13" s="3"/>
      <c r="F13" s="3"/>
      <c r="G13" s="18"/>
      <c r="H13" s="18"/>
      <c r="I13" s="18"/>
      <c r="J13" s="18"/>
      <c r="K13" s="18"/>
      <c r="L13" s="18"/>
    </row>
    <row r="14" spans="1:12" ht="15.75">
      <c r="A14" s="3"/>
      <c r="B14" s="12"/>
      <c r="C14" s="3"/>
      <c r="D14" s="3"/>
      <c r="E14" s="3"/>
      <c r="F14" s="3"/>
      <c r="H14" s="18"/>
      <c r="I14" s="18"/>
      <c r="J14" s="18"/>
      <c r="K14" s="18"/>
      <c r="L14" s="18"/>
    </row>
    <row r="15" spans="1:12" ht="15.75">
      <c r="A15" s="3"/>
      <c r="B15" s="12"/>
      <c r="C15" s="3"/>
      <c r="D15" s="3"/>
      <c r="E15" s="3"/>
      <c r="F15" s="3"/>
      <c r="G15" s="18"/>
      <c r="H15" s="18"/>
      <c r="I15" s="18"/>
      <c r="J15" s="18"/>
      <c r="K15" s="18"/>
      <c r="L15" s="18"/>
    </row>
    <row r="16" spans="1:12" ht="15.75">
      <c r="A16" s="3"/>
      <c r="B16" s="12"/>
      <c r="C16" s="3"/>
      <c r="D16" s="3"/>
      <c r="F16" s="3"/>
      <c r="G16" s="18"/>
      <c r="H16" s="18"/>
      <c r="I16" s="18"/>
      <c r="J16" s="17"/>
    </row>
    <row r="17" spans="1:10" ht="15.75">
      <c r="A17" s="3"/>
      <c r="B17" s="12"/>
      <c r="C17" s="3"/>
      <c r="D17" s="3"/>
      <c r="E17" s="3"/>
      <c r="F17" s="3"/>
      <c r="G17" s="18"/>
      <c r="H17" s="18"/>
      <c r="I17" s="18"/>
      <c r="J17" s="17"/>
    </row>
    <row r="18" spans="1:10" ht="15.75">
      <c r="A18" s="3"/>
      <c r="B18" s="12"/>
      <c r="C18" s="3"/>
      <c r="D18" s="3"/>
      <c r="E18" s="3"/>
      <c r="F18" s="3"/>
      <c r="G18" s="18"/>
      <c r="H18" s="18"/>
      <c r="I18" s="18"/>
      <c r="J18" s="17"/>
    </row>
    <row r="19" spans="1:10" ht="15.75">
      <c r="A19" s="3"/>
      <c r="B19" s="12"/>
      <c r="C19" s="3"/>
      <c r="D19" s="3"/>
      <c r="E19" s="3"/>
      <c r="F19" s="3"/>
      <c r="G19" s="18"/>
      <c r="H19" s="18"/>
      <c r="I19" s="18"/>
      <c r="J19" s="17"/>
    </row>
    <row r="20" spans="1:10" ht="15.75">
      <c r="A20" s="3"/>
      <c r="B20" s="12"/>
      <c r="C20" s="3"/>
      <c r="D20" s="3"/>
      <c r="E20" s="3"/>
      <c r="F20" s="3"/>
      <c r="G20" s="18"/>
      <c r="H20" s="18"/>
      <c r="I20" s="18"/>
      <c r="J20" s="17"/>
    </row>
    <row r="21" spans="1:10" ht="15.75">
      <c r="A21" s="3"/>
      <c r="B21" s="12"/>
      <c r="C21" s="3"/>
      <c r="D21" s="3"/>
      <c r="E21" s="3"/>
      <c r="F21" s="3"/>
      <c r="G21" s="18"/>
      <c r="H21" s="18"/>
      <c r="I21" s="18"/>
      <c r="J21" s="17"/>
    </row>
    <row r="22" spans="1:10" ht="15.75">
      <c r="A22" s="3"/>
      <c r="B22" s="12"/>
      <c r="C22" s="3"/>
      <c r="D22" s="3"/>
      <c r="E22" s="3"/>
      <c r="F22" s="3"/>
      <c r="G22" s="18"/>
      <c r="H22" s="18"/>
      <c r="I22" s="18"/>
      <c r="J22" s="17"/>
    </row>
    <row r="23" spans="1:10">
      <c r="A23" s="17"/>
      <c r="B23" s="17"/>
      <c r="C23" s="3"/>
      <c r="D23" s="3"/>
      <c r="E23" s="3"/>
      <c r="F23" s="3"/>
      <c r="G23" s="3"/>
      <c r="H23" s="3"/>
      <c r="I23" s="3"/>
      <c r="J23" s="17"/>
    </row>
  </sheetData>
  <pageMargins left="0.7" right="0.7" top="0.75" bottom="0.75" header="0.3" footer="0.3"/>
  <pageSetup scale="8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21E3-5B0D-47BA-A012-66E352B2FE18}">
  <dimension ref="A1:H7"/>
  <sheetViews>
    <sheetView workbookViewId="0">
      <selection activeCell="J5" sqref="J5"/>
    </sheetView>
  </sheetViews>
  <sheetFormatPr defaultRowHeight="15"/>
  <cols>
    <col min="2" max="2" width="9.28515625" bestFit="1" customWidth="1"/>
    <col min="4" max="4" width="9.28515625" bestFit="1" customWidth="1"/>
    <col min="5" max="6" width="10.140625" bestFit="1" customWidth="1"/>
    <col min="7" max="7" width="10.42578125" bestFit="1" customWidth="1"/>
  </cols>
  <sheetData>
    <row r="1" spans="1:8">
      <c r="A1" s="123" t="s">
        <v>13</v>
      </c>
      <c r="B1" s="123" t="s">
        <v>14</v>
      </c>
      <c r="C1" s="123" t="s">
        <v>15</v>
      </c>
      <c r="D1" s="123" t="s">
        <v>16</v>
      </c>
      <c r="E1" s="123" t="s">
        <v>17</v>
      </c>
      <c r="F1" s="123" t="s">
        <v>18</v>
      </c>
      <c r="G1" s="123" t="s">
        <v>11</v>
      </c>
      <c r="H1" s="123" t="s">
        <v>12</v>
      </c>
    </row>
    <row r="2" spans="1:8">
      <c r="A2" s="123">
        <v>0</v>
      </c>
      <c r="B2" s="123">
        <v>14.14</v>
      </c>
      <c r="C2" s="123">
        <v>15.87</v>
      </c>
      <c r="D2" s="123">
        <v>17.73</v>
      </c>
      <c r="E2" s="123">
        <v>4.54</v>
      </c>
      <c r="F2" s="123">
        <v>8.65</v>
      </c>
      <c r="G2" s="123">
        <v>9.7100000000000009</v>
      </c>
      <c r="H2" s="123">
        <v>5.65</v>
      </c>
    </row>
    <row r="3" spans="1:8">
      <c r="A3" s="123">
        <v>1</v>
      </c>
      <c r="B3" s="123">
        <v>10.48</v>
      </c>
      <c r="C3" s="128">
        <v>14.19</v>
      </c>
      <c r="D3" s="123">
        <v>15.73</v>
      </c>
      <c r="E3" s="123">
        <v>5.47</v>
      </c>
      <c r="F3" s="123">
        <v>7.99</v>
      </c>
      <c r="G3" s="123">
        <v>7.07</v>
      </c>
      <c r="H3" s="123">
        <v>3.32</v>
      </c>
    </row>
    <row r="4" spans="1:8">
      <c r="A4" s="123">
        <v>2</v>
      </c>
      <c r="B4" s="123">
        <v>12.82</v>
      </c>
      <c r="C4" s="128">
        <v>13.13</v>
      </c>
      <c r="D4" s="123">
        <v>16.62</v>
      </c>
      <c r="E4" s="123">
        <v>7.07</v>
      </c>
      <c r="F4" s="123">
        <v>6.83</v>
      </c>
      <c r="G4" s="123">
        <v>7.45</v>
      </c>
      <c r="H4" s="123">
        <v>7.11</v>
      </c>
    </row>
    <row r="5" spans="1:8">
      <c r="A5" s="123">
        <v>3</v>
      </c>
      <c r="B5" s="123">
        <v>17.68</v>
      </c>
      <c r="C5" s="128">
        <v>11.42</v>
      </c>
      <c r="D5" s="123">
        <v>16.809999999999999</v>
      </c>
      <c r="E5" s="123">
        <v>8.02</v>
      </c>
      <c r="F5" s="123">
        <v>7.1</v>
      </c>
      <c r="G5" s="123">
        <v>8.1199999999999992</v>
      </c>
      <c r="H5" s="123">
        <v>8.0399999999999991</v>
      </c>
    </row>
    <row r="6" spans="1:8">
      <c r="A6" s="123">
        <v>4</v>
      </c>
      <c r="B6" s="123">
        <v>13.78</v>
      </c>
      <c r="C6" s="128">
        <v>13.97</v>
      </c>
      <c r="D6" s="123">
        <v>18.13</v>
      </c>
      <c r="E6" s="123">
        <v>9.1</v>
      </c>
      <c r="F6" s="123">
        <v>7.95</v>
      </c>
      <c r="G6" s="124">
        <v>17.59</v>
      </c>
      <c r="H6" s="123">
        <v>12.81</v>
      </c>
    </row>
    <row r="7" spans="1:8">
      <c r="A7" s="123">
        <v>5</v>
      </c>
      <c r="B7" s="123">
        <v>15.36</v>
      </c>
      <c r="C7" s="128">
        <v>14.1</v>
      </c>
      <c r="D7" s="123">
        <v>11.89</v>
      </c>
      <c r="E7" s="123">
        <v>12.55</v>
      </c>
      <c r="F7" s="123">
        <v>13.58</v>
      </c>
      <c r="G7" s="123">
        <v>9.1300000000000008</v>
      </c>
      <c r="H7" s="123">
        <v>18.98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B7FA-E526-4198-B2A1-E5684C7E9F1E}">
  <sheetPr>
    <tabColor rgb="FFB18ACF"/>
    <pageSetUpPr fitToPage="1"/>
  </sheetPr>
  <dimension ref="A1:F17"/>
  <sheetViews>
    <sheetView workbookViewId="0">
      <selection activeCell="E15" sqref="E15"/>
    </sheetView>
  </sheetViews>
  <sheetFormatPr defaultRowHeight="15"/>
  <cols>
    <col min="2" max="2" width="8.28515625" bestFit="1" customWidth="1"/>
    <col min="3" max="3" width="15.28515625" bestFit="1" customWidth="1"/>
    <col min="4" max="6" width="20.5703125" bestFit="1" customWidth="1"/>
  </cols>
  <sheetData>
    <row r="1" spans="1:6">
      <c r="A1" t="s">
        <v>19</v>
      </c>
    </row>
    <row r="2" spans="1:6">
      <c r="A2" t="s">
        <v>20</v>
      </c>
    </row>
    <row r="3" spans="1:6">
      <c r="B3" s="1" t="s">
        <v>0</v>
      </c>
      <c r="C3" s="1" t="s">
        <v>21</v>
      </c>
      <c r="D3" s="1" t="s">
        <v>22</v>
      </c>
      <c r="E3" s="1"/>
      <c r="F3" s="1"/>
    </row>
    <row r="4" spans="1:6">
      <c r="B4" s="31">
        <v>157</v>
      </c>
      <c r="C4" s="1" t="s">
        <v>14</v>
      </c>
      <c r="D4" s="31" t="s">
        <v>4</v>
      </c>
      <c r="E4" s="1"/>
      <c r="F4" s="1"/>
    </row>
    <row r="5" spans="1:6" ht="15.75">
      <c r="B5" s="31" t="s">
        <v>5</v>
      </c>
      <c r="C5" s="1" t="s">
        <v>15</v>
      </c>
      <c r="D5" s="32" t="s">
        <v>6</v>
      </c>
      <c r="E5" s="1"/>
      <c r="F5" s="1"/>
    </row>
    <row r="6" spans="1:6" ht="15.75">
      <c r="B6" s="31" t="s">
        <v>7</v>
      </c>
      <c r="C6" s="1" t="s">
        <v>16</v>
      </c>
      <c r="D6" s="32" t="s">
        <v>8</v>
      </c>
      <c r="E6" s="1"/>
      <c r="F6" s="1"/>
    </row>
    <row r="7" spans="1:6" ht="15.75">
      <c r="B7" s="31">
        <v>209</v>
      </c>
      <c r="C7" s="32" t="s">
        <v>9</v>
      </c>
      <c r="D7" s="31" t="s">
        <v>4</v>
      </c>
      <c r="E7" s="32" t="s">
        <v>6</v>
      </c>
      <c r="F7" s="1"/>
    </row>
    <row r="8" spans="1:6" ht="15.75">
      <c r="B8" s="31">
        <v>212</v>
      </c>
      <c r="C8" s="32" t="s">
        <v>10</v>
      </c>
      <c r="D8" s="31" t="s">
        <v>4</v>
      </c>
      <c r="E8" s="32" t="s">
        <v>8</v>
      </c>
      <c r="F8" s="1"/>
    </row>
    <row r="9" spans="1:6" ht="15.75">
      <c r="B9" s="31">
        <v>221</v>
      </c>
      <c r="C9" s="32" t="s">
        <v>11</v>
      </c>
      <c r="D9" s="32" t="s">
        <v>6</v>
      </c>
      <c r="E9" s="32" t="s">
        <v>8</v>
      </c>
      <c r="F9" s="1"/>
    </row>
    <row r="10" spans="1:6" ht="15.75">
      <c r="B10" s="31"/>
      <c r="C10" s="32" t="s">
        <v>12</v>
      </c>
      <c r="D10" s="31" t="s">
        <v>4</v>
      </c>
      <c r="E10" s="32" t="s">
        <v>6</v>
      </c>
      <c r="F10" s="32" t="s">
        <v>8</v>
      </c>
    </row>
    <row r="15" spans="1:6">
      <c r="B15" s="19"/>
    </row>
    <row r="16" spans="1:6" ht="15.75">
      <c r="B16" s="22"/>
    </row>
    <row r="17" spans="2:2" ht="15.75">
      <c r="B17" s="22"/>
    </row>
  </sheetData>
  <pageMargins left="0.7" right="0.7" top="0.75" bottom="0.75" header="0.3" footer="0.3"/>
  <pageSetup scale="95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D305-6B17-410D-BE34-BBBA6C42DA63}">
  <sheetPr>
    <tabColor rgb="FFE6AADC"/>
    <pageSetUpPr fitToPage="1"/>
  </sheetPr>
  <dimension ref="A2:B22"/>
  <sheetViews>
    <sheetView topLeftCell="A6" workbookViewId="0">
      <selection activeCell="H20" sqref="H20"/>
    </sheetView>
  </sheetViews>
  <sheetFormatPr defaultRowHeight="15"/>
  <cols>
    <col min="1" max="1" width="44.28515625" bestFit="1" customWidth="1"/>
    <col min="2" max="2" width="12.140625" bestFit="1" customWidth="1"/>
  </cols>
  <sheetData>
    <row r="2" spans="1:2">
      <c r="A2" s="1" t="s">
        <v>23</v>
      </c>
      <c r="B2" s="1" t="s">
        <v>12</v>
      </c>
    </row>
    <row r="3" spans="1:2">
      <c r="A3" s="1" t="s">
        <v>24</v>
      </c>
      <c r="B3" s="27">
        <v>44404</v>
      </c>
    </row>
    <row r="4" spans="1:2">
      <c r="A4" s="1" t="s">
        <v>25</v>
      </c>
      <c r="B4" s="28">
        <v>222.4</v>
      </c>
    </row>
    <row r="5" spans="1:2">
      <c r="A5" s="1" t="s">
        <v>26</v>
      </c>
      <c r="B5" s="34">
        <v>15.43</v>
      </c>
    </row>
    <row r="6" spans="1:2">
      <c r="A6" s="1" t="s">
        <v>27</v>
      </c>
      <c r="B6" s="28">
        <v>5</v>
      </c>
    </row>
    <row r="7" spans="1:2">
      <c r="A7" s="1" t="s">
        <v>28</v>
      </c>
      <c r="B7" s="29">
        <v>5010000000</v>
      </c>
    </row>
    <row r="8" spans="1:2">
      <c r="A8" s="1" t="s">
        <v>29</v>
      </c>
      <c r="B8" s="11">
        <f>(100000)/B7</f>
        <v>1.9960079840319362E-5</v>
      </c>
    </row>
    <row r="9" spans="1:2">
      <c r="A9" s="1" t="s">
        <v>30</v>
      </c>
      <c r="B9" s="28">
        <v>2</v>
      </c>
    </row>
    <row r="10" spans="1:2">
      <c r="A10" s="1" t="s">
        <v>31</v>
      </c>
      <c r="B10" s="11">
        <f>(B8*B7)/10</f>
        <v>10000</v>
      </c>
    </row>
    <row r="11" spans="1:2">
      <c r="A11" s="1" t="s">
        <v>32</v>
      </c>
      <c r="B11" s="11">
        <f>(100)/B7</f>
        <v>1.9960079840319361E-8</v>
      </c>
    </row>
    <row r="12" spans="1:2">
      <c r="A12" s="1" t="s">
        <v>33</v>
      </c>
      <c r="B12" s="11">
        <f>(100)/(EXP((B17*B19*LN(2))+LN(B10)))</f>
        <v>1.3868927144835874E-4</v>
      </c>
    </row>
    <row r="13" spans="1:2">
      <c r="A13" s="1" t="s">
        <v>34</v>
      </c>
      <c r="B13" s="30"/>
    </row>
    <row r="14" spans="1:2">
      <c r="A14" s="1" t="s">
        <v>35</v>
      </c>
      <c r="B14" s="30"/>
    </row>
    <row r="15" spans="1:2">
      <c r="A15" s="1" t="s">
        <v>36</v>
      </c>
      <c r="B15" s="28">
        <f ca="1">INT(RAND()*(16-1)+1)</f>
        <v>14</v>
      </c>
    </row>
    <row r="16" spans="1:2">
      <c r="A16" s="1" t="s">
        <v>37</v>
      </c>
      <c r="B16" s="28">
        <f ca="1">INT(RAND()*(16-1)+1)</f>
        <v>10</v>
      </c>
    </row>
    <row r="17" spans="1:2">
      <c r="A17" t="s">
        <v>38</v>
      </c>
      <c r="B17" s="25">
        <v>15.43</v>
      </c>
    </row>
    <row r="18" spans="1:2">
      <c r="A18" t="s">
        <v>39</v>
      </c>
      <c r="B18" s="36">
        <f>((LN((10000000)/B10))/LN(2))*(1/B17)</f>
        <v>0.64587066005587079</v>
      </c>
    </row>
    <row r="19" spans="1:2">
      <c r="A19" t="s">
        <v>40</v>
      </c>
      <c r="B19" s="38">
        <v>0.4</v>
      </c>
    </row>
    <row r="20" spans="1:2">
      <c r="A20" t="s">
        <v>41</v>
      </c>
      <c r="B20" s="39" t="s">
        <v>42</v>
      </c>
    </row>
    <row r="21" spans="1:2">
      <c r="A21" s="24" t="s">
        <v>43</v>
      </c>
    </row>
    <row r="22" spans="1:2">
      <c r="A22" s="25" t="s">
        <v>44</v>
      </c>
    </row>
  </sheetData>
  <pageMargins left="0.7" right="0.7" top="0.75" bottom="0.75" header="0.3" footer="0.3"/>
  <pageSetup scale="96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30F7-E4EA-4AB9-B265-99BC18ADC6EC}">
  <sheetPr>
    <tabColor rgb="FFA9D08E"/>
    <pageSetUpPr fitToPage="1"/>
  </sheetPr>
  <dimension ref="A1:BT51"/>
  <sheetViews>
    <sheetView topLeftCell="A11" workbookViewId="0">
      <selection activeCell="I19" sqref="I19"/>
    </sheetView>
  </sheetViews>
  <sheetFormatPr defaultRowHeight="15"/>
  <cols>
    <col min="1" max="1" width="10.42578125" bestFit="1" customWidth="1"/>
    <col min="2" max="2" width="8.85546875" bestFit="1" customWidth="1"/>
    <col min="3" max="3" width="18.85546875" customWidth="1"/>
    <col min="4" max="4" width="10.42578125" customWidth="1"/>
    <col min="5" max="6" width="9.140625" customWidth="1"/>
    <col min="7" max="7" width="8.5703125" customWidth="1"/>
    <col min="8" max="8" width="15" bestFit="1" customWidth="1"/>
    <col min="9" max="9" width="80" customWidth="1"/>
    <col min="10" max="10" width="22.85546875" customWidth="1"/>
  </cols>
  <sheetData>
    <row r="1" spans="1:72" ht="17.25">
      <c r="A1" s="4" t="s">
        <v>45</v>
      </c>
    </row>
    <row r="2" spans="1:72" ht="18">
      <c r="A2" s="4" t="s">
        <v>46</v>
      </c>
    </row>
    <row r="3" spans="1:72" ht="17.25">
      <c r="A3" s="4" t="s">
        <v>47</v>
      </c>
    </row>
    <row r="4" spans="1:72">
      <c r="A4" s="4" t="s">
        <v>48</v>
      </c>
    </row>
    <row r="5" spans="1:72">
      <c r="A5" s="4" t="s">
        <v>49</v>
      </c>
    </row>
    <row r="6" spans="1:72">
      <c r="A6" s="4" t="s">
        <v>50</v>
      </c>
    </row>
    <row r="7" spans="1:72">
      <c r="A7" s="4" t="s">
        <v>51</v>
      </c>
    </row>
    <row r="8" spans="1:72">
      <c r="B8" s="15"/>
      <c r="C8" s="15"/>
      <c r="D8" s="15"/>
      <c r="E8" s="129"/>
      <c r="F8" s="129"/>
      <c r="G8" s="129"/>
      <c r="H8" s="5"/>
    </row>
    <row r="9" spans="1:72">
      <c r="A9" s="6" t="s">
        <v>24</v>
      </c>
      <c r="B9" s="14" t="s">
        <v>52</v>
      </c>
      <c r="C9" s="14" t="s">
        <v>1</v>
      </c>
      <c r="D9" s="120">
        <v>1E-4</v>
      </c>
      <c r="E9" s="9">
        <v>1.0000000000000001E-5</v>
      </c>
      <c r="F9" s="9">
        <v>9.9999999999999995E-7</v>
      </c>
      <c r="G9" s="126" t="s">
        <v>53</v>
      </c>
      <c r="H9" s="125" t="s">
        <v>54</v>
      </c>
      <c r="I9" s="125" t="s">
        <v>55</v>
      </c>
    </row>
    <row r="10" spans="1:72">
      <c r="A10" s="26">
        <v>44455</v>
      </c>
      <c r="B10" s="1" t="s">
        <v>56</v>
      </c>
      <c r="C10" s="1" t="s">
        <v>10</v>
      </c>
      <c r="D10" s="1"/>
      <c r="E10" s="1">
        <v>108</v>
      </c>
      <c r="F10" s="1">
        <v>11</v>
      </c>
      <c r="G10" s="11">
        <f>E10/E9</f>
        <v>10800000</v>
      </c>
      <c r="H10" s="33">
        <f>(100000)/G10*1000</f>
        <v>9.2592592592592595</v>
      </c>
      <c r="I10" s="1"/>
    </row>
    <row r="11" spans="1:72">
      <c r="A11" s="26">
        <v>44455</v>
      </c>
      <c r="B11" s="1" t="s">
        <v>57</v>
      </c>
      <c r="C11" s="1" t="s">
        <v>10</v>
      </c>
      <c r="D11" s="1"/>
      <c r="E11" s="1">
        <v>52</v>
      </c>
      <c r="F11" s="1">
        <v>7</v>
      </c>
      <c r="G11" s="11">
        <f>E11/E9</f>
        <v>5200000</v>
      </c>
      <c r="H11" s="33">
        <f>(100000)/G11*1000</f>
        <v>19.230769230769234</v>
      </c>
      <c r="I11" s="1"/>
    </row>
    <row r="12" spans="1:72">
      <c r="A12" s="26">
        <v>44455</v>
      </c>
      <c r="B12" s="1" t="s">
        <v>58</v>
      </c>
      <c r="C12" s="1" t="s">
        <v>10</v>
      </c>
      <c r="D12" s="1"/>
      <c r="E12" s="1">
        <v>94</v>
      </c>
      <c r="F12" s="1">
        <v>21</v>
      </c>
      <c r="G12" s="11">
        <f>E12/E9</f>
        <v>9400000</v>
      </c>
      <c r="H12" s="33">
        <f t="shared" ref="H12:H20" si="0">(100000)/G12*1000</f>
        <v>10.638297872340425</v>
      </c>
      <c r="I12" s="1"/>
    </row>
    <row r="13" spans="1:72" s="25" customFormat="1">
      <c r="A13" s="27">
        <v>44455</v>
      </c>
      <c r="B13" s="28" t="s">
        <v>59</v>
      </c>
      <c r="C13" s="28" t="s">
        <v>10</v>
      </c>
      <c r="D13" s="28"/>
      <c r="E13" s="28">
        <v>9</v>
      </c>
      <c r="F13" s="28">
        <v>2</v>
      </c>
      <c r="G13" s="29">
        <f>E13/E9</f>
        <v>899999.99999999988</v>
      </c>
      <c r="H13" s="119">
        <f>(100000)/G13*1000</f>
        <v>111.11111111111111</v>
      </c>
      <c r="I13" s="121" t="s">
        <v>60</v>
      </c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</row>
    <row r="14" spans="1:72">
      <c r="A14" s="26">
        <v>44455</v>
      </c>
      <c r="B14" s="1" t="s">
        <v>61</v>
      </c>
      <c r="C14" s="1" t="s">
        <v>10</v>
      </c>
      <c r="D14" s="1"/>
      <c r="E14" s="1">
        <v>106</v>
      </c>
      <c r="F14" s="1">
        <v>8</v>
      </c>
      <c r="G14" s="11">
        <f>E14/E9</f>
        <v>10600000</v>
      </c>
      <c r="H14" s="33">
        <f t="shared" si="0"/>
        <v>9.4339622641509422</v>
      </c>
      <c r="I14" s="1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</row>
    <row r="15" spans="1:72">
      <c r="A15" s="26">
        <v>44455</v>
      </c>
      <c r="B15" s="1" t="s">
        <v>62</v>
      </c>
      <c r="C15" s="1" t="s">
        <v>10</v>
      </c>
      <c r="D15" s="1"/>
      <c r="E15" s="1">
        <v>54</v>
      </c>
      <c r="F15" s="1">
        <v>10</v>
      </c>
      <c r="G15" s="11">
        <f>E15/E9</f>
        <v>5400000</v>
      </c>
      <c r="H15" s="33">
        <f t="shared" si="0"/>
        <v>18.518518518518519</v>
      </c>
      <c r="I15" s="1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</row>
    <row r="16" spans="1:72">
      <c r="A16" s="26">
        <v>44455</v>
      </c>
      <c r="B16" s="1" t="s">
        <v>63</v>
      </c>
      <c r="C16" s="1" t="s">
        <v>10</v>
      </c>
      <c r="D16" s="1"/>
      <c r="E16" s="1">
        <v>38</v>
      </c>
      <c r="F16" s="1">
        <v>4</v>
      </c>
      <c r="G16" s="11">
        <f>E16/E9</f>
        <v>3799999.9999999995</v>
      </c>
      <c r="H16" s="33">
        <f t="shared" si="0"/>
        <v>26.315789473684212</v>
      </c>
      <c r="I16" s="1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</row>
    <row r="17" spans="1:72" s="25" customFormat="1">
      <c r="A17" s="27">
        <v>44455</v>
      </c>
      <c r="B17" s="28" t="s">
        <v>64</v>
      </c>
      <c r="C17" s="28" t="s">
        <v>10</v>
      </c>
      <c r="D17" s="28"/>
      <c r="E17" s="28">
        <v>11</v>
      </c>
      <c r="F17" s="28">
        <v>5</v>
      </c>
      <c r="G17" s="29">
        <f>E17/E9</f>
        <v>1100000</v>
      </c>
      <c r="H17" s="119">
        <f>(100000)/G17*1000</f>
        <v>90.909090909090907</v>
      </c>
      <c r="I17" s="121" t="s">
        <v>60</v>
      </c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</row>
    <row r="18" spans="1:72">
      <c r="A18" s="26">
        <v>44455</v>
      </c>
      <c r="B18" s="1" t="s">
        <v>65</v>
      </c>
      <c r="C18" s="1" t="s">
        <v>10</v>
      </c>
      <c r="D18" s="1"/>
      <c r="E18" s="1">
        <v>139</v>
      </c>
      <c r="F18" s="1">
        <v>11</v>
      </c>
      <c r="G18" s="11">
        <f>E18/E9</f>
        <v>13899999.999999998</v>
      </c>
      <c r="H18" s="33">
        <f t="shared" si="0"/>
        <v>7.1942446043165482</v>
      </c>
      <c r="I18" s="1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</row>
    <row r="19" spans="1:72">
      <c r="A19" s="26">
        <v>44455</v>
      </c>
      <c r="B19" s="1" t="s">
        <v>66</v>
      </c>
      <c r="C19" s="1" t="s">
        <v>10</v>
      </c>
      <c r="D19" s="1"/>
      <c r="E19" s="1">
        <v>82</v>
      </c>
      <c r="F19" s="1">
        <v>4</v>
      </c>
      <c r="G19" s="11">
        <f>E19/E9</f>
        <v>8199999.9999999991</v>
      </c>
      <c r="H19" s="33">
        <f t="shared" si="0"/>
        <v>12.195121951219514</v>
      </c>
      <c r="I19" s="1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</row>
    <row r="20" spans="1:72">
      <c r="A20" s="26">
        <v>44455</v>
      </c>
      <c r="B20" s="1" t="s">
        <v>67</v>
      </c>
      <c r="C20" s="1" t="s">
        <v>10</v>
      </c>
      <c r="D20" s="1"/>
      <c r="E20" s="1">
        <v>54</v>
      </c>
      <c r="F20" s="1">
        <v>10</v>
      </c>
      <c r="G20" s="11">
        <f>E20/E9</f>
        <v>5400000</v>
      </c>
      <c r="H20" s="33">
        <f t="shared" si="0"/>
        <v>18.518518518518519</v>
      </c>
      <c r="I20" s="1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</row>
    <row r="21" spans="1:72" s="25" customFormat="1">
      <c r="A21" s="27">
        <v>44455</v>
      </c>
      <c r="B21" s="28" t="s">
        <v>68</v>
      </c>
      <c r="C21" s="28" t="s">
        <v>10</v>
      </c>
      <c r="D21" s="28"/>
      <c r="E21" s="28">
        <v>3</v>
      </c>
      <c r="F21" s="28">
        <v>2</v>
      </c>
      <c r="G21" s="29">
        <f>E21/E9</f>
        <v>300000</v>
      </c>
      <c r="H21" s="119">
        <f>(100000)/G21*1000</f>
        <v>333.33333333333331</v>
      </c>
      <c r="I21" s="121" t="s">
        <v>69</v>
      </c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</row>
    <row r="22" spans="1:72">
      <c r="A22" s="26"/>
      <c r="B22" s="1"/>
      <c r="C22" s="51"/>
      <c r="D22" s="51"/>
      <c r="E22" s="1"/>
      <c r="F22" s="1"/>
      <c r="G22" s="11"/>
      <c r="H22" s="33"/>
      <c r="I22" s="1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122"/>
      <c r="BQ22" s="122"/>
      <c r="BR22" s="122"/>
      <c r="BS22" s="122"/>
      <c r="BT22" s="122"/>
    </row>
    <row r="23" spans="1:72">
      <c r="A23" s="26"/>
      <c r="B23" s="1"/>
      <c r="C23" s="51"/>
      <c r="D23" s="51"/>
      <c r="E23" s="1"/>
      <c r="F23" s="1"/>
      <c r="G23" s="11"/>
      <c r="H23" s="33"/>
      <c r="I23" s="1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</row>
    <row r="24" spans="1:72">
      <c r="A24" s="26"/>
      <c r="B24" s="1"/>
      <c r="C24" s="51"/>
      <c r="D24" s="51"/>
      <c r="E24" s="1"/>
      <c r="F24" s="1"/>
      <c r="G24" s="11"/>
      <c r="H24" s="33"/>
      <c r="I24" s="1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</row>
    <row r="25" spans="1:72">
      <c r="A25" s="26"/>
      <c r="B25" s="1"/>
      <c r="C25" s="51"/>
      <c r="D25" s="51"/>
      <c r="E25" s="1"/>
      <c r="F25" s="1"/>
      <c r="G25" s="11"/>
      <c r="H25" s="33"/>
      <c r="I25" s="1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</row>
    <row r="26" spans="1:72">
      <c r="A26" s="26"/>
      <c r="B26" s="1"/>
      <c r="C26" s="51"/>
      <c r="D26" s="51"/>
      <c r="E26" s="1"/>
      <c r="F26" s="1"/>
      <c r="G26" s="11"/>
      <c r="H26" s="33"/>
      <c r="I26" s="1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</row>
    <row r="27" spans="1:72">
      <c r="A27" s="26"/>
      <c r="B27" s="1"/>
      <c r="C27" s="51"/>
      <c r="D27" s="51"/>
      <c r="E27" s="1"/>
      <c r="F27" s="1"/>
      <c r="G27" s="11"/>
      <c r="H27" s="33"/>
      <c r="I27" s="1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</row>
    <row r="28" spans="1:72">
      <c r="A28" s="26"/>
      <c r="B28" s="1"/>
      <c r="C28" s="51"/>
      <c r="D28" s="51"/>
      <c r="E28" s="1"/>
      <c r="F28" s="1"/>
      <c r="G28" s="11"/>
      <c r="H28" s="33"/>
      <c r="I28" s="1"/>
    </row>
    <row r="29" spans="1:72">
      <c r="A29" s="26"/>
      <c r="B29" s="1"/>
      <c r="C29" s="51"/>
      <c r="D29" s="51"/>
      <c r="E29" s="1"/>
      <c r="F29" s="1"/>
      <c r="G29" s="11"/>
      <c r="H29" s="33"/>
      <c r="I29" s="1"/>
    </row>
    <row r="30" spans="1:72">
      <c r="A30" s="26"/>
      <c r="B30" s="1"/>
      <c r="C30" s="37"/>
      <c r="D30" s="37"/>
      <c r="E30" s="1"/>
      <c r="F30" s="1"/>
      <c r="G30" s="11"/>
      <c r="H30" s="33"/>
      <c r="I30" s="1"/>
    </row>
    <row r="31" spans="1:72">
      <c r="A31" s="26"/>
      <c r="B31" s="1"/>
      <c r="C31" s="37"/>
      <c r="D31" s="37"/>
      <c r="E31" s="1"/>
      <c r="F31" s="1"/>
      <c r="G31" s="11"/>
      <c r="H31" s="33"/>
      <c r="I31" s="1"/>
    </row>
    <row r="32" spans="1:72">
      <c r="A32" s="26"/>
      <c r="B32" s="1"/>
      <c r="C32" s="37"/>
      <c r="D32" s="37"/>
      <c r="E32" s="1"/>
      <c r="F32" s="1"/>
      <c r="G32" s="11"/>
      <c r="H32" s="33"/>
      <c r="I32" s="1"/>
    </row>
    <row r="33" spans="1:14">
      <c r="A33" s="26"/>
      <c r="B33" s="1"/>
      <c r="C33" s="37"/>
      <c r="D33" s="37"/>
      <c r="E33" s="1"/>
      <c r="F33" s="1"/>
      <c r="G33" s="11"/>
      <c r="H33" s="33"/>
      <c r="I33" s="1"/>
    </row>
    <row r="34" spans="1:14">
      <c r="A34" s="26"/>
      <c r="B34" s="1"/>
      <c r="C34" s="37"/>
      <c r="D34" s="37"/>
      <c r="E34" s="1"/>
      <c r="F34" s="1"/>
      <c r="G34" s="11"/>
      <c r="H34" s="33"/>
      <c r="I34" s="1"/>
    </row>
    <row r="35" spans="1:14">
      <c r="A35" s="26"/>
      <c r="B35" s="1"/>
      <c r="C35" s="37"/>
      <c r="D35" s="37"/>
      <c r="E35" s="1"/>
      <c r="F35" s="1"/>
      <c r="G35" s="11"/>
      <c r="H35" s="33"/>
      <c r="I35" s="1"/>
    </row>
    <row r="36" spans="1:14">
      <c r="A36" s="26"/>
      <c r="B36" s="1"/>
      <c r="C36" s="37"/>
      <c r="D36" s="37"/>
      <c r="E36" s="1"/>
      <c r="F36" s="1"/>
      <c r="G36" s="11"/>
      <c r="H36" s="33"/>
      <c r="I36" s="1"/>
    </row>
    <row r="37" spans="1:14">
      <c r="A37" s="26"/>
      <c r="B37" s="1"/>
      <c r="C37" s="37"/>
      <c r="D37" s="37"/>
      <c r="E37" s="1"/>
      <c r="F37" s="1"/>
      <c r="G37" s="11"/>
      <c r="H37" s="33"/>
      <c r="I37" s="1"/>
    </row>
    <row r="38" spans="1:14">
      <c r="A38" s="26"/>
      <c r="B38" s="1"/>
      <c r="C38" s="37"/>
      <c r="D38" s="37"/>
      <c r="E38" s="1"/>
      <c r="F38" s="1"/>
      <c r="G38" s="11"/>
      <c r="H38" s="33"/>
      <c r="I38" s="1"/>
    </row>
    <row r="39" spans="1:14">
      <c r="A39" s="26"/>
      <c r="B39" s="1"/>
      <c r="C39" s="37"/>
      <c r="D39" s="37"/>
      <c r="E39" s="1"/>
      <c r="F39" s="1"/>
      <c r="G39" s="11"/>
      <c r="H39" s="33"/>
      <c r="I39" s="1"/>
      <c r="J39" s="11"/>
      <c r="K39" s="11"/>
      <c r="L39" s="33"/>
      <c r="M39" s="33"/>
      <c r="N39" s="1"/>
    </row>
    <row r="40" spans="1:14">
      <c r="A40" s="26"/>
      <c r="B40" s="1"/>
      <c r="C40" s="37"/>
      <c r="D40" s="37"/>
      <c r="E40" s="1"/>
      <c r="F40" s="1"/>
      <c r="G40" s="11"/>
      <c r="H40" s="33"/>
      <c r="I40" s="1"/>
    </row>
    <row r="41" spans="1:14">
      <c r="A41" s="26"/>
      <c r="B41" s="1"/>
      <c r="C41" s="37"/>
      <c r="D41" s="37"/>
      <c r="E41" s="1"/>
      <c r="F41" s="1"/>
      <c r="G41" s="11"/>
      <c r="H41" s="33"/>
      <c r="I41" s="1"/>
    </row>
    <row r="42" spans="1:14">
      <c r="A42" s="26"/>
      <c r="B42" s="1"/>
      <c r="C42" s="37"/>
      <c r="D42" s="37"/>
      <c r="E42" s="1"/>
      <c r="F42" s="1"/>
      <c r="G42" s="11"/>
      <c r="H42" s="33"/>
      <c r="I42" s="1"/>
    </row>
    <row r="43" spans="1:14">
      <c r="A43" s="26"/>
      <c r="B43" s="1"/>
      <c r="C43" s="37"/>
      <c r="D43" s="37"/>
      <c r="E43" s="1"/>
      <c r="F43" s="1"/>
      <c r="G43" s="11"/>
      <c r="H43" s="33"/>
      <c r="I43" s="1"/>
    </row>
    <row r="44" spans="1:14">
      <c r="A44" s="26"/>
      <c r="B44" s="1"/>
      <c r="C44" s="37"/>
      <c r="D44" s="37"/>
      <c r="E44" s="1"/>
      <c r="F44" s="1"/>
      <c r="G44" s="11"/>
      <c r="H44" s="33"/>
      <c r="I44" s="1"/>
    </row>
    <row r="45" spans="1:14">
      <c r="A45" s="26"/>
      <c r="B45" s="1"/>
      <c r="C45" s="37"/>
      <c r="D45" s="37"/>
      <c r="E45" s="1"/>
      <c r="F45" s="1"/>
      <c r="G45" s="11"/>
      <c r="H45" s="33"/>
      <c r="I45" s="1"/>
    </row>
    <row r="46" spans="1:14">
      <c r="A46" s="26"/>
      <c r="B46" s="1"/>
      <c r="C46" s="37"/>
      <c r="D46" s="37"/>
      <c r="E46" s="1"/>
      <c r="F46" s="1"/>
      <c r="G46" s="11"/>
      <c r="H46" s="33"/>
      <c r="I46" s="1"/>
    </row>
    <row r="47" spans="1:14">
      <c r="A47" s="26"/>
      <c r="B47" s="1"/>
      <c r="C47" s="37"/>
      <c r="D47" s="37"/>
      <c r="E47" s="1"/>
      <c r="F47" s="1"/>
      <c r="G47" s="11"/>
      <c r="H47" s="33"/>
      <c r="I47" s="1"/>
    </row>
    <row r="48" spans="1:14">
      <c r="A48" s="26"/>
      <c r="B48" s="1"/>
      <c r="C48" s="37"/>
      <c r="D48" s="37"/>
      <c r="E48" s="1"/>
      <c r="F48" s="1"/>
      <c r="G48" s="11"/>
      <c r="H48" s="33"/>
      <c r="I48" s="1"/>
    </row>
    <row r="49" spans="1:9">
      <c r="A49" s="26"/>
      <c r="B49" s="1"/>
      <c r="C49" s="37"/>
      <c r="D49" s="37"/>
      <c r="E49" s="1"/>
      <c r="F49" s="1"/>
      <c r="G49" s="11"/>
      <c r="H49" s="33"/>
      <c r="I49" s="1"/>
    </row>
    <row r="50" spans="1:9">
      <c r="A50" s="26"/>
      <c r="B50" s="1"/>
      <c r="C50" s="37"/>
      <c r="D50" s="37"/>
      <c r="E50" s="1"/>
      <c r="F50" s="1"/>
      <c r="G50" s="11"/>
      <c r="H50" s="33"/>
      <c r="I50" s="1"/>
    </row>
    <row r="51" spans="1:9">
      <c r="A51" s="26"/>
      <c r="B51" s="1"/>
      <c r="C51" s="37"/>
      <c r="D51" s="37"/>
      <c r="E51" s="1"/>
      <c r="F51" s="1"/>
      <c r="G51" s="11"/>
      <c r="H51" s="33"/>
      <c r="I51" s="1"/>
    </row>
  </sheetData>
  <mergeCells count="1">
    <mergeCell ref="E8:G8"/>
  </mergeCells>
  <pageMargins left="0.7" right="0.7" top="0.75" bottom="0.75" header="0.3" footer="0.3"/>
  <pageSetup scale="42" fitToHeight="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AB22-1F7F-47B5-B107-B8BBF98FC1CC}">
  <sheetPr>
    <tabColor rgb="FFA9D08E"/>
    <pageSetUpPr fitToPage="1"/>
  </sheetPr>
  <dimension ref="A1:AK51"/>
  <sheetViews>
    <sheetView topLeftCell="S35" workbookViewId="0">
      <selection activeCell="AE44" sqref="AE44"/>
    </sheetView>
  </sheetViews>
  <sheetFormatPr defaultRowHeight="15"/>
  <cols>
    <col min="1" max="1" width="10.140625" bestFit="1" customWidth="1"/>
    <col min="2" max="2" width="8.85546875" bestFit="1" customWidth="1"/>
    <col min="3" max="3" width="18.85546875" customWidth="1"/>
    <col min="4" max="4" width="11.28515625" customWidth="1"/>
    <col min="5" max="5" width="12.140625" bestFit="1" customWidth="1"/>
    <col min="6" max="6" width="6.85546875" customWidth="1"/>
    <col min="7" max="7" width="8.7109375" customWidth="1"/>
    <col min="8" max="8" width="8.85546875" customWidth="1"/>
    <col min="9" max="9" width="8.5703125" customWidth="1"/>
    <col min="10" max="13" width="8.28515625" customWidth="1"/>
    <col min="14" max="29" width="9.140625" customWidth="1"/>
    <col min="30" max="30" width="8.5703125" customWidth="1"/>
    <col min="31" max="31" width="8.7109375" bestFit="1" customWidth="1"/>
    <col min="32" max="32" width="80" customWidth="1"/>
    <col min="33" max="33" width="22.85546875" customWidth="1"/>
  </cols>
  <sheetData>
    <row r="1" spans="1:32" ht="17.25">
      <c r="A1" s="4" t="s">
        <v>45</v>
      </c>
    </row>
    <row r="2" spans="1:32" ht="18">
      <c r="A2" s="4" t="s">
        <v>46</v>
      </c>
    </row>
    <row r="3" spans="1:32" ht="17.25">
      <c r="A3" s="4" t="s">
        <v>47</v>
      </c>
    </row>
    <row r="4" spans="1:32">
      <c r="A4" s="4" t="s">
        <v>48</v>
      </c>
    </row>
    <row r="5" spans="1:32">
      <c r="A5" s="4" t="s">
        <v>49</v>
      </c>
    </row>
    <row r="6" spans="1:32">
      <c r="A6" s="4" t="s">
        <v>50</v>
      </c>
    </row>
    <row r="7" spans="1:32">
      <c r="A7" s="4" t="s">
        <v>51</v>
      </c>
    </row>
    <row r="8" spans="1:32">
      <c r="B8" s="15"/>
      <c r="C8" s="15"/>
      <c r="D8" s="16"/>
      <c r="E8" s="13"/>
      <c r="F8" s="130" t="s">
        <v>70</v>
      </c>
      <c r="G8" s="131"/>
      <c r="H8" s="131"/>
      <c r="I8" s="131"/>
      <c r="J8" s="127"/>
      <c r="K8" s="127"/>
      <c r="L8" s="127"/>
      <c r="M8" s="127"/>
      <c r="N8" s="127"/>
      <c r="O8" s="129" t="s">
        <v>71</v>
      </c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5"/>
    </row>
    <row r="9" spans="1:32" ht="60">
      <c r="A9" s="6" t="s">
        <v>24</v>
      </c>
      <c r="B9" s="14" t="s">
        <v>52</v>
      </c>
      <c r="C9" s="14" t="s">
        <v>1</v>
      </c>
      <c r="D9" s="14" t="s">
        <v>72</v>
      </c>
      <c r="E9" s="125" t="s">
        <v>73</v>
      </c>
      <c r="F9" s="125" t="s">
        <v>74</v>
      </c>
      <c r="G9" s="125" t="s">
        <v>75</v>
      </c>
      <c r="H9" s="7" t="s">
        <v>76</v>
      </c>
      <c r="I9" s="7" t="s">
        <v>77</v>
      </c>
      <c r="J9" s="8">
        <v>0.01</v>
      </c>
      <c r="K9" s="8">
        <v>5.0000000000000001E-3</v>
      </c>
      <c r="L9" s="8">
        <v>1E-3</v>
      </c>
      <c r="M9" s="8">
        <v>5.0000000000000001E-4</v>
      </c>
      <c r="N9" s="8">
        <v>1E-4</v>
      </c>
      <c r="O9" s="9">
        <v>5.0000000000000002E-5</v>
      </c>
      <c r="P9" s="9">
        <v>2.0000000000000002E-5</v>
      </c>
      <c r="Q9" s="9">
        <v>1.0000000000000001E-5</v>
      </c>
      <c r="R9" s="9">
        <v>7.9999999999999996E-6</v>
      </c>
      <c r="S9" s="9">
        <v>6.9999999999999999E-6</v>
      </c>
      <c r="T9" s="9">
        <v>6.0000000000000002E-6</v>
      </c>
      <c r="U9" s="9">
        <v>5.0000000000000004E-6</v>
      </c>
      <c r="V9" s="9">
        <v>1.9999999999999999E-6</v>
      </c>
      <c r="W9" s="9">
        <v>9.9999999999999995E-7</v>
      </c>
      <c r="X9" s="10">
        <v>6.9999999999999997E-7</v>
      </c>
      <c r="Y9" s="10">
        <v>4.9999999999999998E-7</v>
      </c>
      <c r="Z9" s="10">
        <v>1.9999999999999999E-7</v>
      </c>
      <c r="AA9" s="10">
        <v>9.9999999999999995E-8</v>
      </c>
      <c r="AB9" s="10">
        <v>1E-8</v>
      </c>
      <c r="AC9" s="10">
        <v>4.9999999999999998E-8</v>
      </c>
      <c r="AD9" s="126" t="s">
        <v>53</v>
      </c>
      <c r="AE9" s="125" t="s">
        <v>78</v>
      </c>
      <c r="AF9" s="125" t="s">
        <v>55</v>
      </c>
    </row>
    <row r="10" spans="1:32">
      <c r="A10" s="26">
        <v>44341</v>
      </c>
      <c r="B10" s="1">
        <v>100</v>
      </c>
      <c r="C10" s="1" t="s">
        <v>79</v>
      </c>
      <c r="D10" s="11">
        <v>7.45E-4</v>
      </c>
      <c r="E10" s="33" t="s">
        <v>80</v>
      </c>
      <c r="F10" s="1">
        <v>65</v>
      </c>
      <c r="G10" s="11">
        <v>9.9999999999999995E-7</v>
      </c>
      <c r="H10" s="11">
        <f t="shared" ref="H10:H19" si="0">(D10*F10)/G10</f>
        <v>48425.000000000007</v>
      </c>
      <c r="I10" s="11">
        <f t="shared" ref="I10:I19" si="1">(D10*F10)/(10*G10)</f>
        <v>4842.5000000000009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>
        <v>65</v>
      </c>
      <c r="X10" s="1"/>
      <c r="Y10" s="1">
        <v>36</v>
      </c>
      <c r="Z10" s="1"/>
      <c r="AA10" s="1"/>
      <c r="AB10" s="1"/>
      <c r="AC10" s="1"/>
      <c r="AD10" s="11">
        <f>W10/W9</f>
        <v>65000000</v>
      </c>
      <c r="AE10" s="33">
        <f t="shared" ref="AE10:AE26" si="2">LN(AD10/I10)/(0.667*LN(2))</f>
        <v>20.558320912836603</v>
      </c>
      <c r="AF10" s="1"/>
    </row>
    <row r="11" spans="1:32">
      <c r="A11" s="26">
        <v>44342</v>
      </c>
      <c r="B11" s="1">
        <v>157</v>
      </c>
      <c r="C11" s="1" t="s">
        <v>81</v>
      </c>
      <c r="D11" s="11">
        <v>5.62E-4</v>
      </c>
      <c r="E11" s="33">
        <v>0.56000000000000005</v>
      </c>
      <c r="F11" s="1">
        <v>118</v>
      </c>
      <c r="G11" s="11">
        <v>9.9999999999999995E-7</v>
      </c>
      <c r="H11" s="11">
        <f t="shared" si="0"/>
        <v>66316</v>
      </c>
      <c r="I11" s="11">
        <f t="shared" si="1"/>
        <v>6631.6</v>
      </c>
      <c r="J11" s="1"/>
      <c r="K11" s="1"/>
      <c r="L11" s="1"/>
      <c r="M11" s="1"/>
      <c r="N11" s="1"/>
      <c r="O11" s="1">
        <v>47</v>
      </c>
      <c r="P11" s="1"/>
      <c r="Q11" s="1">
        <v>3</v>
      </c>
      <c r="R11" s="1"/>
      <c r="S11" s="1"/>
      <c r="T11" s="1"/>
      <c r="U11" s="1">
        <v>2</v>
      </c>
      <c r="V11" s="1"/>
      <c r="W11" s="1"/>
      <c r="X11" s="1"/>
      <c r="Y11" s="1"/>
      <c r="Z11" s="1"/>
      <c r="AA11" s="1"/>
      <c r="AB11" s="1"/>
      <c r="AC11" s="1"/>
      <c r="AD11" s="11">
        <f>O11/O9</f>
        <v>940000</v>
      </c>
      <c r="AE11" s="33">
        <f t="shared" si="2"/>
        <v>10.715382243675686</v>
      </c>
      <c r="AF11" s="1"/>
    </row>
    <row r="12" spans="1:32">
      <c r="A12" s="26">
        <v>44344</v>
      </c>
      <c r="B12" s="1">
        <v>157.1</v>
      </c>
      <c r="C12" s="51" t="s">
        <v>81</v>
      </c>
      <c r="D12" s="11">
        <v>0.106</v>
      </c>
      <c r="E12" s="33">
        <v>106</v>
      </c>
      <c r="F12" s="1">
        <v>0</v>
      </c>
      <c r="G12" s="11">
        <v>9.9999999999999995E-7</v>
      </c>
      <c r="H12" s="11">
        <f t="shared" si="0"/>
        <v>0</v>
      </c>
      <c r="I12" s="11">
        <f t="shared" si="1"/>
        <v>0</v>
      </c>
      <c r="J12" s="1"/>
      <c r="K12" s="1"/>
      <c r="L12" s="1"/>
      <c r="M12" s="1"/>
      <c r="N12" s="1">
        <v>0</v>
      </c>
      <c r="O12" s="1">
        <v>0</v>
      </c>
      <c r="P12" s="1"/>
      <c r="Q12" s="1"/>
      <c r="R12" s="1"/>
      <c r="S12" s="1"/>
      <c r="T12" s="1"/>
      <c r="U12" s="1">
        <v>0</v>
      </c>
      <c r="V12" s="1"/>
      <c r="W12" s="1"/>
      <c r="X12" s="1"/>
      <c r="Y12" s="1"/>
      <c r="Z12" s="1"/>
      <c r="AA12" s="1"/>
      <c r="AB12" s="1"/>
      <c r="AC12" s="1"/>
      <c r="AD12" s="11">
        <f>O12/O9</f>
        <v>0</v>
      </c>
      <c r="AE12" s="33" t="e">
        <f t="shared" si="2"/>
        <v>#DIV/0!</v>
      </c>
      <c r="AF12" s="1" t="s">
        <v>82</v>
      </c>
    </row>
    <row r="13" spans="1:32">
      <c r="A13" s="26">
        <v>44348</v>
      </c>
      <c r="B13" s="1">
        <v>157.1</v>
      </c>
      <c r="C13" s="51" t="s">
        <v>81</v>
      </c>
      <c r="D13" s="35">
        <v>0.106</v>
      </c>
      <c r="E13" s="33">
        <v>106</v>
      </c>
      <c r="F13" s="1">
        <v>63</v>
      </c>
      <c r="G13" s="11">
        <v>1E-4</v>
      </c>
      <c r="H13" s="11">
        <f t="shared" si="0"/>
        <v>66780</v>
      </c>
      <c r="I13" s="11">
        <f t="shared" si="1"/>
        <v>6678</v>
      </c>
      <c r="J13" s="1"/>
      <c r="K13" s="1"/>
      <c r="L13" s="1"/>
      <c r="M13" s="1"/>
      <c r="N13" s="1">
        <v>335</v>
      </c>
      <c r="O13" s="1">
        <v>189</v>
      </c>
      <c r="P13" s="1"/>
      <c r="Q13" s="1">
        <v>47</v>
      </c>
      <c r="R13" s="1"/>
      <c r="S13" s="1"/>
      <c r="T13" s="1"/>
      <c r="U13" s="1">
        <v>20</v>
      </c>
      <c r="V13" s="1"/>
      <c r="W13" s="1"/>
      <c r="X13" s="1"/>
      <c r="Y13" s="1"/>
      <c r="Z13" s="1"/>
      <c r="AA13" s="1"/>
      <c r="AB13" s="1"/>
      <c r="AC13" s="1"/>
      <c r="AD13" s="11">
        <f>Q13/Q9</f>
        <v>4700000</v>
      </c>
      <c r="AE13" s="33">
        <f t="shared" si="2"/>
        <v>14.181452695729137</v>
      </c>
      <c r="AF13" s="1"/>
    </row>
    <row r="14" spans="1:32">
      <c r="A14" s="26">
        <v>44349</v>
      </c>
      <c r="B14" s="1">
        <v>157.19999999999999</v>
      </c>
      <c r="C14" s="51" t="s">
        <v>81</v>
      </c>
      <c r="D14" s="35">
        <v>2.1299999999999999E-2</v>
      </c>
      <c r="E14" s="33">
        <v>21.3</v>
      </c>
      <c r="F14" s="1">
        <v>64</v>
      </c>
      <c r="G14" s="11">
        <v>1.0000000000000001E-5</v>
      </c>
      <c r="H14" s="11">
        <f t="shared" si="0"/>
        <v>136320</v>
      </c>
      <c r="I14" s="11">
        <f t="shared" si="1"/>
        <v>13631.999999999998</v>
      </c>
      <c r="J14" s="1"/>
      <c r="K14" s="1"/>
      <c r="L14" s="1"/>
      <c r="M14" s="1"/>
      <c r="N14" s="1" t="s">
        <v>83</v>
      </c>
      <c r="O14" s="1">
        <v>208</v>
      </c>
      <c r="P14" s="1"/>
      <c r="Q14" s="1">
        <v>60</v>
      </c>
      <c r="R14" s="1"/>
      <c r="S14" s="1"/>
      <c r="T14" s="1"/>
      <c r="U14" s="1">
        <v>25</v>
      </c>
      <c r="V14" s="1"/>
      <c r="W14" s="1"/>
      <c r="X14" s="1"/>
      <c r="Y14" s="1"/>
      <c r="Z14" s="1"/>
      <c r="AA14" s="1"/>
      <c r="AB14" s="1"/>
      <c r="AC14" s="1"/>
      <c r="AD14" s="11">
        <f>Q14/Q9</f>
        <v>5999999.9999999991</v>
      </c>
      <c r="AE14" s="33">
        <f t="shared" si="2"/>
        <v>13.166149100179149</v>
      </c>
      <c r="AF14" s="1"/>
    </row>
    <row r="15" spans="1:32">
      <c r="A15" s="26">
        <v>44350</v>
      </c>
      <c r="B15" s="1">
        <v>157.30000000000001</v>
      </c>
      <c r="C15" s="51" t="s">
        <v>81</v>
      </c>
      <c r="D15" s="35">
        <v>1.67E-2</v>
      </c>
      <c r="E15" s="33">
        <v>16.7</v>
      </c>
      <c r="F15" s="1">
        <v>68</v>
      </c>
      <c r="G15" s="11">
        <v>1.0000000000000001E-5</v>
      </c>
      <c r="H15" s="11">
        <f t="shared" si="0"/>
        <v>113559.99999999999</v>
      </c>
      <c r="I15" s="11">
        <f t="shared" si="1"/>
        <v>11355.999999999998</v>
      </c>
      <c r="J15" s="1"/>
      <c r="K15" s="1"/>
      <c r="L15" s="1"/>
      <c r="M15" s="1"/>
      <c r="N15" s="1" t="s">
        <v>83</v>
      </c>
      <c r="O15" s="1">
        <v>222</v>
      </c>
      <c r="P15" s="1"/>
      <c r="Q15" s="1">
        <v>48</v>
      </c>
      <c r="R15" s="1"/>
      <c r="S15" s="1"/>
      <c r="T15" s="1"/>
      <c r="U15" s="1">
        <v>27</v>
      </c>
      <c r="V15" s="1"/>
      <c r="W15" s="1"/>
      <c r="X15" s="1"/>
      <c r="Y15" s="1"/>
      <c r="Z15" s="1"/>
      <c r="AA15" s="1"/>
      <c r="AB15" s="1"/>
      <c r="AC15" s="1"/>
      <c r="AD15" s="11">
        <f>Q15/Q9</f>
        <v>4800000</v>
      </c>
      <c r="AE15" s="33">
        <f t="shared" si="2"/>
        <v>13.078614454922905</v>
      </c>
      <c r="AF15" s="1" t="s">
        <v>84</v>
      </c>
    </row>
    <row r="16" spans="1:32">
      <c r="A16" s="26">
        <v>44350</v>
      </c>
      <c r="B16" s="1" t="s">
        <v>5</v>
      </c>
      <c r="C16" s="51" t="s">
        <v>85</v>
      </c>
      <c r="D16" s="35">
        <v>4.6899999999999997E-3</v>
      </c>
      <c r="E16" s="33">
        <v>4.6900000000000004</v>
      </c>
      <c r="F16" s="1">
        <v>20</v>
      </c>
      <c r="G16" s="11">
        <v>1.0000000000000001E-5</v>
      </c>
      <c r="H16" s="11">
        <f t="shared" si="0"/>
        <v>9379.9999999999982</v>
      </c>
      <c r="I16" s="11">
        <f t="shared" si="1"/>
        <v>937.99999999999989</v>
      </c>
      <c r="J16" s="1"/>
      <c r="K16" s="1"/>
      <c r="L16" s="1"/>
      <c r="M16" s="1"/>
      <c r="N16" s="1"/>
      <c r="O16" s="1">
        <v>31</v>
      </c>
      <c r="P16" s="1"/>
      <c r="Q16" s="1">
        <v>3</v>
      </c>
      <c r="R16" s="1"/>
      <c r="S16" s="1"/>
      <c r="T16" s="1"/>
      <c r="U16" s="1">
        <v>0</v>
      </c>
      <c r="V16" s="1"/>
      <c r="W16" s="1">
        <v>0</v>
      </c>
      <c r="X16" s="1"/>
      <c r="Y16" s="1"/>
      <c r="Z16" s="1"/>
      <c r="AA16" s="1"/>
      <c r="AB16" s="1"/>
      <c r="AC16" s="1"/>
      <c r="AD16" s="11">
        <f>O16/O9</f>
        <v>620000</v>
      </c>
      <c r="AE16" s="33">
        <f t="shared" si="2"/>
        <v>14.045674029116864</v>
      </c>
      <c r="AF16" s="1"/>
    </row>
    <row r="17" spans="1:32">
      <c r="A17" s="26">
        <v>44351</v>
      </c>
      <c r="B17" s="1" t="s">
        <v>86</v>
      </c>
      <c r="C17" s="51" t="s">
        <v>85</v>
      </c>
      <c r="D17" s="35">
        <v>0.161</v>
      </c>
      <c r="E17" s="33">
        <v>161</v>
      </c>
      <c r="F17" s="1">
        <v>31</v>
      </c>
      <c r="G17" s="11">
        <v>1E-4</v>
      </c>
      <c r="H17" s="11">
        <f t="shared" si="0"/>
        <v>49910</v>
      </c>
      <c r="I17" s="11">
        <f t="shared" si="1"/>
        <v>4991</v>
      </c>
      <c r="J17" s="1"/>
      <c r="K17" s="1"/>
      <c r="L17" s="1"/>
      <c r="M17" s="1"/>
      <c r="N17" s="1"/>
      <c r="O17" s="1">
        <v>234</v>
      </c>
      <c r="P17" s="1"/>
      <c r="Q17" s="1">
        <v>32</v>
      </c>
      <c r="R17" s="1"/>
      <c r="S17" s="1"/>
      <c r="T17" s="1"/>
      <c r="U17" s="1">
        <v>29</v>
      </c>
      <c r="V17" s="1"/>
      <c r="W17" s="1">
        <v>5</v>
      </c>
      <c r="X17" s="1"/>
      <c r="Y17" s="1"/>
      <c r="Z17" s="1"/>
      <c r="AA17" s="1"/>
      <c r="AB17" s="1"/>
      <c r="AC17" s="1"/>
      <c r="AD17" s="11">
        <f>Q17/Q9</f>
        <v>3199999.9999999995</v>
      </c>
      <c r="AE17" s="33">
        <f t="shared" si="2"/>
        <v>13.979801028388785</v>
      </c>
      <c r="AF17" s="1"/>
    </row>
    <row r="18" spans="1:32">
      <c r="A18" s="26">
        <v>44353</v>
      </c>
      <c r="B18" s="1" t="s">
        <v>87</v>
      </c>
      <c r="C18" s="51" t="s">
        <v>85</v>
      </c>
      <c r="D18" s="35">
        <v>3.1300000000000001E-2</v>
      </c>
      <c r="E18" s="33">
        <v>31.3</v>
      </c>
      <c r="F18" s="1">
        <v>43</v>
      </c>
      <c r="G18" s="11">
        <v>1.0000000000000001E-5</v>
      </c>
      <c r="H18" s="11">
        <f t="shared" si="0"/>
        <v>134590</v>
      </c>
      <c r="I18" s="11">
        <f t="shared" si="1"/>
        <v>13459</v>
      </c>
      <c r="J18" s="1"/>
      <c r="K18" s="1"/>
      <c r="L18" s="1"/>
      <c r="M18" s="1"/>
      <c r="N18" s="1"/>
      <c r="O18" s="1">
        <v>297</v>
      </c>
      <c r="P18" s="1"/>
      <c r="Q18" s="1">
        <v>25</v>
      </c>
      <c r="R18" s="1"/>
      <c r="S18" s="1"/>
      <c r="T18" s="1"/>
      <c r="U18" s="1">
        <v>23</v>
      </c>
      <c r="V18" s="1"/>
      <c r="W18" s="1">
        <v>6</v>
      </c>
      <c r="X18" s="1"/>
      <c r="Y18" s="1"/>
      <c r="Z18" s="1"/>
      <c r="AA18" s="1"/>
      <c r="AB18" s="1"/>
      <c r="AC18" s="1"/>
      <c r="AD18" s="11">
        <f>Q18/Q9</f>
        <v>2500000</v>
      </c>
      <c r="AE18" s="33">
        <f t="shared" si="2"/>
        <v>11.300169509110676</v>
      </c>
      <c r="AF18" s="1"/>
    </row>
    <row r="19" spans="1:32">
      <c r="A19" s="26">
        <v>44353</v>
      </c>
      <c r="B19" s="1">
        <v>157.4</v>
      </c>
      <c r="C19" s="51" t="s">
        <v>81</v>
      </c>
      <c r="D19" s="35">
        <v>2.0799999999999999E-2</v>
      </c>
      <c r="E19" s="33">
        <v>20.8</v>
      </c>
      <c r="F19" s="1">
        <v>151</v>
      </c>
      <c r="G19" s="11">
        <v>5.0000000000000002E-5</v>
      </c>
      <c r="H19" s="11">
        <f t="shared" si="0"/>
        <v>62816</v>
      </c>
      <c r="I19" s="11">
        <f t="shared" si="1"/>
        <v>6281.6</v>
      </c>
      <c r="J19" s="1"/>
      <c r="K19" s="1"/>
      <c r="L19" s="1"/>
      <c r="M19" s="1"/>
      <c r="N19" s="1"/>
      <c r="O19" s="1">
        <v>338</v>
      </c>
      <c r="P19" s="1"/>
      <c r="Q19" s="1">
        <v>103</v>
      </c>
      <c r="R19" s="1"/>
      <c r="S19" s="1"/>
      <c r="T19" s="1"/>
      <c r="U19" s="1">
        <v>32</v>
      </c>
      <c r="V19" s="1"/>
      <c r="W19" s="1">
        <v>12</v>
      </c>
      <c r="X19" s="1"/>
      <c r="Y19" s="1"/>
      <c r="Z19" s="1"/>
      <c r="AA19" s="1"/>
      <c r="AB19" s="1"/>
      <c r="AC19" s="1"/>
      <c r="AD19" s="11">
        <f>Q19/Q9</f>
        <v>10300000</v>
      </c>
      <c r="AE19" s="33">
        <f t="shared" si="2"/>
        <v>16.010831542790438</v>
      </c>
      <c r="AF19" s="1" t="s">
        <v>88</v>
      </c>
    </row>
    <row r="20" spans="1:32">
      <c r="A20" s="26">
        <v>44355</v>
      </c>
      <c r="B20" s="1" t="s">
        <v>89</v>
      </c>
      <c r="C20" s="51" t="s">
        <v>85</v>
      </c>
      <c r="D20" s="35">
        <v>0.04</v>
      </c>
      <c r="E20" s="33">
        <v>40</v>
      </c>
      <c r="F20" s="1">
        <v>55</v>
      </c>
      <c r="G20" s="11">
        <v>1.0000000000000001E-5</v>
      </c>
      <c r="H20" s="11">
        <f t="shared" ref="H20" si="3">(D20*F20)/G20</f>
        <v>220000</v>
      </c>
      <c r="I20" s="11">
        <f t="shared" ref="I20" si="4">(D20*F20)/(10*G20)</f>
        <v>22000</v>
      </c>
      <c r="J20" s="1"/>
      <c r="K20" s="1"/>
      <c r="L20" s="1"/>
      <c r="M20" s="1"/>
      <c r="N20" s="1"/>
      <c r="O20" s="1" t="s">
        <v>83</v>
      </c>
      <c r="P20" s="1"/>
      <c r="Q20" s="1">
        <v>131</v>
      </c>
      <c r="R20" s="1"/>
      <c r="S20" s="1"/>
      <c r="T20" s="1"/>
      <c r="U20" s="1">
        <v>70</v>
      </c>
      <c r="V20" s="1"/>
      <c r="W20" s="1">
        <v>10</v>
      </c>
      <c r="X20" s="1"/>
      <c r="Y20" s="1"/>
      <c r="Z20" s="1"/>
      <c r="AA20" s="1"/>
      <c r="AB20" s="1"/>
      <c r="AC20" s="1"/>
      <c r="AD20" s="11">
        <f>Q20/Q9</f>
        <v>13099999.999999998</v>
      </c>
      <c r="AE20" s="33">
        <f>LN(AD20/I20)/(0.667*LN(2))</f>
        <v>13.819861428298168</v>
      </c>
      <c r="AF20" s="1"/>
    </row>
    <row r="21" spans="1:32">
      <c r="A21" s="26">
        <v>44355</v>
      </c>
      <c r="B21" s="1">
        <v>181</v>
      </c>
      <c r="C21" s="51" t="s">
        <v>90</v>
      </c>
      <c r="D21" s="35">
        <v>2.5000000000000001E-2</v>
      </c>
      <c r="E21" s="33">
        <v>25</v>
      </c>
      <c r="F21" s="1">
        <v>45</v>
      </c>
      <c r="G21" s="11">
        <v>5.0000000000000002E-5</v>
      </c>
      <c r="H21" s="11">
        <f t="shared" ref="H21" si="5">(D21*F21)/G21</f>
        <v>22500</v>
      </c>
      <c r="I21" s="11">
        <f t="shared" ref="I21" si="6">(D21*F21)/(10*G21)</f>
        <v>2250</v>
      </c>
      <c r="J21" s="1"/>
      <c r="K21" s="1"/>
      <c r="L21" s="1"/>
      <c r="M21" s="1"/>
      <c r="N21" s="1"/>
      <c r="O21" s="1">
        <v>174</v>
      </c>
      <c r="P21" s="1"/>
      <c r="Q21" s="1">
        <v>30</v>
      </c>
      <c r="R21" s="1"/>
      <c r="S21" s="1"/>
      <c r="T21" s="1"/>
      <c r="U21" s="1">
        <v>18</v>
      </c>
      <c r="V21" s="1"/>
      <c r="W21" s="1">
        <v>7</v>
      </c>
      <c r="X21" s="1"/>
      <c r="Y21" s="1"/>
      <c r="Z21" s="1"/>
      <c r="AA21" s="1"/>
      <c r="AB21" s="1"/>
      <c r="AC21" s="1"/>
      <c r="AD21" s="11">
        <f>Q21/Q9</f>
        <v>2999999.9999999995</v>
      </c>
      <c r="AE21" s="33">
        <f t="shared" si="2"/>
        <v>15.563450950436177</v>
      </c>
      <c r="AF21" s="1"/>
    </row>
    <row r="22" spans="1:32">
      <c r="A22" s="26">
        <v>44355</v>
      </c>
      <c r="B22" s="1">
        <v>181.1</v>
      </c>
      <c r="C22" s="51" t="s">
        <v>90</v>
      </c>
      <c r="D22" s="35">
        <v>3.3300000000000003E-2</v>
      </c>
      <c r="E22" s="33">
        <v>33.299999999999997</v>
      </c>
      <c r="F22" s="1">
        <v>38</v>
      </c>
      <c r="G22" s="11">
        <v>1.0000000000000001E-5</v>
      </c>
      <c r="H22" s="11">
        <f t="shared" ref="H22" si="7">(D22*F22)/G22</f>
        <v>126540</v>
      </c>
      <c r="I22" s="11">
        <f t="shared" ref="I22" si="8">(D22*F22)/(10*G22)</f>
        <v>12654</v>
      </c>
      <c r="J22" s="1"/>
      <c r="K22" s="1"/>
      <c r="L22" s="1"/>
      <c r="M22" s="1"/>
      <c r="N22" s="1"/>
      <c r="O22" s="1"/>
      <c r="P22" s="1"/>
      <c r="Q22" s="1">
        <v>225</v>
      </c>
      <c r="R22" s="1"/>
      <c r="S22" s="1"/>
      <c r="T22" s="1"/>
      <c r="U22" s="1">
        <v>127</v>
      </c>
      <c r="V22" s="1"/>
      <c r="W22" s="1">
        <v>224</v>
      </c>
      <c r="X22" s="1"/>
      <c r="Y22" s="1">
        <v>8</v>
      </c>
      <c r="Z22" s="1"/>
      <c r="AA22" s="1"/>
      <c r="AB22" s="1"/>
      <c r="AC22" s="1"/>
      <c r="AD22" s="11">
        <f>U22/U9</f>
        <v>25399999.999999996</v>
      </c>
      <c r="AE22" s="33">
        <f t="shared" si="2"/>
        <v>16.448304768656868</v>
      </c>
      <c r="AF22" s="1"/>
    </row>
    <row r="23" spans="1:32">
      <c r="A23" s="26">
        <v>44357</v>
      </c>
      <c r="B23" s="1">
        <v>181.2</v>
      </c>
      <c r="C23" s="51" t="s">
        <v>90</v>
      </c>
      <c r="D23" s="35">
        <v>3.9399999999999999E-3</v>
      </c>
      <c r="E23" s="33">
        <v>3.94</v>
      </c>
      <c r="F23" s="1">
        <v>113</v>
      </c>
      <c r="G23" s="11">
        <v>5.0000000000000004E-6</v>
      </c>
      <c r="H23" s="11">
        <f t="shared" ref="H23" si="9">(D23*F23)/G23</f>
        <v>89044</v>
      </c>
      <c r="I23" s="11">
        <f t="shared" ref="I23" si="10">(D23*F23)/(10*G23)</f>
        <v>8904.4</v>
      </c>
      <c r="J23" s="1"/>
      <c r="K23" s="1"/>
      <c r="L23" s="1"/>
      <c r="M23" s="1"/>
      <c r="N23" s="1"/>
      <c r="O23" s="1"/>
      <c r="P23" s="1"/>
      <c r="Q23" s="1">
        <v>226</v>
      </c>
      <c r="R23" s="1"/>
      <c r="S23" s="1"/>
      <c r="T23" s="1"/>
      <c r="U23" s="1">
        <v>119</v>
      </c>
      <c r="V23" s="1"/>
      <c r="W23" s="1">
        <v>20</v>
      </c>
      <c r="X23" s="1"/>
      <c r="Y23" s="1">
        <v>15</v>
      </c>
      <c r="Z23" s="1"/>
      <c r="AA23" s="1"/>
      <c r="AB23" s="1"/>
      <c r="AC23" s="1"/>
      <c r="AD23" s="11">
        <f>U23/U9</f>
        <v>23799999.999999996</v>
      </c>
      <c r="AE23" s="33">
        <f t="shared" si="2"/>
        <v>17.06769947640263</v>
      </c>
      <c r="AF23" s="1"/>
    </row>
    <row r="24" spans="1:32">
      <c r="A24" s="26">
        <v>44357</v>
      </c>
      <c r="B24" s="1" t="s">
        <v>91</v>
      </c>
      <c r="C24" s="51" t="s">
        <v>85</v>
      </c>
      <c r="D24" s="35">
        <v>7.6299999999999996E-3</v>
      </c>
      <c r="E24" s="33">
        <v>7.63</v>
      </c>
      <c r="F24" s="1">
        <v>153</v>
      </c>
      <c r="G24" s="11">
        <v>1.0000000000000001E-5</v>
      </c>
      <c r="H24" s="11">
        <f t="shared" ref="H24" si="11">(D24*F24)/G24</f>
        <v>116738.99999999999</v>
      </c>
      <c r="I24" s="11">
        <f t="shared" ref="I24" si="12">(D24*F24)/(10*G24)</f>
        <v>11673.899999999998</v>
      </c>
      <c r="J24" s="1"/>
      <c r="K24" s="1"/>
      <c r="L24" s="1"/>
      <c r="M24" s="1"/>
      <c r="N24" s="1"/>
      <c r="O24" s="1" t="s">
        <v>83</v>
      </c>
      <c r="P24" s="1"/>
      <c r="Q24" s="1">
        <v>74</v>
      </c>
      <c r="R24" s="1"/>
      <c r="S24" s="1"/>
      <c r="T24" s="1"/>
      <c r="U24" s="1">
        <v>44</v>
      </c>
      <c r="V24" s="1"/>
      <c r="W24" s="1">
        <v>10</v>
      </c>
      <c r="X24" s="1"/>
      <c r="Y24" s="1"/>
      <c r="Z24" s="1"/>
      <c r="AA24" s="1"/>
      <c r="AB24" s="1"/>
      <c r="AC24" s="1"/>
      <c r="AD24" s="11">
        <f>Q24/Q9</f>
        <v>7399999.9999999991</v>
      </c>
      <c r="AE24" s="33">
        <f t="shared" si="2"/>
        <v>13.955164685796015</v>
      </c>
      <c r="AF24" s="1"/>
    </row>
    <row r="25" spans="1:32">
      <c r="A25" s="26">
        <v>44357</v>
      </c>
      <c r="B25" s="1">
        <v>212</v>
      </c>
      <c r="C25" s="51" t="s">
        <v>10</v>
      </c>
      <c r="D25" s="35">
        <v>1.5599999999999999E-2</v>
      </c>
      <c r="E25" s="33">
        <v>15.6</v>
      </c>
      <c r="F25" s="1">
        <v>86</v>
      </c>
      <c r="G25" s="11">
        <v>5.0000000000000002E-5</v>
      </c>
      <c r="H25" s="11">
        <f t="shared" ref="H25:H26" si="13">(D25*F25)/G25</f>
        <v>26831.999999999996</v>
      </c>
      <c r="I25" s="11">
        <f t="shared" ref="I25:I26" si="14">(D25*F25)/(10*G25)</f>
        <v>2683.2</v>
      </c>
      <c r="J25" s="1"/>
      <c r="K25" s="1"/>
      <c r="L25" s="1"/>
      <c r="M25" s="1">
        <v>52</v>
      </c>
      <c r="N25" s="1">
        <v>16</v>
      </c>
      <c r="O25" s="1">
        <v>5</v>
      </c>
      <c r="P25" s="1"/>
      <c r="Q25" s="1">
        <v>1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1">
        <f>M25/M9</f>
        <v>104000</v>
      </c>
      <c r="AE25" s="33">
        <f t="shared" si="2"/>
        <v>7.910772300039274</v>
      </c>
      <c r="AF25" s="1"/>
    </row>
    <row r="26" spans="1:32">
      <c r="A26" s="26">
        <v>44361</v>
      </c>
      <c r="B26" s="1">
        <v>181.2</v>
      </c>
      <c r="C26" s="51" t="s">
        <v>90</v>
      </c>
      <c r="D26" s="35">
        <v>3.9399999999999999E-3</v>
      </c>
      <c r="E26" s="33">
        <v>3.94</v>
      </c>
      <c r="F26" s="1">
        <v>115</v>
      </c>
      <c r="G26" s="11">
        <v>5.0000000000000004E-6</v>
      </c>
      <c r="H26" s="11">
        <f t="shared" si="13"/>
        <v>90620</v>
      </c>
      <c r="I26" s="11">
        <f t="shared" si="14"/>
        <v>9062</v>
      </c>
      <c r="J26" s="1"/>
      <c r="K26" s="1"/>
      <c r="L26" s="1"/>
      <c r="M26" s="1"/>
      <c r="N26" s="1"/>
      <c r="O26" s="1"/>
      <c r="P26" s="1"/>
      <c r="Q26" s="1">
        <v>193</v>
      </c>
      <c r="R26" s="1"/>
      <c r="S26" s="1"/>
      <c r="T26" s="1"/>
      <c r="U26" s="1">
        <v>99</v>
      </c>
      <c r="V26" s="1"/>
      <c r="W26" s="1">
        <v>23</v>
      </c>
      <c r="X26" s="1"/>
      <c r="Y26" s="1"/>
      <c r="Z26" s="1"/>
      <c r="AA26" s="1"/>
      <c r="AB26" s="1"/>
      <c r="AC26" s="1"/>
      <c r="AD26" s="11">
        <f>U26/U9</f>
        <v>19800000</v>
      </c>
      <c r="AE26" s="33">
        <f t="shared" si="2"/>
        <v>16.631759098955072</v>
      </c>
      <c r="AF26" s="1" t="s">
        <v>92</v>
      </c>
    </row>
    <row r="27" spans="1:32">
      <c r="A27" s="26">
        <v>44362</v>
      </c>
      <c r="B27" s="1">
        <v>181.3</v>
      </c>
      <c r="C27" s="51" t="s">
        <v>90</v>
      </c>
      <c r="D27" s="35">
        <v>5.0499999999999998E-3</v>
      </c>
      <c r="E27" s="33">
        <v>5.05</v>
      </c>
      <c r="F27" s="1">
        <v>41</v>
      </c>
      <c r="G27" s="11">
        <v>9.9999999999999995E-7</v>
      </c>
      <c r="H27" s="11">
        <f t="shared" ref="H27" si="15">(D27*F27)/G27</f>
        <v>207050</v>
      </c>
      <c r="I27" s="11">
        <f t="shared" ref="I27:I29" si="16">(D27*F27)/(10*G27)</f>
        <v>20705</v>
      </c>
      <c r="J27" s="1"/>
      <c r="K27" s="1"/>
      <c r="L27" s="1"/>
      <c r="M27" s="1"/>
      <c r="N27" s="1"/>
      <c r="O27" s="1"/>
      <c r="P27" s="1"/>
      <c r="Q27" s="1" t="s">
        <v>83</v>
      </c>
      <c r="R27" s="1"/>
      <c r="S27" s="1"/>
      <c r="T27" s="1"/>
      <c r="U27" s="1">
        <v>280</v>
      </c>
      <c r="V27" s="1"/>
      <c r="W27" s="1">
        <v>83</v>
      </c>
      <c r="X27" s="1"/>
      <c r="Y27" s="1">
        <v>43</v>
      </c>
      <c r="Z27" s="1"/>
      <c r="AA27" s="1"/>
      <c r="AB27" s="1"/>
      <c r="AC27" s="1"/>
      <c r="AD27" s="11">
        <f>W27/W9</f>
        <v>83000000</v>
      </c>
      <c r="AE27" s="33">
        <f>LN(AD27/I27)/(0.717*LN(2))</f>
        <v>16.693049398066751</v>
      </c>
      <c r="AF27" s="1" t="s">
        <v>93</v>
      </c>
    </row>
    <row r="28" spans="1:32">
      <c r="A28" s="26">
        <v>44363</v>
      </c>
      <c r="B28" s="1">
        <v>181.4</v>
      </c>
      <c r="C28" s="51" t="s">
        <v>90</v>
      </c>
      <c r="D28" s="35">
        <v>1.1999999999999999E-3</v>
      </c>
      <c r="E28" s="33">
        <v>12</v>
      </c>
      <c r="F28" s="1">
        <v>87</v>
      </c>
      <c r="G28" s="11">
        <v>9.9999999999999995E-7</v>
      </c>
      <c r="H28" s="11">
        <f>(D28*F28)/G28</f>
        <v>104400</v>
      </c>
      <c r="I28" s="11">
        <f t="shared" si="16"/>
        <v>10440</v>
      </c>
      <c r="J28" s="1"/>
      <c r="K28" s="1"/>
      <c r="L28" s="1"/>
      <c r="M28" s="1"/>
      <c r="N28" s="1"/>
      <c r="O28" s="1"/>
      <c r="P28" s="1"/>
      <c r="Q28" s="1">
        <v>24</v>
      </c>
      <c r="R28" s="1"/>
      <c r="S28" s="1"/>
      <c r="T28" s="1"/>
      <c r="U28" s="1">
        <v>13</v>
      </c>
      <c r="V28" s="1"/>
      <c r="W28" s="1">
        <v>2</v>
      </c>
      <c r="X28" s="1"/>
      <c r="Y28" s="1">
        <v>8</v>
      </c>
      <c r="Z28" s="1"/>
      <c r="AA28" s="1"/>
      <c r="AB28" s="1"/>
      <c r="AC28" s="1"/>
      <c r="AD28" s="11">
        <f>Q28/Q9</f>
        <v>2400000</v>
      </c>
      <c r="AE28" s="33">
        <f>LN(AD28/I28)/(0.667*LN(2))</f>
        <v>11.761272689206479</v>
      </c>
      <c r="AF28" s="1"/>
    </row>
    <row r="29" spans="1:32">
      <c r="A29" s="26">
        <v>44364</v>
      </c>
      <c r="B29" s="1">
        <v>209</v>
      </c>
      <c r="C29" s="51" t="s">
        <v>10</v>
      </c>
      <c r="D29" s="35">
        <v>2.7799999999999998E-2</v>
      </c>
      <c r="E29" s="33">
        <v>27</v>
      </c>
      <c r="F29" s="1">
        <v>56</v>
      </c>
      <c r="G29" s="11">
        <v>1E-4</v>
      </c>
      <c r="H29" s="11">
        <f t="shared" ref="H29" si="17">(D29*F29)/G29</f>
        <v>15567.999999999998</v>
      </c>
      <c r="I29" s="11">
        <f t="shared" si="16"/>
        <v>1556.8</v>
      </c>
      <c r="J29" s="1"/>
      <c r="K29" s="1"/>
      <c r="L29" s="1"/>
      <c r="M29" s="1"/>
      <c r="N29" s="1"/>
      <c r="O29" s="1" t="s">
        <v>83</v>
      </c>
      <c r="P29" s="1"/>
      <c r="Q29" s="1" t="s">
        <v>83</v>
      </c>
      <c r="R29" s="1"/>
      <c r="S29" s="1"/>
      <c r="T29" s="1"/>
      <c r="U29" s="1">
        <v>67</v>
      </c>
      <c r="V29" s="1"/>
      <c r="W29" s="1">
        <v>25</v>
      </c>
      <c r="X29" s="1"/>
      <c r="Y29" s="1"/>
      <c r="Z29" s="1"/>
      <c r="AA29" s="1"/>
      <c r="AB29" s="1"/>
      <c r="AC29" s="1"/>
      <c r="AD29" s="11">
        <f>U29/U9</f>
        <v>13399999.999999998</v>
      </c>
      <c r="AE29" s="33">
        <f>LN(AD29/I29)/(2.5*LN(2))</f>
        <v>5.2285447060003341</v>
      </c>
      <c r="AF29" s="1"/>
    </row>
    <row r="30" spans="1:32">
      <c r="A30" s="26">
        <v>44364</v>
      </c>
      <c r="B30" s="1">
        <v>212.1</v>
      </c>
      <c r="C30" s="37" t="s">
        <v>10</v>
      </c>
      <c r="D30" s="35">
        <v>9.6199999999999994E-2</v>
      </c>
      <c r="E30" s="33">
        <v>96.2</v>
      </c>
      <c r="F30" s="1">
        <v>61</v>
      </c>
      <c r="G30" s="11">
        <v>1E-3</v>
      </c>
      <c r="H30" s="11">
        <f t="shared" ref="H30" si="18">(D30*F30)/G30</f>
        <v>5868.2</v>
      </c>
      <c r="I30" s="11">
        <f t="shared" ref="I30" si="19">(D30*F30)/(10*G30)</f>
        <v>586.81999999999994</v>
      </c>
      <c r="J30" s="1"/>
      <c r="K30" s="1"/>
      <c r="L30" s="1"/>
      <c r="M30" s="1"/>
      <c r="N30" s="1"/>
      <c r="O30" s="1" t="s">
        <v>83</v>
      </c>
      <c r="P30" s="1"/>
      <c r="Q30" s="1">
        <v>119</v>
      </c>
      <c r="R30" s="1"/>
      <c r="S30" s="1"/>
      <c r="T30" s="1"/>
      <c r="U30" s="1">
        <v>56</v>
      </c>
      <c r="V30" s="1"/>
      <c r="W30" s="1">
        <v>14</v>
      </c>
      <c r="X30" s="1"/>
      <c r="Y30" s="1"/>
      <c r="Z30" s="1"/>
      <c r="AA30" s="1"/>
      <c r="AB30" s="1"/>
      <c r="AC30" s="1"/>
      <c r="AD30" s="11">
        <f>Q30/Q9</f>
        <v>11899999.999999998</v>
      </c>
      <c r="AE30" s="33">
        <f>LN(AD30/I30)/(1.75*LN(2))</f>
        <v>8.1758194321066018</v>
      </c>
      <c r="AF30" s="1"/>
    </row>
    <row r="31" spans="1:32">
      <c r="A31" s="26">
        <v>44365</v>
      </c>
      <c r="B31" s="1">
        <v>212.2</v>
      </c>
      <c r="C31" s="37" t="s">
        <v>10</v>
      </c>
      <c r="D31" s="35">
        <v>8.3999999999999995E-3</v>
      </c>
      <c r="E31" s="33">
        <v>8.4</v>
      </c>
      <c r="F31" s="1">
        <v>5</v>
      </c>
      <c r="G31" s="11">
        <v>1.0000000000000001E-5</v>
      </c>
      <c r="H31" s="11">
        <f t="shared" ref="H31" si="20">(D31*F31)/G31</f>
        <v>4199.9999999999991</v>
      </c>
      <c r="I31" s="11">
        <f t="shared" ref="I31" si="21">(D31*F31)/(10*G31)</f>
        <v>419.99999999999994</v>
      </c>
      <c r="J31" s="1"/>
      <c r="K31" s="1"/>
      <c r="L31" s="1"/>
      <c r="M31" s="1"/>
      <c r="N31" s="1">
        <v>10</v>
      </c>
      <c r="O31" s="1">
        <v>1</v>
      </c>
      <c r="P31" s="1"/>
      <c r="Q31" s="1">
        <v>2</v>
      </c>
      <c r="R31" s="1"/>
      <c r="S31" s="1"/>
      <c r="T31" s="1"/>
      <c r="U31" s="1">
        <v>2</v>
      </c>
      <c r="V31" s="1"/>
      <c r="W31" s="1">
        <v>2</v>
      </c>
      <c r="X31" s="1"/>
      <c r="Y31" s="1"/>
      <c r="Z31" s="1"/>
      <c r="AA31" s="1"/>
      <c r="AB31" s="1"/>
      <c r="AC31" s="1"/>
      <c r="AD31" s="11">
        <f>N31/N9</f>
        <v>100000</v>
      </c>
      <c r="AE31" s="33">
        <f>LN(AD31/I31)/(1.15*LN(2))</f>
        <v>6.8655608319745136</v>
      </c>
      <c r="AF31" s="1"/>
    </row>
    <row r="32" spans="1:32">
      <c r="A32" s="26">
        <v>44365</v>
      </c>
      <c r="B32" s="1">
        <v>209.1</v>
      </c>
      <c r="C32" s="37" t="s">
        <v>9</v>
      </c>
      <c r="D32" s="35">
        <v>7.4599999999999996E-3</v>
      </c>
      <c r="E32" s="33">
        <v>7.46</v>
      </c>
      <c r="F32" s="1">
        <v>68</v>
      </c>
      <c r="G32" s="11">
        <v>9.9999999999999995E-7</v>
      </c>
      <c r="H32" s="11">
        <f t="shared" ref="H32" si="22">(D32*F32)/G32</f>
        <v>507280</v>
      </c>
      <c r="I32" s="11">
        <f t="shared" ref="I32" si="23">(D32*F32)/(10*G32)</f>
        <v>50728</v>
      </c>
      <c r="J32" s="1"/>
      <c r="K32" s="1"/>
      <c r="L32" s="1"/>
      <c r="M32" s="1"/>
      <c r="N32" s="1"/>
      <c r="O32" s="1" t="s">
        <v>83</v>
      </c>
      <c r="P32" s="1"/>
      <c r="Q32" s="1" t="s">
        <v>83</v>
      </c>
      <c r="R32" s="1"/>
      <c r="S32" s="1"/>
      <c r="T32" s="1"/>
      <c r="U32" s="1" t="s">
        <v>83</v>
      </c>
      <c r="V32" s="1"/>
      <c r="W32" s="1">
        <v>268</v>
      </c>
      <c r="X32" s="1"/>
      <c r="Y32" s="1"/>
      <c r="Z32" s="1"/>
      <c r="AA32" s="1"/>
      <c r="AB32" s="1"/>
      <c r="AC32" s="1"/>
      <c r="AD32" s="11">
        <f>W32/W9</f>
        <v>268000000</v>
      </c>
      <c r="AE32" s="33">
        <f>LN(AD32/I32)/(1.45*LN(2))</f>
        <v>8.5290779988112888</v>
      </c>
      <c r="AF32" s="1"/>
    </row>
    <row r="33" spans="1:37">
      <c r="A33" s="26">
        <v>44370</v>
      </c>
      <c r="B33" s="1">
        <v>209.2</v>
      </c>
      <c r="C33" s="37" t="s">
        <v>9</v>
      </c>
      <c r="D33" s="35">
        <v>3.7300000000000001E-4</v>
      </c>
      <c r="E33" s="33">
        <v>3.73</v>
      </c>
      <c r="F33" s="1">
        <v>30</v>
      </c>
      <c r="G33" s="11">
        <v>9.9999999999999995E-8</v>
      </c>
      <c r="H33" s="11">
        <f t="shared" ref="H33" si="24">(D33*F33)/G33</f>
        <v>111900.00000000001</v>
      </c>
      <c r="I33" s="11">
        <f t="shared" ref="I33" si="25">(D33*F33)/(10*G33)</f>
        <v>11190</v>
      </c>
      <c r="J33" s="1"/>
      <c r="K33" s="1"/>
      <c r="L33" s="1"/>
      <c r="M33" s="1"/>
      <c r="N33" s="1"/>
      <c r="O33" s="1" t="s">
        <v>83</v>
      </c>
      <c r="P33" s="1"/>
      <c r="Q33" s="1">
        <v>111</v>
      </c>
      <c r="R33" s="1"/>
      <c r="S33" s="1"/>
      <c r="T33" s="1"/>
      <c r="U33" s="1">
        <v>64</v>
      </c>
      <c r="V33" s="1"/>
      <c r="W33" s="1">
        <v>19</v>
      </c>
      <c r="X33" s="1"/>
      <c r="Y33" s="1"/>
      <c r="Z33" s="1"/>
      <c r="AA33" s="1"/>
      <c r="AB33" s="1"/>
      <c r="AC33" s="1"/>
      <c r="AD33" s="11">
        <f>Q33/Q9</f>
        <v>11100000</v>
      </c>
      <c r="AE33" s="33">
        <f>LN(AD33/I33)/(1.16*LN(2))</f>
        <v>8.5811499352785887</v>
      </c>
      <c r="AF33" s="1"/>
    </row>
    <row r="34" spans="1:37">
      <c r="A34" s="26">
        <v>44370</v>
      </c>
      <c r="B34" s="1">
        <v>221</v>
      </c>
      <c r="C34" s="37" t="s">
        <v>94</v>
      </c>
      <c r="D34" s="35">
        <v>1.7899999999999999E-2</v>
      </c>
      <c r="E34" s="33">
        <v>17.899999999999999</v>
      </c>
      <c r="F34" s="1">
        <v>112</v>
      </c>
      <c r="G34" s="11">
        <v>5.0000000000000002E-5</v>
      </c>
      <c r="H34" s="11">
        <f t="shared" ref="H34" si="26">(D34*F34)/G34</f>
        <v>40096</v>
      </c>
      <c r="I34" s="11">
        <f t="shared" ref="I34" si="27">(D34*F34)/(10*G34)</f>
        <v>4009.6</v>
      </c>
      <c r="J34" s="1"/>
      <c r="K34" s="1"/>
      <c r="L34" s="1"/>
      <c r="M34" s="1"/>
      <c r="N34" s="1"/>
      <c r="O34" s="1">
        <v>27</v>
      </c>
      <c r="P34" s="1"/>
      <c r="Q34" s="1">
        <v>6</v>
      </c>
      <c r="R34" s="1"/>
      <c r="S34" s="1"/>
      <c r="T34" s="1"/>
      <c r="U34" s="1">
        <v>5</v>
      </c>
      <c r="V34" s="1"/>
      <c r="W34" s="1">
        <v>0</v>
      </c>
      <c r="X34" s="1"/>
      <c r="Y34" s="1"/>
      <c r="Z34" s="1"/>
      <c r="AA34" s="1"/>
      <c r="AB34" s="1"/>
      <c r="AC34" s="1"/>
      <c r="AD34" s="11">
        <f>O34/O9</f>
        <v>540000</v>
      </c>
      <c r="AE34" s="33">
        <f>LN(AD34/I34)/(1*LN(2))</f>
        <v>7.0733572772784195</v>
      </c>
      <c r="AF34" s="1"/>
    </row>
    <row r="35" spans="1:37">
      <c r="A35" s="26">
        <v>44371</v>
      </c>
      <c r="B35" s="1">
        <v>221.1</v>
      </c>
      <c r="C35" s="37" t="s">
        <v>94</v>
      </c>
      <c r="D35" s="35">
        <v>0.185</v>
      </c>
      <c r="E35" s="33">
        <v>185</v>
      </c>
      <c r="F35" s="1">
        <v>45</v>
      </c>
      <c r="G35" s="11">
        <v>5.0000000000000002E-5</v>
      </c>
      <c r="H35" s="11">
        <f t="shared" ref="H35" si="28">(D35*F35)/G35</f>
        <v>166499.99999999997</v>
      </c>
      <c r="I35" s="11">
        <f t="shared" ref="I35" si="29">(D35*F35)/(10*G35)</f>
        <v>16650</v>
      </c>
      <c r="J35" s="1"/>
      <c r="K35" s="1"/>
      <c r="L35" s="1"/>
      <c r="M35" s="1"/>
      <c r="N35" s="1">
        <v>10</v>
      </c>
      <c r="O35" s="1"/>
      <c r="P35" s="1"/>
      <c r="Q35" s="1">
        <v>2</v>
      </c>
      <c r="R35" s="1"/>
      <c r="S35" s="1"/>
      <c r="T35" s="1"/>
      <c r="U35" s="1">
        <v>1</v>
      </c>
      <c r="V35" s="1"/>
      <c r="W35" s="1"/>
      <c r="X35" s="1"/>
      <c r="Y35" s="1"/>
      <c r="Z35" s="1"/>
      <c r="AA35" s="1"/>
      <c r="AB35" s="1"/>
      <c r="AC35" s="1"/>
      <c r="AD35" s="11">
        <f>N35/N9</f>
        <v>100000</v>
      </c>
      <c r="AE35" s="33">
        <f>LN(AD35/I35)/(1.3*LN(2))</f>
        <v>1.9895430135314038</v>
      </c>
      <c r="AF35" s="1"/>
    </row>
    <row r="36" spans="1:37">
      <c r="A36" s="26">
        <v>44371</v>
      </c>
      <c r="B36" s="1">
        <v>209.3</v>
      </c>
      <c r="C36" s="37" t="s">
        <v>9</v>
      </c>
      <c r="D36" s="35">
        <v>9.0100000000000006E-3</v>
      </c>
      <c r="E36" s="33">
        <v>9.01</v>
      </c>
      <c r="F36" s="1">
        <v>76</v>
      </c>
      <c r="G36" s="11">
        <v>5.0000000000000004E-6</v>
      </c>
      <c r="H36" s="11">
        <f t="shared" ref="H36" si="30">(D36*F36)/G36</f>
        <v>136952</v>
      </c>
      <c r="I36" s="11">
        <f t="shared" ref="I36" si="31">(D36*F36)/(10*G36)</f>
        <v>13695.2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>
        <v>180</v>
      </c>
      <c r="V36" s="1"/>
      <c r="W36" s="1">
        <v>51</v>
      </c>
      <c r="X36" s="1"/>
      <c r="Y36" s="1"/>
      <c r="Z36" s="1"/>
      <c r="AA36" s="1"/>
      <c r="AB36" s="1"/>
      <c r="AC36" s="1"/>
      <c r="AD36" s="11">
        <f>W36/W9</f>
        <v>51000000</v>
      </c>
      <c r="AE36" s="33">
        <f>LN(AD36/I36)/(1.16*LN(2))</f>
        <v>10.226388962867162</v>
      </c>
      <c r="AF36" s="1"/>
    </row>
    <row r="37" spans="1:37">
      <c r="A37" s="26">
        <v>44372</v>
      </c>
      <c r="B37" s="1">
        <v>209.4</v>
      </c>
      <c r="C37" s="37" t="s">
        <v>9</v>
      </c>
      <c r="D37" s="35">
        <v>1.9599999999999999E-3</v>
      </c>
      <c r="E37" s="33">
        <v>1.96</v>
      </c>
      <c r="F37" s="1">
        <v>42</v>
      </c>
      <c r="G37" s="11">
        <v>9.9999999999999995E-7</v>
      </c>
      <c r="H37" s="11">
        <f t="shared" ref="H37" si="32">(D37*F37)/G37</f>
        <v>82320.000000000015</v>
      </c>
      <c r="I37" s="11">
        <f t="shared" ref="I37" si="33">(D37*F37)/(10*G37)</f>
        <v>8232.0000000000018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>
        <v>238</v>
      </c>
      <c r="Z37" s="1"/>
      <c r="AA37" s="1"/>
      <c r="AB37" s="1"/>
      <c r="AC37" s="1"/>
      <c r="AD37" s="11">
        <f>Y37/Y9</f>
        <v>476000000</v>
      </c>
      <c r="AE37" s="33">
        <f>LN(AD37/I37)/(1.16*LN(2))</f>
        <v>13.63737850494668</v>
      </c>
      <c r="AF37" s="1"/>
    </row>
    <row r="38" spans="1:37">
      <c r="A38" s="26">
        <v>44372</v>
      </c>
      <c r="B38" s="1">
        <v>212.1</v>
      </c>
      <c r="C38" s="37" t="s">
        <v>10</v>
      </c>
      <c r="D38" s="35">
        <v>0.96199999999999997</v>
      </c>
      <c r="E38" s="33">
        <v>9.6199999999999992</v>
      </c>
      <c r="F38" s="1">
        <v>49</v>
      </c>
      <c r="G38" s="11">
        <v>5.0000000000000001E-4</v>
      </c>
      <c r="H38" s="11">
        <f t="shared" ref="H38" si="34">(D38*F38)/G38</f>
        <v>94276</v>
      </c>
      <c r="I38" s="11">
        <f t="shared" ref="I38" si="35">(D38*F38)/(10*G38)</f>
        <v>9427.5999999999985</v>
      </c>
      <c r="J38" s="1"/>
      <c r="K38" s="1"/>
      <c r="L38" s="1"/>
      <c r="M38" s="1"/>
      <c r="N38" s="1"/>
      <c r="O38" s="1">
        <v>19</v>
      </c>
      <c r="P38" s="1"/>
      <c r="Q38" s="1">
        <v>8</v>
      </c>
      <c r="R38" s="1"/>
      <c r="S38" s="1"/>
      <c r="T38" s="1"/>
      <c r="U38" s="1">
        <v>5</v>
      </c>
      <c r="V38" s="1"/>
      <c r="W38" s="1"/>
      <c r="X38" s="1"/>
      <c r="Y38" s="1"/>
      <c r="Z38" s="1"/>
      <c r="AA38" s="1"/>
      <c r="AB38" s="1"/>
      <c r="AC38" s="1"/>
      <c r="AD38" s="11">
        <f>O38/O9</f>
        <v>380000</v>
      </c>
      <c r="AE38" s="33">
        <f>LN(AD38/I38)/(1.3*LN(2))</f>
        <v>4.1022808153808823</v>
      </c>
      <c r="AF38" s="1" t="s">
        <v>95</v>
      </c>
    </row>
    <row r="39" spans="1:37">
      <c r="A39" s="26">
        <v>44378</v>
      </c>
      <c r="B39" s="1">
        <v>212.1</v>
      </c>
      <c r="C39" s="37" t="s">
        <v>10</v>
      </c>
      <c r="D39" s="35">
        <v>9.6199999999999994E-2</v>
      </c>
      <c r="E39" s="33">
        <v>96.2</v>
      </c>
      <c r="F39" s="1"/>
      <c r="G39" s="11"/>
      <c r="H39" s="33"/>
      <c r="I39" s="11"/>
      <c r="J39" s="33"/>
      <c r="K39" s="11"/>
      <c r="L39" s="11"/>
      <c r="M39" s="11"/>
      <c r="N39" s="11"/>
      <c r="O39" s="1"/>
      <c r="P39" s="1"/>
      <c r="Q39" s="1"/>
      <c r="R39" s="1"/>
      <c r="S39" s="1"/>
      <c r="T39" s="1"/>
      <c r="U39" s="1"/>
      <c r="V39" s="1" t="s">
        <v>83</v>
      </c>
      <c r="W39" s="1"/>
      <c r="X39" s="1"/>
      <c r="Y39" s="1"/>
      <c r="Z39" s="1">
        <v>201</v>
      </c>
      <c r="AA39" s="1"/>
      <c r="AB39" s="1">
        <v>23</v>
      </c>
      <c r="AC39" s="1"/>
      <c r="AD39" s="11">
        <f>Z39/Z9</f>
        <v>1005000000</v>
      </c>
      <c r="AE39" s="33" t="e">
        <f>LN(AD39/I39)/(1.3*LN(2))</f>
        <v>#DIV/0!</v>
      </c>
      <c r="AF39" s="1"/>
      <c r="AG39" s="11"/>
      <c r="AH39" s="11"/>
      <c r="AI39" s="33"/>
      <c r="AJ39" s="33"/>
      <c r="AK39" s="1"/>
    </row>
    <row r="40" spans="1:37">
      <c r="A40" s="26">
        <v>44385</v>
      </c>
      <c r="B40" s="1">
        <v>212.2</v>
      </c>
      <c r="C40" s="37" t="s">
        <v>10</v>
      </c>
      <c r="D40" s="35">
        <v>2.1699999999999999E-4</v>
      </c>
      <c r="E40" s="33">
        <v>2.17</v>
      </c>
      <c r="F40" s="1">
        <v>54</v>
      </c>
      <c r="G40" s="11">
        <v>1E-4</v>
      </c>
      <c r="H40" s="11">
        <f t="shared" ref="H40" si="36">(D40*F40)/G40</f>
        <v>117.17999999999999</v>
      </c>
      <c r="I40" s="11">
        <f t="shared" ref="I40:I51" si="37">(D40*F40)/(10*G40)</f>
        <v>11.717999999999998</v>
      </c>
      <c r="J40" s="1"/>
      <c r="K40" s="1"/>
      <c r="L40" s="1"/>
      <c r="M40" s="1"/>
      <c r="N40" s="1"/>
      <c r="O40" s="1"/>
      <c r="P40" s="1"/>
      <c r="Q40" s="1" t="s">
        <v>96</v>
      </c>
      <c r="R40" s="1"/>
      <c r="S40" s="1"/>
      <c r="T40" s="1"/>
      <c r="U40" s="1" t="s">
        <v>83</v>
      </c>
      <c r="V40" s="1"/>
      <c r="W40" s="1"/>
      <c r="X40" s="1"/>
      <c r="Y40" s="1">
        <v>239</v>
      </c>
      <c r="Z40" s="1"/>
      <c r="AA40" s="1"/>
      <c r="AB40" s="1"/>
      <c r="AC40" s="1"/>
      <c r="AD40" s="11">
        <f>Y40/Y9</f>
        <v>478000000</v>
      </c>
      <c r="AE40" s="33">
        <f>LN(AD40/I40)/(1.31*LN(2))</f>
        <v>19.299069410197756</v>
      </c>
      <c r="AF40" s="1" t="s">
        <v>97</v>
      </c>
    </row>
    <row r="41" spans="1:37">
      <c r="A41" s="26">
        <v>44386</v>
      </c>
      <c r="B41" s="1">
        <v>212.2</v>
      </c>
      <c r="C41" s="37" t="s">
        <v>10</v>
      </c>
      <c r="D41" s="35">
        <v>2.0900000000000001E-4</v>
      </c>
      <c r="E41" s="33">
        <v>2.09</v>
      </c>
      <c r="F41" s="1">
        <v>125</v>
      </c>
      <c r="G41" s="11">
        <v>9.9999999999999995E-8</v>
      </c>
      <c r="H41" s="11">
        <f t="shared" ref="H41" si="38">(D41*F41)/G41</f>
        <v>261250.00000000003</v>
      </c>
      <c r="I41" s="11">
        <f t="shared" si="37"/>
        <v>26125.000000000004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>
        <v>209</v>
      </c>
      <c r="V41" s="1"/>
      <c r="W41" s="1"/>
      <c r="X41" s="1"/>
      <c r="Y41" s="1"/>
      <c r="Z41" s="1"/>
      <c r="AA41" s="1"/>
      <c r="AB41" s="1"/>
      <c r="AC41" s="1"/>
      <c r="AD41" s="11">
        <f>U41/U9</f>
        <v>41800000</v>
      </c>
      <c r="AE41" s="33">
        <f>LN(AD41/I41)/(1.3*LN(2))</f>
        <v>8.1875816844420957</v>
      </c>
      <c r="AF41" s="1" t="s">
        <v>98</v>
      </c>
    </row>
    <row r="42" spans="1:37">
      <c r="A42" s="26">
        <v>44385</v>
      </c>
      <c r="B42" s="1">
        <v>221.2</v>
      </c>
      <c r="C42" s="37" t="s">
        <v>11</v>
      </c>
      <c r="D42" s="35">
        <v>2.14E-4</v>
      </c>
      <c r="E42" s="33">
        <v>2.14</v>
      </c>
      <c r="F42" s="1">
        <v>209</v>
      </c>
      <c r="G42" s="11">
        <v>5.0000000000000004E-6</v>
      </c>
      <c r="H42" s="11">
        <f t="shared" ref="H42" si="39">(D42*F42)/G42</f>
        <v>8945.1999999999989</v>
      </c>
      <c r="I42" s="11">
        <f t="shared" si="37"/>
        <v>894.52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>
        <v>307</v>
      </c>
      <c r="Y42" s="1">
        <v>176</v>
      </c>
      <c r="Z42" s="1"/>
      <c r="AA42" s="1">
        <v>42</v>
      </c>
      <c r="AB42" s="1"/>
      <c r="AC42" s="1"/>
      <c r="AD42" s="11">
        <f>AA42/AA9</f>
        <v>420000000</v>
      </c>
      <c r="AE42" s="33">
        <f>LN(AD42/I42)/(1.5*LN(2))</f>
        <v>12.560562772188662</v>
      </c>
      <c r="AF42" s="1" t="s">
        <v>99</v>
      </c>
    </row>
    <row r="43" spans="1:37">
      <c r="A43" s="26">
        <v>44389</v>
      </c>
      <c r="B43" s="1">
        <v>222</v>
      </c>
      <c r="C43" s="37" t="s">
        <v>12</v>
      </c>
      <c r="D43" s="35">
        <v>9.5200000000000007E-3</v>
      </c>
      <c r="E43" s="33">
        <v>9.52</v>
      </c>
      <c r="F43" s="1">
        <v>16</v>
      </c>
      <c r="G43" s="11">
        <v>9.9999999999999995E-7</v>
      </c>
      <c r="H43" s="11">
        <f t="shared" ref="H43:H51" si="40">(D43*F43)/G43</f>
        <v>152320.00000000003</v>
      </c>
      <c r="I43" s="11">
        <f t="shared" si="37"/>
        <v>15232.000000000002</v>
      </c>
      <c r="J43" s="1"/>
      <c r="K43" s="1"/>
      <c r="L43" s="1"/>
      <c r="M43" s="1"/>
      <c r="N43" s="1"/>
      <c r="O43" s="1"/>
      <c r="P43" s="1"/>
      <c r="Q43" s="1">
        <v>43</v>
      </c>
      <c r="R43" s="1"/>
      <c r="S43" s="1"/>
      <c r="T43" s="1"/>
      <c r="U43" s="1">
        <v>13</v>
      </c>
      <c r="V43" s="1"/>
      <c r="W43" s="1">
        <v>4</v>
      </c>
      <c r="X43" s="1"/>
      <c r="Y43" s="1">
        <v>0</v>
      </c>
      <c r="Z43" s="1"/>
      <c r="AA43" s="1"/>
      <c r="AB43" s="1"/>
      <c r="AC43" s="1"/>
      <c r="AD43" s="11">
        <f>Q43/Q9</f>
        <v>4300000</v>
      </c>
      <c r="AE43" s="33">
        <f>LN(AD43/I43)/(2.45*LN(2))</f>
        <v>3.3228928431963127</v>
      </c>
      <c r="AF43" s="1" t="s">
        <v>99</v>
      </c>
    </row>
    <row r="44" spans="1:37">
      <c r="A44" s="26">
        <v>44390</v>
      </c>
      <c r="B44" s="1">
        <v>221.3</v>
      </c>
      <c r="C44" s="37" t="s">
        <v>11</v>
      </c>
      <c r="D44" s="35">
        <v>2.3800000000000001E-4</v>
      </c>
      <c r="E44" s="33">
        <v>2.38</v>
      </c>
      <c r="F44" s="1">
        <v>16</v>
      </c>
      <c r="G44" s="11">
        <v>9.9999999999999995E-7</v>
      </c>
      <c r="H44" s="11">
        <f t="shared" si="40"/>
        <v>3808.0000000000005</v>
      </c>
      <c r="I44" s="11">
        <f t="shared" si="37"/>
        <v>380.80000000000007</v>
      </c>
      <c r="J44" s="1"/>
      <c r="K44" s="1"/>
      <c r="L44" s="1"/>
      <c r="M44" s="1" t="s">
        <v>83</v>
      </c>
      <c r="N44" s="1">
        <v>119</v>
      </c>
      <c r="O44" s="1">
        <v>69</v>
      </c>
      <c r="P44" s="1"/>
      <c r="Q44" s="1">
        <v>0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1">
        <f>N44/N9</f>
        <v>1190000</v>
      </c>
      <c r="AE44" s="33">
        <f>LN(AD44/I44)/(2.45*LN(2))</f>
        <v>4.7386287650762497</v>
      </c>
      <c r="AF44" s="1"/>
    </row>
    <row r="45" spans="1:37">
      <c r="A45" s="26">
        <v>44390</v>
      </c>
      <c r="B45" s="1">
        <v>212.3</v>
      </c>
      <c r="C45" s="37" t="s">
        <v>10</v>
      </c>
      <c r="D45" s="35">
        <v>2.3900000000000002E-3</v>
      </c>
      <c r="E45" s="33">
        <v>239</v>
      </c>
      <c r="F45" s="1">
        <v>122</v>
      </c>
      <c r="G45" s="11">
        <v>4.9999999999999998E-8</v>
      </c>
      <c r="H45" s="11">
        <f t="shared" si="40"/>
        <v>5831600</v>
      </c>
      <c r="I45" s="11">
        <f t="shared" si="37"/>
        <v>583160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 t="s">
        <v>83</v>
      </c>
      <c r="Z45" s="1"/>
      <c r="AA45" s="1">
        <v>57</v>
      </c>
      <c r="AB45" s="1">
        <v>2</v>
      </c>
      <c r="AC45" s="1">
        <v>35</v>
      </c>
      <c r="AD45" s="11">
        <f>AA45/AA9</f>
        <v>570000000</v>
      </c>
      <c r="AE45" s="33">
        <f>LN(AD45/I45)/(1.15*LN(2))</f>
        <v>8.6372647286480717</v>
      </c>
      <c r="AF45" s="1"/>
    </row>
    <row r="46" spans="1:37">
      <c r="A46" s="26">
        <v>44391</v>
      </c>
      <c r="B46" s="1">
        <v>222.1</v>
      </c>
      <c r="C46" s="37" t="s">
        <v>12</v>
      </c>
      <c r="D46" s="35">
        <v>2.3300000000000001E-2</v>
      </c>
      <c r="E46" s="33">
        <v>23.3</v>
      </c>
      <c r="F46" s="1">
        <v>16</v>
      </c>
      <c r="G46" s="11">
        <v>5.0000000000000002E-5</v>
      </c>
      <c r="H46" s="11">
        <f t="shared" si="40"/>
        <v>7456</v>
      </c>
      <c r="I46" s="11">
        <f t="shared" si="37"/>
        <v>745.6</v>
      </c>
      <c r="J46" s="1"/>
      <c r="K46" s="1"/>
      <c r="L46" s="1"/>
      <c r="M46" s="1"/>
      <c r="N46" s="1"/>
      <c r="O46" s="1" t="s">
        <v>83</v>
      </c>
      <c r="P46" s="1"/>
      <c r="Q46" s="1">
        <v>343</v>
      </c>
      <c r="R46" s="1"/>
      <c r="S46" s="1"/>
      <c r="T46" s="1"/>
      <c r="U46" s="1">
        <v>236</v>
      </c>
      <c r="V46" s="1"/>
      <c r="W46" s="1">
        <v>54</v>
      </c>
      <c r="X46" s="1"/>
      <c r="Y46" s="1"/>
      <c r="Z46" s="1"/>
      <c r="AA46" s="1"/>
      <c r="AB46" s="1"/>
      <c r="AC46" s="1"/>
      <c r="AD46" s="11">
        <f>W46/W9</f>
        <v>54000000</v>
      </c>
      <c r="AE46" s="33">
        <f>LN(AD46/I46)/(3*LN(2))</f>
        <v>5.3813993405735756</v>
      </c>
      <c r="AF46" s="1"/>
    </row>
    <row r="47" spans="1:37">
      <c r="A47" s="26">
        <v>44392</v>
      </c>
      <c r="B47" s="1">
        <v>222.2</v>
      </c>
      <c r="C47" s="37" t="s">
        <v>12</v>
      </c>
      <c r="D47" s="35">
        <v>1.8500000000000001E-3</v>
      </c>
      <c r="E47" s="33">
        <v>1.85</v>
      </c>
      <c r="F47" s="1">
        <v>46</v>
      </c>
      <c r="G47" s="11">
        <v>9.9999999999999995E-7</v>
      </c>
      <c r="H47" s="11">
        <f t="shared" si="40"/>
        <v>85100.000000000015</v>
      </c>
      <c r="I47" s="11">
        <f t="shared" si="37"/>
        <v>8510.0000000000018</v>
      </c>
      <c r="J47" s="1"/>
      <c r="K47" s="1"/>
      <c r="L47" s="1"/>
      <c r="M47" s="1"/>
      <c r="N47" s="1"/>
      <c r="O47" s="1"/>
      <c r="P47" s="1"/>
      <c r="Q47" s="1">
        <v>194</v>
      </c>
      <c r="R47" s="1"/>
      <c r="S47" s="1"/>
      <c r="T47" s="1"/>
      <c r="U47" s="1">
        <v>63</v>
      </c>
      <c r="V47" s="1"/>
      <c r="W47" s="1">
        <v>22</v>
      </c>
      <c r="X47" s="1"/>
      <c r="Y47" s="1">
        <v>9</v>
      </c>
      <c r="Z47" s="1"/>
      <c r="AA47" s="1"/>
      <c r="AB47" s="1"/>
      <c r="AC47" s="1"/>
      <c r="AD47" s="11">
        <f>U47/U9</f>
        <v>12599999.999999998</v>
      </c>
      <c r="AE47" s="33">
        <f>LN(AD47/I47)/(1.3*LN(2))</f>
        <v>8.101520754894926</v>
      </c>
      <c r="AF47" s="1"/>
    </row>
    <row r="48" spans="1:37">
      <c r="A48" s="26">
        <v>44392</v>
      </c>
      <c r="B48" s="1">
        <v>212.4</v>
      </c>
      <c r="C48" s="37" t="s">
        <v>10</v>
      </c>
      <c r="D48" s="35">
        <v>1.75E-4</v>
      </c>
      <c r="E48" s="33">
        <v>1.75</v>
      </c>
      <c r="F48" s="1">
        <v>103</v>
      </c>
      <c r="G48" s="11">
        <v>9.9999999999999995E-8</v>
      </c>
      <c r="H48" s="11">
        <f t="shared" si="40"/>
        <v>180250</v>
      </c>
      <c r="I48" s="11">
        <f t="shared" si="37"/>
        <v>18025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 t="s">
        <v>83</v>
      </c>
      <c r="Z48" s="1"/>
      <c r="AA48" s="1">
        <v>224</v>
      </c>
      <c r="AB48" s="1">
        <v>31</v>
      </c>
      <c r="AC48" s="1">
        <v>116</v>
      </c>
      <c r="AD48" s="11">
        <f>AC48/AC9</f>
        <v>2320000000</v>
      </c>
      <c r="AE48" s="33">
        <f>LN(AD48/I48)/(1.15*LN(2))</f>
        <v>14.759796539411793</v>
      </c>
      <c r="AF48" s="1"/>
    </row>
    <row r="49" spans="1:32">
      <c r="A49" s="26">
        <v>44393</v>
      </c>
      <c r="B49" s="1">
        <v>221.4</v>
      </c>
      <c r="C49" s="37" t="s">
        <v>11</v>
      </c>
      <c r="D49" s="35">
        <v>8.4000000000000005E-2</v>
      </c>
      <c r="E49" s="33">
        <v>84</v>
      </c>
      <c r="F49" s="1">
        <v>100</v>
      </c>
      <c r="G49" s="11">
        <v>5.0000000000000002E-5</v>
      </c>
      <c r="H49" s="11">
        <f t="shared" si="40"/>
        <v>168000</v>
      </c>
      <c r="I49" s="11">
        <f t="shared" si="37"/>
        <v>16800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 t="s">
        <v>83</v>
      </c>
      <c r="Z49" s="1"/>
      <c r="AA49" s="1" t="s">
        <v>83</v>
      </c>
      <c r="AB49" s="1">
        <v>53</v>
      </c>
      <c r="AC49" s="1">
        <v>289</v>
      </c>
      <c r="AD49" s="11">
        <f>AB49/AB9</f>
        <v>5300000000</v>
      </c>
      <c r="AE49" s="33">
        <f>LN(AD49/I49)/(2.45*LN(2))</f>
        <v>7.4559884086157604</v>
      </c>
      <c r="AF49" s="1"/>
    </row>
    <row r="50" spans="1:32">
      <c r="A50" s="26">
        <v>44396</v>
      </c>
      <c r="B50" s="1">
        <v>222.3</v>
      </c>
      <c r="C50" s="37" t="s">
        <v>12</v>
      </c>
      <c r="D50" s="35">
        <v>7.9399999999999991E-3</v>
      </c>
      <c r="E50" s="33">
        <v>7.94</v>
      </c>
      <c r="F50" s="1">
        <v>29</v>
      </c>
      <c r="G50" s="11">
        <v>5.0000000000000004E-6</v>
      </c>
      <c r="H50" s="11">
        <f t="shared" si="40"/>
        <v>46051.999999999993</v>
      </c>
      <c r="I50" s="11">
        <f t="shared" si="37"/>
        <v>4605.1999999999989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>
        <v>501</v>
      </c>
      <c r="AB50" s="1"/>
      <c r="AC50" s="1"/>
      <c r="AD50" s="11">
        <f>AA50/AA9</f>
        <v>5010000000</v>
      </c>
      <c r="AE50" s="33">
        <f>LN(AD50/I50)/(1.3*LN(2))</f>
        <v>15.425473353864289</v>
      </c>
      <c r="AF50" s="1"/>
    </row>
    <row r="51" spans="1:32">
      <c r="A51" s="26">
        <v>44404</v>
      </c>
      <c r="B51" s="1">
        <v>222.4</v>
      </c>
      <c r="C51" s="37" t="s">
        <v>12</v>
      </c>
      <c r="D51" s="35">
        <v>2.0000000000000002E-5</v>
      </c>
      <c r="E51" s="33">
        <v>2</v>
      </c>
      <c r="F51" s="1">
        <v>110</v>
      </c>
      <c r="G51" s="11">
        <v>4.9999999999999998E-8</v>
      </c>
      <c r="H51" s="11">
        <f t="shared" si="40"/>
        <v>44000.000000000007</v>
      </c>
      <c r="I51" s="11">
        <f t="shared" si="37"/>
        <v>4400.0000000000009</v>
      </c>
      <c r="J51" s="1"/>
      <c r="K51" s="1"/>
      <c r="L51" s="1"/>
      <c r="M51" s="1" t="s">
        <v>100</v>
      </c>
      <c r="N51" s="1"/>
      <c r="O51" s="1" t="s">
        <v>83</v>
      </c>
      <c r="P51" s="1"/>
      <c r="Q51" s="1">
        <v>263</v>
      </c>
      <c r="R51" s="1"/>
      <c r="S51" s="1"/>
      <c r="T51" s="1"/>
      <c r="U51" s="1">
        <v>130</v>
      </c>
      <c r="V51" s="1"/>
      <c r="W51" s="1"/>
      <c r="X51" s="1"/>
      <c r="Y51" s="1"/>
      <c r="Z51" s="1"/>
      <c r="AA51" s="1"/>
      <c r="AB51" s="1"/>
      <c r="AC51" s="1"/>
      <c r="AD51" s="11">
        <f>U51/U9</f>
        <v>25999999.999999996</v>
      </c>
      <c r="AE51" s="33">
        <f>LN(AD51/I51)/(1.3*LN(2))</f>
        <v>9.6374772915794189</v>
      </c>
      <c r="AF51" s="1"/>
    </row>
  </sheetData>
  <mergeCells count="2">
    <mergeCell ref="F8:I8"/>
    <mergeCell ref="O8:AD8"/>
  </mergeCells>
  <pageMargins left="0.7" right="0.7" top="0.75" bottom="0.75" header="0.3" footer="0.3"/>
  <pageSetup scale="42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8588-4727-4A77-B6F9-09B9577C37EA}">
  <sheetPr>
    <tabColor rgb="FF9BC2E6"/>
    <pageSetUpPr fitToPage="1"/>
  </sheetPr>
  <dimension ref="A1:AP55"/>
  <sheetViews>
    <sheetView topLeftCell="U30" workbookViewId="0">
      <selection activeCell="AM44" sqref="AM44"/>
    </sheetView>
  </sheetViews>
  <sheetFormatPr defaultRowHeight="15"/>
  <cols>
    <col min="1" max="1" width="17.42578125" customWidth="1"/>
    <col min="2" max="2" width="8.85546875" bestFit="1" customWidth="1"/>
    <col min="3" max="3" width="18.85546875" customWidth="1"/>
    <col min="4" max="4" width="11.28515625" customWidth="1"/>
    <col min="5" max="5" width="12.140625" bestFit="1" customWidth="1"/>
    <col min="6" max="6" width="6.85546875" customWidth="1"/>
    <col min="7" max="11" width="8.7109375" customWidth="1"/>
    <col min="12" max="12" width="8.85546875" customWidth="1"/>
    <col min="13" max="14" width="8.5703125" customWidth="1"/>
    <col min="15" max="17" width="8.28515625" hidden="1" customWidth="1"/>
    <col min="18" max="18" width="8.28515625" customWidth="1"/>
    <col min="19" max="22" width="9.140625" customWidth="1"/>
    <col min="23" max="25" width="9.140625" hidden="1" customWidth="1"/>
    <col min="26" max="34" width="9.140625" customWidth="1"/>
    <col min="35" max="35" width="8.5703125" customWidth="1"/>
    <col min="36" max="36" width="9.7109375" customWidth="1"/>
    <col min="37" max="37" width="8.7109375" bestFit="1" customWidth="1"/>
    <col min="38" max="38" width="8.7109375" customWidth="1"/>
    <col min="39" max="39" width="11.7109375" customWidth="1"/>
    <col min="40" max="40" width="47.5703125" customWidth="1"/>
    <col min="42" max="42" width="24.7109375" bestFit="1" customWidth="1"/>
  </cols>
  <sheetData>
    <row r="1" spans="1:42" ht="17.25">
      <c r="A1" s="4" t="s">
        <v>45</v>
      </c>
    </row>
    <row r="2" spans="1:42" ht="18">
      <c r="A2" s="4" t="s">
        <v>46</v>
      </c>
    </row>
    <row r="3" spans="1:42" ht="17.25">
      <c r="A3" s="4" t="s">
        <v>47</v>
      </c>
    </row>
    <row r="4" spans="1:42">
      <c r="A4" s="4" t="s">
        <v>48</v>
      </c>
    </row>
    <row r="5" spans="1:42">
      <c r="A5" s="4" t="s">
        <v>49</v>
      </c>
    </row>
    <row r="6" spans="1:42">
      <c r="A6" s="4" t="s">
        <v>50</v>
      </c>
    </row>
    <row r="7" spans="1:42">
      <c r="A7" s="4" t="s">
        <v>51</v>
      </c>
    </row>
    <row r="8" spans="1:42">
      <c r="A8" s="44" t="s">
        <v>101</v>
      </c>
      <c r="B8" s="40" t="s">
        <v>102</v>
      </c>
      <c r="C8" s="43"/>
      <c r="D8" s="16"/>
      <c r="E8" s="13"/>
      <c r="F8" s="130" t="s">
        <v>70</v>
      </c>
      <c r="G8" s="131"/>
      <c r="H8" s="131"/>
      <c r="I8" s="131"/>
      <c r="J8" s="131"/>
      <c r="K8" s="131"/>
      <c r="L8" s="131"/>
      <c r="M8" s="131"/>
      <c r="N8" s="127"/>
      <c r="O8" s="127"/>
      <c r="P8" s="127"/>
      <c r="Q8" s="127"/>
      <c r="R8" s="127"/>
      <c r="S8" s="127"/>
      <c r="T8" s="129" t="s">
        <v>71</v>
      </c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46"/>
      <c r="AK8" s="5"/>
      <c r="AL8" s="5"/>
      <c r="AM8" s="5"/>
    </row>
    <row r="9" spans="1:42" ht="60">
      <c r="A9" s="6" t="s">
        <v>24</v>
      </c>
      <c r="B9" s="14" t="s">
        <v>52</v>
      </c>
      <c r="C9" s="14" t="s">
        <v>1</v>
      </c>
      <c r="D9" s="14" t="s">
        <v>103</v>
      </c>
      <c r="E9" s="125" t="s">
        <v>73</v>
      </c>
      <c r="F9" s="125" t="s">
        <v>74</v>
      </c>
      <c r="G9" s="125" t="s">
        <v>75</v>
      </c>
      <c r="H9" s="125" t="s">
        <v>104</v>
      </c>
      <c r="I9" s="125" t="s">
        <v>105</v>
      </c>
      <c r="J9" s="125" t="s">
        <v>106</v>
      </c>
      <c r="K9" s="125" t="s">
        <v>107</v>
      </c>
      <c r="L9" s="7" t="s">
        <v>76</v>
      </c>
      <c r="M9" s="7" t="s">
        <v>108</v>
      </c>
      <c r="N9" s="7" t="s">
        <v>109</v>
      </c>
      <c r="O9" s="52">
        <v>0.01</v>
      </c>
      <c r="P9" s="52">
        <v>5.0000000000000001E-3</v>
      </c>
      <c r="Q9" s="52">
        <v>1E-3</v>
      </c>
      <c r="R9" s="52">
        <v>5.0000000000000001E-4</v>
      </c>
      <c r="S9" s="52">
        <v>1E-4</v>
      </c>
      <c r="T9" s="53">
        <v>5.0000000000000002E-5</v>
      </c>
      <c r="U9" s="53">
        <v>2.0000000000000002E-5</v>
      </c>
      <c r="V9" s="53">
        <v>1.0000000000000001E-5</v>
      </c>
      <c r="W9" s="53">
        <v>7.9999999999999996E-6</v>
      </c>
      <c r="X9" s="53">
        <v>6.9999999999999999E-6</v>
      </c>
      <c r="Y9" s="53">
        <v>6.0000000000000002E-6</v>
      </c>
      <c r="Z9" s="53">
        <v>5.0000000000000004E-6</v>
      </c>
      <c r="AA9" s="53">
        <v>1.9999999999999999E-6</v>
      </c>
      <c r="AB9" s="53">
        <v>9.9999999999999995E-7</v>
      </c>
      <c r="AC9" s="54">
        <v>6.9999999999999997E-7</v>
      </c>
      <c r="AD9" s="54">
        <v>4.9999999999999998E-7</v>
      </c>
      <c r="AE9" s="54">
        <v>1.9999999999999999E-7</v>
      </c>
      <c r="AF9" s="54">
        <v>9.9999999999999995E-8</v>
      </c>
      <c r="AG9" s="54">
        <v>4.9999999999999998E-8</v>
      </c>
      <c r="AH9" s="54">
        <v>1E-8</v>
      </c>
      <c r="AI9" s="47" t="s">
        <v>110</v>
      </c>
      <c r="AJ9" s="47" t="s">
        <v>111</v>
      </c>
      <c r="AK9" s="7" t="s">
        <v>112</v>
      </c>
      <c r="AL9" s="7" t="s">
        <v>113</v>
      </c>
      <c r="AM9" s="125" t="s">
        <v>114</v>
      </c>
      <c r="AN9" s="125" t="s">
        <v>55</v>
      </c>
      <c r="AO9" s="42" t="s">
        <v>115</v>
      </c>
      <c r="AP9" s="42" t="s">
        <v>116</v>
      </c>
    </row>
    <row r="10" spans="1:42">
      <c r="A10" s="26">
        <v>44350</v>
      </c>
      <c r="B10" s="1" t="s">
        <v>5</v>
      </c>
      <c r="C10" s="1" t="s">
        <v>85</v>
      </c>
      <c r="D10" s="35">
        <v>4.6899999999999997E-3</v>
      </c>
      <c r="E10" s="33">
        <v>4.6900000000000004</v>
      </c>
      <c r="F10" s="1">
        <v>20</v>
      </c>
      <c r="G10" s="11">
        <v>1.0000000000000001E-5</v>
      </c>
      <c r="H10" s="33">
        <v>1</v>
      </c>
      <c r="I10" s="11">
        <v>9.9999999999999995E-7</v>
      </c>
      <c r="J10" s="33">
        <v>15</v>
      </c>
      <c r="K10" s="11">
        <v>5.0000000000000004E-6</v>
      </c>
      <c r="L10" s="11">
        <f t="shared" ref="L10:L14" si="0">(D10*F10)/G10</f>
        <v>9379.9999999999982</v>
      </c>
      <c r="M10" s="11">
        <f>(D10*F10)/(10*G10)</f>
        <v>937.99999999999989</v>
      </c>
      <c r="N10" s="11">
        <f>(D10*(F10+H10+J10))/(10*(G10+I10+K10))</f>
        <v>1055.2499999999998</v>
      </c>
      <c r="O10" s="1"/>
      <c r="P10" s="1"/>
      <c r="Q10" s="1"/>
      <c r="R10" s="1"/>
      <c r="S10" s="1"/>
      <c r="T10" s="28">
        <v>31</v>
      </c>
      <c r="U10" s="1"/>
      <c r="V10" s="1">
        <v>3</v>
      </c>
      <c r="W10" s="1"/>
      <c r="X10" s="1"/>
      <c r="Y10" s="1"/>
      <c r="Z10" s="1">
        <v>0</v>
      </c>
      <c r="AA10" s="1"/>
      <c r="AB10" s="1">
        <v>0</v>
      </c>
      <c r="AC10" s="1"/>
      <c r="AD10" s="1"/>
      <c r="AE10" s="1"/>
      <c r="AF10" s="1"/>
      <c r="AG10" s="1"/>
      <c r="AH10" s="1"/>
      <c r="AI10" s="11">
        <f>T10/T9</f>
        <v>620000</v>
      </c>
      <c r="AJ10" s="11">
        <f>SUM(T10,V10,Z10,AB10)/SUM(T9,V9,Z9,AB9)</f>
        <v>515151.51515151514</v>
      </c>
      <c r="AK10" s="33">
        <f>LN(AI10/M10)/(AM10*LN(2))</f>
        <v>14.194643299122649</v>
      </c>
      <c r="AL10" s="33">
        <f>LN(AJ10/N10)/(AM10*LN(2))</f>
        <v>13.532224510997532</v>
      </c>
      <c r="AM10" s="33">
        <v>0.66</v>
      </c>
      <c r="AN10" s="1"/>
      <c r="AO10" s="40" t="s">
        <v>102</v>
      </c>
      <c r="AP10" t="s">
        <v>117</v>
      </c>
    </row>
    <row r="11" spans="1:42">
      <c r="A11" s="26">
        <v>44351</v>
      </c>
      <c r="B11" s="1" t="s">
        <v>86</v>
      </c>
      <c r="C11" s="1" t="s">
        <v>85</v>
      </c>
      <c r="D11" s="35">
        <v>0.161</v>
      </c>
      <c r="E11" s="33">
        <v>161</v>
      </c>
      <c r="F11" s="1">
        <v>31</v>
      </c>
      <c r="G11" s="11">
        <v>1E-4</v>
      </c>
      <c r="H11" s="33">
        <v>14</v>
      </c>
      <c r="I11" s="11">
        <v>5.0000000000000002E-5</v>
      </c>
      <c r="J11" s="33">
        <v>179</v>
      </c>
      <c r="K11" s="11">
        <v>5.0000000000000001E-4</v>
      </c>
      <c r="L11" s="11">
        <f t="shared" si="0"/>
        <v>49910</v>
      </c>
      <c r="M11" s="11">
        <f t="shared" ref="M11:M13" si="1">(D11*F11)/(10*G11)</f>
        <v>4991</v>
      </c>
      <c r="N11" s="11">
        <f>(D11*(F11+H11+J11))/(10*(G11+I11+K11))</f>
        <v>5548.3076923076924</v>
      </c>
      <c r="O11" s="1"/>
      <c r="P11" s="1"/>
      <c r="Q11" s="1"/>
      <c r="R11" s="1"/>
      <c r="S11" s="1"/>
      <c r="T11" s="1">
        <v>234</v>
      </c>
      <c r="U11" s="1"/>
      <c r="V11" s="28">
        <v>32</v>
      </c>
      <c r="W11" s="1"/>
      <c r="X11" s="1"/>
      <c r="Y11" s="1"/>
      <c r="Z11" s="1">
        <v>29</v>
      </c>
      <c r="AA11" s="1"/>
      <c r="AB11" s="1">
        <v>5</v>
      </c>
      <c r="AC11" s="1"/>
      <c r="AD11" s="1"/>
      <c r="AE11" s="1"/>
      <c r="AF11" s="1"/>
      <c r="AG11" s="1"/>
      <c r="AH11" s="1"/>
      <c r="AI11" s="11">
        <f>V11/V9</f>
        <v>3199999.9999999995</v>
      </c>
      <c r="AJ11" s="11">
        <f>SUM(V11+T11+Z11+AB11) /SUM(AB9+Z9+V9+T9)</f>
        <v>4545454.5454545449</v>
      </c>
      <c r="AK11" s="33">
        <f>LN(AI11/M11)/(AM11*LN(2))</f>
        <v>14.128071645356544</v>
      </c>
      <c r="AL11" s="33">
        <f>LN(AJ11/N11)/(AM11*LN(2))</f>
        <v>14.663880391561323</v>
      </c>
      <c r="AM11" s="33">
        <v>0.66</v>
      </c>
      <c r="AN11" s="1"/>
      <c r="AO11" s="41" t="s">
        <v>102</v>
      </c>
      <c r="AP11" t="s">
        <v>118</v>
      </c>
    </row>
    <row r="12" spans="1:42" ht="16.5" customHeight="1">
      <c r="A12" s="26">
        <v>44353</v>
      </c>
      <c r="B12" s="1" t="s">
        <v>87</v>
      </c>
      <c r="C12" s="1" t="s">
        <v>85</v>
      </c>
      <c r="D12" s="35">
        <v>3.1300000000000001E-2</v>
      </c>
      <c r="E12" s="33">
        <v>31.3</v>
      </c>
      <c r="F12" s="1">
        <v>43</v>
      </c>
      <c r="G12" s="11">
        <v>1.0000000000000001E-5</v>
      </c>
      <c r="H12" s="101">
        <v>13</v>
      </c>
      <c r="I12" s="11">
        <v>5.0000000000000004E-6</v>
      </c>
      <c r="J12" s="101">
        <v>172</v>
      </c>
      <c r="K12" s="11">
        <v>5.0000000000000002E-5</v>
      </c>
      <c r="L12" s="11">
        <f>(D12*F12)/G12</f>
        <v>134590</v>
      </c>
      <c r="M12" s="11">
        <f>(D12*F12)/(10*G12)</f>
        <v>13459</v>
      </c>
      <c r="N12" s="11">
        <f>(D12*(F12+H12+J12))/(10*(G12+I12+K12))</f>
        <v>10979.076923076922</v>
      </c>
      <c r="O12" s="1"/>
      <c r="P12" s="1"/>
      <c r="Q12" s="1"/>
      <c r="R12" s="1"/>
      <c r="S12" s="1"/>
      <c r="T12" s="1">
        <v>297</v>
      </c>
      <c r="U12" s="1"/>
      <c r="V12" s="28">
        <v>25</v>
      </c>
      <c r="W12" s="1"/>
      <c r="X12" s="1"/>
      <c r="Y12" s="1"/>
      <c r="Z12" s="1">
        <v>23</v>
      </c>
      <c r="AA12" s="1"/>
      <c r="AB12" s="1">
        <v>6</v>
      </c>
      <c r="AC12" s="1"/>
      <c r="AD12" s="1"/>
      <c r="AE12" s="1"/>
      <c r="AF12" s="1"/>
      <c r="AG12" s="1"/>
      <c r="AH12" s="1"/>
      <c r="AI12" s="11">
        <f>V12/V9</f>
        <v>2500000</v>
      </c>
      <c r="AJ12" s="11">
        <f>SUM(AB12,Z12,V12,T12)/SUM(T9,V9,Z9,AB9)</f>
        <v>5318181.8181818174</v>
      </c>
      <c r="AK12" s="33">
        <f>LN(AI12/M12)/(AM12*LN(2))</f>
        <v>11.420019791783062</v>
      </c>
      <c r="AL12" s="33">
        <f>LN(AJ12/N12)/(AM12*LN(2))</f>
        <v>13.515200798960626</v>
      </c>
      <c r="AM12" s="33">
        <v>0.66</v>
      </c>
      <c r="AN12" s="1"/>
      <c r="AO12" s="41" t="s">
        <v>102</v>
      </c>
      <c r="AP12" t="s">
        <v>119</v>
      </c>
    </row>
    <row r="13" spans="1:42">
      <c r="A13" s="26">
        <v>44355</v>
      </c>
      <c r="B13" s="1" t="s">
        <v>89</v>
      </c>
      <c r="C13" s="1" t="s">
        <v>85</v>
      </c>
      <c r="D13" s="35">
        <v>0.04</v>
      </c>
      <c r="E13" s="33">
        <v>40</v>
      </c>
      <c r="F13" s="1">
        <v>55</v>
      </c>
      <c r="G13" s="11">
        <v>1.0000000000000001E-5</v>
      </c>
      <c r="H13" s="101">
        <v>236</v>
      </c>
      <c r="I13" s="11">
        <v>5.0000000000000002E-5</v>
      </c>
      <c r="J13" s="101">
        <v>39</v>
      </c>
      <c r="K13" s="11">
        <v>5.0000000000000004E-6</v>
      </c>
      <c r="L13" s="11">
        <f t="shared" si="0"/>
        <v>220000</v>
      </c>
      <c r="M13" s="11">
        <f t="shared" si="1"/>
        <v>22000</v>
      </c>
      <c r="N13" s="11">
        <f>(D13*(F13+H13+J13))/(10*(G13+I13+K13))</f>
        <v>20307.692307692309</v>
      </c>
      <c r="O13" s="1"/>
      <c r="P13" s="1"/>
      <c r="Q13" s="1"/>
      <c r="R13" s="1"/>
      <c r="S13" s="1"/>
      <c r="T13" s="1" t="s">
        <v>83</v>
      </c>
      <c r="U13" s="1"/>
      <c r="V13" s="28">
        <v>131</v>
      </c>
      <c r="W13" s="1"/>
      <c r="X13" s="1"/>
      <c r="Y13" s="1"/>
      <c r="Z13" s="1">
        <v>70</v>
      </c>
      <c r="AA13" s="1"/>
      <c r="AB13" s="1">
        <v>10</v>
      </c>
      <c r="AC13" s="1"/>
      <c r="AD13" s="1"/>
      <c r="AE13" s="1"/>
      <c r="AF13" s="1"/>
      <c r="AG13" s="1"/>
      <c r="AH13" s="1"/>
      <c r="AI13" s="11">
        <f>V13/V9</f>
        <v>13099999.999999998</v>
      </c>
      <c r="AJ13" s="11">
        <f>SUM(AB13+Z13+V13)/SUM(AB9,Z9,V9)</f>
        <v>13187499.999999998</v>
      </c>
      <c r="AK13" s="33">
        <f>LN(AI13/M13)/(AM13*LN(2))</f>
        <v>13.966435716174058</v>
      </c>
      <c r="AL13" s="33">
        <f>LN(AJ13/N13)/(AM13*LN(2))</f>
        <v>14.155953139624108</v>
      </c>
      <c r="AM13" s="33">
        <v>0.66</v>
      </c>
      <c r="AN13" s="1"/>
      <c r="AO13" s="41" t="s">
        <v>102</v>
      </c>
    </row>
    <row r="14" spans="1:42">
      <c r="A14" s="26">
        <v>44357</v>
      </c>
      <c r="B14" s="1" t="s">
        <v>91</v>
      </c>
      <c r="C14" s="1" t="s">
        <v>85</v>
      </c>
      <c r="D14" s="35">
        <v>7.6299999999999996E-3</v>
      </c>
      <c r="E14" s="33">
        <v>7.63</v>
      </c>
      <c r="F14" s="1">
        <v>153</v>
      </c>
      <c r="G14" s="11">
        <v>1.0000000000000001E-5</v>
      </c>
      <c r="H14" s="101">
        <v>12</v>
      </c>
      <c r="I14" s="11">
        <v>5.0000000000000004E-6</v>
      </c>
      <c r="J14" s="101"/>
      <c r="K14" s="11"/>
      <c r="L14" s="11">
        <f t="shared" si="0"/>
        <v>116738.99999999999</v>
      </c>
      <c r="M14" s="11">
        <f>(D14*F14)/(10*G14)</f>
        <v>11673.899999999998</v>
      </c>
      <c r="N14" s="11">
        <f>(D14*(F14+H14+J14))/(10*(G14+I14+K14))</f>
        <v>8393</v>
      </c>
      <c r="O14" s="1"/>
      <c r="P14" s="1"/>
      <c r="Q14" s="1"/>
      <c r="R14" s="1"/>
      <c r="S14" s="1"/>
      <c r="T14" s="1" t="s">
        <v>83</v>
      </c>
      <c r="U14" s="1"/>
      <c r="V14" s="28">
        <v>74</v>
      </c>
      <c r="W14" s="1"/>
      <c r="X14" s="1"/>
      <c r="Y14" s="1"/>
      <c r="Z14" s="1">
        <v>44</v>
      </c>
      <c r="AA14" s="1"/>
      <c r="AB14" s="1">
        <v>10</v>
      </c>
      <c r="AC14" s="1"/>
      <c r="AD14" s="1"/>
      <c r="AE14" s="1"/>
      <c r="AF14" s="1"/>
      <c r="AG14" s="1"/>
      <c r="AH14" s="1"/>
      <c r="AI14" s="11">
        <f>V14/V9</f>
        <v>7399999.9999999991</v>
      </c>
      <c r="AJ14" s="11">
        <f>SUM(AB14,Z14,V14)/SUM(AB9,Z9,V9)</f>
        <v>7999999.9999999991</v>
      </c>
      <c r="AK14" s="33">
        <f>LN(AI14/M14)/(AM14*LN(2))</f>
        <v>14.103174008221124</v>
      </c>
      <c r="AL14" s="33">
        <f>LN(AJ14/N14)/(AM14*LN(2))</f>
        <v>14.994845005836888</v>
      </c>
      <c r="AM14" s="33">
        <v>0.66</v>
      </c>
      <c r="AN14" s="1"/>
      <c r="AO14" s="41" t="s">
        <v>102</v>
      </c>
    </row>
    <row r="15" spans="1:42">
      <c r="H15" s="102"/>
      <c r="J15" s="102"/>
      <c r="N15" s="11"/>
      <c r="AK15" s="33"/>
      <c r="AL15" s="33"/>
    </row>
    <row r="16" spans="1:42">
      <c r="A16" s="26">
        <v>44342</v>
      </c>
      <c r="B16" s="1">
        <v>157</v>
      </c>
      <c r="C16" s="1" t="s">
        <v>81</v>
      </c>
      <c r="D16" s="11">
        <v>5.62E-4</v>
      </c>
      <c r="E16" s="33">
        <v>0.56000000000000005</v>
      </c>
      <c r="F16" s="1">
        <v>118</v>
      </c>
      <c r="G16" s="11">
        <v>9.9999999999999995E-7</v>
      </c>
      <c r="H16" s="101"/>
      <c r="I16" s="11"/>
      <c r="J16" s="101"/>
      <c r="K16" s="11"/>
      <c r="L16" s="11">
        <f t="shared" ref="L16:L20" si="2">(D16*F16)/G16</f>
        <v>66316</v>
      </c>
      <c r="M16" s="11">
        <f t="shared" ref="M16:M20" si="3">(D16*F16)/(10*G16)</f>
        <v>6631.6</v>
      </c>
      <c r="N16" s="11">
        <f>(D16*(F16+H16+J16))/(10*(G16+I16+K16))</f>
        <v>6631.6</v>
      </c>
      <c r="O16" s="1"/>
      <c r="P16" s="1"/>
      <c r="Q16" s="1"/>
      <c r="R16" s="1"/>
      <c r="S16" s="1"/>
      <c r="T16" s="28">
        <v>47</v>
      </c>
      <c r="U16" s="1"/>
      <c r="V16" s="1">
        <v>3</v>
      </c>
      <c r="W16" s="1"/>
      <c r="X16" s="1"/>
      <c r="Y16" s="1"/>
      <c r="Z16" s="1">
        <v>2</v>
      </c>
      <c r="AA16" s="1"/>
      <c r="AB16" s="1"/>
      <c r="AC16" s="1"/>
      <c r="AD16" s="1"/>
      <c r="AE16" s="1"/>
      <c r="AF16" s="1"/>
      <c r="AG16" s="1"/>
      <c r="AH16" s="1"/>
      <c r="AI16" s="11">
        <f>T16/T9</f>
        <v>940000</v>
      </c>
      <c r="AJ16" s="11">
        <f>SUM(Z16,V16,T16)/SUM(Z9,V9,T9)</f>
        <v>799999.99999999988</v>
      </c>
      <c r="AK16" s="33">
        <f>LN(AI16/M16)/(AM16*LN(2))</f>
        <v>10.829030237169215</v>
      </c>
      <c r="AL16" s="33">
        <f>LN(AJ16/N16)/(AM16*LN(2))</f>
        <v>10.476513939002132</v>
      </c>
      <c r="AM16" s="33">
        <v>0.66</v>
      </c>
      <c r="AN16" s="1"/>
      <c r="AO16" s="41" t="s">
        <v>102</v>
      </c>
    </row>
    <row r="17" spans="1:41">
      <c r="A17" s="26">
        <v>44348</v>
      </c>
      <c r="B17" s="1">
        <v>157.1</v>
      </c>
      <c r="C17" s="1" t="s">
        <v>81</v>
      </c>
      <c r="D17" s="35">
        <v>0.106</v>
      </c>
      <c r="E17" s="33">
        <v>106</v>
      </c>
      <c r="F17" s="1">
        <v>48</v>
      </c>
      <c r="G17" s="11">
        <v>5.0000000000000002E-5</v>
      </c>
      <c r="H17" s="101"/>
      <c r="I17" s="11"/>
      <c r="J17" s="101"/>
      <c r="K17" s="11"/>
      <c r="L17" s="11">
        <f t="shared" si="2"/>
        <v>101760</v>
      </c>
      <c r="M17" s="11">
        <f t="shared" si="3"/>
        <v>10176</v>
      </c>
      <c r="N17" s="11">
        <f>(D17*(F17+H17+J17))/(10*(G17+I17+K17))</f>
        <v>10176</v>
      </c>
      <c r="O17" s="1"/>
      <c r="P17" s="1"/>
      <c r="Q17" s="1"/>
      <c r="R17" s="1"/>
      <c r="S17" s="1">
        <v>335</v>
      </c>
      <c r="T17" s="1">
        <v>189</v>
      </c>
      <c r="U17" s="1"/>
      <c r="V17" s="28">
        <v>47</v>
      </c>
      <c r="W17" s="1"/>
      <c r="X17" s="1"/>
      <c r="Y17" s="1"/>
      <c r="Z17" s="1">
        <v>20</v>
      </c>
      <c r="AA17" s="1"/>
      <c r="AB17" s="1"/>
      <c r="AC17" s="1"/>
      <c r="AD17" s="1"/>
      <c r="AE17" s="1"/>
      <c r="AF17" s="1"/>
      <c r="AG17" s="1"/>
      <c r="AH17" s="1"/>
      <c r="AI17" s="11">
        <f>V17/V9</f>
        <v>4700000</v>
      </c>
      <c r="AJ17" s="11">
        <f>SUM(Z17,V17,T17,S17)/SUM(Z9,V9,T9,S9)</f>
        <v>3581818.1818181816</v>
      </c>
      <c r="AK17" s="33">
        <f>LN(AI17/M17)/(AM17*LN(2))</f>
        <v>13.411130864894083</v>
      </c>
      <c r="AL17" s="33">
        <f>LN(AJ17/N17)/(AM17*LN(2))</f>
        <v>12.817238969653841</v>
      </c>
      <c r="AM17" s="33">
        <v>0.66</v>
      </c>
      <c r="AN17" s="1" t="s">
        <v>82</v>
      </c>
      <c r="AO17" s="41" t="s">
        <v>102</v>
      </c>
    </row>
    <row r="18" spans="1:41">
      <c r="A18" s="26">
        <v>44349</v>
      </c>
      <c r="B18" s="1">
        <v>157.19999999999999</v>
      </c>
      <c r="C18" s="1" t="s">
        <v>81</v>
      </c>
      <c r="D18" s="35">
        <v>2.1299999999999999E-2</v>
      </c>
      <c r="E18" s="33">
        <v>21.3</v>
      </c>
      <c r="F18" s="1">
        <v>60</v>
      </c>
      <c r="G18" s="11">
        <v>5.0000000000000002E-5</v>
      </c>
      <c r="H18" s="101">
        <v>282</v>
      </c>
      <c r="I18" s="11">
        <v>5.0000000000000001E-4</v>
      </c>
      <c r="J18" s="101">
        <v>48</v>
      </c>
      <c r="K18" s="11">
        <v>5.0000000000000002E-5</v>
      </c>
      <c r="L18" s="11">
        <f>(D18*F18)/G18</f>
        <v>25560</v>
      </c>
      <c r="M18" s="11">
        <f>(D18*F18)/(10*G18)</f>
        <v>2556</v>
      </c>
      <c r="N18" s="11">
        <f>(D18*(F18+H18+J18))/(10*(G18+I18+K18))</f>
        <v>1384.5</v>
      </c>
      <c r="O18" s="1"/>
      <c r="P18" s="1"/>
      <c r="Q18" s="1"/>
      <c r="S18" s="1" t="s">
        <v>83</v>
      </c>
      <c r="T18" s="1">
        <v>208</v>
      </c>
      <c r="U18" s="1"/>
      <c r="V18" s="28">
        <v>60</v>
      </c>
      <c r="W18" s="1"/>
      <c r="X18" s="1"/>
      <c r="Y18" s="1"/>
      <c r="Z18" s="1">
        <v>25</v>
      </c>
      <c r="AA18" s="1"/>
      <c r="AB18" s="1"/>
      <c r="AC18" s="1"/>
      <c r="AD18" s="1"/>
      <c r="AE18" s="1"/>
      <c r="AF18" s="1"/>
      <c r="AG18" s="1"/>
      <c r="AH18" s="1"/>
      <c r="AI18" s="11">
        <f>V18/V9</f>
        <v>5999999.9999999991</v>
      </c>
      <c r="AJ18" s="11">
        <f>SUM(Z18,V18,T18)/SUM(Z9,V9,T9)</f>
        <v>4507692.307692307</v>
      </c>
      <c r="AK18" s="33">
        <f>LN(AI18/M18)/(AM18*LN(2))</f>
        <v>16.964937801664146</v>
      </c>
      <c r="AL18" s="33">
        <f>LN(AJ18/N18)/(AM18*LN(2))</f>
        <v>17.680012533865209</v>
      </c>
      <c r="AM18" s="33">
        <v>0.66</v>
      </c>
      <c r="AN18" s="1"/>
      <c r="AO18" s="40" t="s">
        <v>102</v>
      </c>
    </row>
    <row r="19" spans="1:41">
      <c r="A19" s="26">
        <v>44350</v>
      </c>
      <c r="B19" s="1">
        <v>157.30000000000001</v>
      </c>
      <c r="C19" s="1" t="s">
        <v>81</v>
      </c>
      <c r="D19" s="35">
        <v>1.67E-2</v>
      </c>
      <c r="E19" s="33">
        <v>16.7</v>
      </c>
      <c r="F19" s="1">
        <v>68</v>
      </c>
      <c r="G19" s="11">
        <v>1.0000000000000001E-5</v>
      </c>
      <c r="H19" s="101">
        <v>229</v>
      </c>
      <c r="I19" s="11">
        <v>5.0000000000000002E-5</v>
      </c>
      <c r="J19" s="101">
        <v>29</v>
      </c>
      <c r="K19" s="11">
        <v>5.0000000000000004E-6</v>
      </c>
      <c r="L19" s="11">
        <f t="shared" si="2"/>
        <v>113559.99999999999</v>
      </c>
      <c r="M19" s="11">
        <f t="shared" si="3"/>
        <v>11355.999999999998</v>
      </c>
      <c r="N19" s="11">
        <f>(D19*(F19+H19+J19))/(10*(G19+I19+K19))</f>
        <v>8375.6923076923067</v>
      </c>
      <c r="O19" s="1"/>
      <c r="P19" s="1"/>
      <c r="Q19" s="1"/>
      <c r="R19" s="1"/>
      <c r="S19" s="1" t="s">
        <v>83</v>
      </c>
      <c r="T19" s="1">
        <v>222</v>
      </c>
      <c r="U19" s="1"/>
      <c r="V19" s="28">
        <v>48</v>
      </c>
      <c r="W19" s="1"/>
      <c r="X19" s="1"/>
      <c r="Y19" s="1"/>
      <c r="Z19" s="1">
        <v>27</v>
      </c>
      <c r="AA19" s="1"/>
      <c r="AB19" s="1"/>
      <c r="AC19" s="1"/>
      <c r="AD19" s="1"/>
      <c r="AE19" s="1"/>
      <c r="AF19" s="1"/>
      <c r="AG19" s="1"/>
      <c r="AH19" s="1"/>
      <c r="AI19" s="11">
        <f>V19/V9</f>
        <v>4800000</v>
      </c>
      <c r="AJ19" s="11">
        <f>SUM(Z19,V19,T19)/SUM(Z9,V9,T9)</f>
        <v>4569230.769230769</v>
      </c>
      <c r="AK19" s="33">
        <f>LN(AI19/M19)/(AM19*LN(2))</f>
        <v>13.217327032475117</v>
      </c>
      <c r="AL19" s="33">
        <f>LN(AJ19/N19)/(AM19*LN(2))</f>
        <v>13.775041134140073</v>
      </c>
      <c r="AM19" s="33">
        <v>0.66</v>
      </c>
      <c r="AN19" s="1" t="s">
        <v>84</v>
      </c>
      <c r="AO19" s="41" t="s">
        <v>102</v>
      </c>
    </row>
    <row r="20" spans="1:41">
      <c r="A20" s="26">
        <v>44353</v>
      </c>
      <c r="B20" s="1">
        <v>157.4</v>
      </c>
      <c r="C20" s="1" t="s">
        <v>81</v>
      </c>
      <c r="D20" s="35">
        <v>2.0799999999999999E-2</v>
      </c>
      <c r="E20" s="33">
        <v>20.8</v>
      </c>
      <c r="F20" s="1">
        <v>151</v>
      </c>
      <c r="G20" s="11">
        <v>5.0000000000000002E-5</v>
      </c>
      <c r="H20" s="101">
        <v>17</v>
      </c>
      <c r="I20" s="11">
        <v>5.0000000000000004E-6</v>
      </c>
      <c r="J20" s="101">
        <v>34</v>
      </c>
      <c r="K20" s="11">
        <v>1.0000000000000001E-5</v>
      </c>
      <c r="L20" s="11">
        <f t="shared" si="2"/>
        <v>62816</v>
      </c>
      <c r="M20" s="11">
        <f t="shared" si="3"/>
        <v>6281.6</v>
      </c>
      <c r="N20" s="11">
        <f>(D20*(F20+H20+J20))/(10*(G20+I20+K20))</f>
        <v>6463.9999999999991</v>
      </c>
      <c r="O20" s="1"/>
      <c r="P20" s="1"/>
      <c r="Q20" s="1"/>
      <c r="R20" s="1"/>
      <c r="S20" s="1"/>
      <c r="T20" s="1">
        <v>338</v>
      </c>
      <c r="U20" s="1"/>
      <c r="V20" s="28">
        <v>103</v>
      </c>
      <c r="W20" s="1"/>
      <c r="X20" s="1"/>
      <c r="Y20" s="1"/>
      <c r="Z20" s="1">
        <v>32</v>
      </c>
      <c r="AA20" s="1"/>
      <c r="AB20" s="1" t="s">
        <v>120</v>
      </c>
      <c r="AC20" s="1"/>
      <c r="AD20" s="1"/>
      <c r="AE20" s="1"/>
      <c r="AF20" s="1"/>
      <c r="AG20" s="1"/>
      <c r="AH20" s="1"/>
      <c r="AI20" s="11">
        <f>V20/V9</f>
        <v>10300000</v>
      </c>
      <c r="AJ20" s="11">
        <f>SUM(Z20,V20,T20)/SUM(Z9,V9,T9)</f>
        <v>7276923.0769230761</v>
      </c>
      <c r="AK20" s="33">
        <f>LN(AI20/M20)/(AM20*LN(2))</f>
        <v>16.180643392486697</v>
      </c>
      <c r="AL20" s="33">
        <f>LN(AJ20/N20)/(AM20*LN(2))</f>
        <v>15.358614616489879</v>
      </c>
      <c r="AM20" s="33">
        <v>0.66</v>
      </c>
      <c r="AN20" s="1" t="s">
        <v>121</v>
      </c>
      <c r="AO20" s="41" t="s">
        <v>102</v>
      </c>
    </row>
    <row r="21" spans="1:41">
      <c r="H21" s="102"/>
      <c r="J21" s="102"/>
      <c r="N21" s="11"/>
      <c r="AK21" s="33"/>
      <c r="AL21" s="33"/>
    </row>
    <row r="22" spans="1:41">
      <c r="A22" s="26">
        <v>44355</v>
      </c>
      <c r="B22" s="1">
        <v>181</v>
      </c>
      <c r="C22" s="1" t="s">
        <v>90</v>
      </c>
      <c r="D22" s="35">
        <v>2.5000000000000001E-2</v>
      </c>
      <c r="E22" s="33">
        <v>25</v>
      </c>
      <c r="F22" s="1">
        <v>45</v>
      </c>
      <c r="G22" s="11">
        <v>5.0000000000000002E-5</v>
      </c>
      <c r="H22" s="101">
        <v>5</v>
      </c>
      <c r="I22" s="11">
        <v>5.0000000000000004E-6</v>
      </c>
      <c r="J22" s="101">
        <v>7</v>
      </c>
      <c r="K22" s="11">
        <v>1.0000000000000001E-5</v>
      </c>
      <c r="L22" s="11">
        <f t="shared" ref="L22:L25" si="4">(D22*F22)/G22</f>
        <v>22500</v>
      </c>
      <c r="M22" s="11">
        <f t="shared" ref="M22:M25" si="5">(D22*F22)/(10*G22)</f>
        <v>2250</v>
      </c>
      <c r="N22" s="11">
        <f>(D22*(F22+H22+J22))/(10*(G22+I22+K22))</f>
        <v>2192.3076923076919</v>
      </c>
      <c r="O22" s="1"/>
      <c r="P22" s="1"/>
      <c r="Q22" s="1"/>
      <c r="R22" s="1"/>
      <c r="S22" s="1"/>
      <c r="T22" s="1">
        <v>174</v>
      </c>
      <c r="U22" s="1"/>
      <c r="V22" s="28">
        <v>30</v>
      </c>
      <c r="W22" s="1"/>
      <c r="X22" s="1"/>
      <c r="Y22" s="1"/>
      <c r="Z22" s="1">
        <v>18</v>
      </c>
      <c r="AA22" s="1"/>
      <c r="AB22" s="1">
        <v>7</v>
      </c>
      <c r="AC22" s="1"/>
      <c r="AD22" s="1"/>
      <c r="AE22" s="1"/>
      <c r="AF22" s="1"/>
      <c r="AG22" s="1"/>
      <c r="AH22" s="1"/>
      <c r="AI22" s="11">
        <f>V22/V9</f>
        <v>2999999.9999999995</v>
      </c>
      <c r="AJ22" s="11">
        <f>SUM(AB22,Z22,V22,T22)/SUM(AB9,Z9,V9,T9)</f>
        <v>3469696.9696969693</v>
      </c>
      <c r="AK22" s="33">
        <f>LN(AI22/M22)/(AM22*LN(2))</f>
        <v>15.728517854455955</v>
      </c>
      <c r="AL22" s="33">
        <f>LN(AJ22/N22)/(AM22*LN(2))</f>
        <v>16.10324796572262</v>
      </c>
      <c r="AM22" s="33">
        <v>0.66</v>
      </c>
      <c r="AN22" s="1"/>
      <c r="AO22" s="41" t="s">
        <v>102</v>
      </c>
    </row>
    <row r="23" spans="1:41">
      <c r="A23" s="26">
        <v>44355</v>
      </c>
      <c r="B23" s="1">
        <v>181.1</v>
      </c>
      <c r="C23" s="1" t="s">
        <v>90</v>
      </c>
      <c r="D23" s="35">
        <v>3.3300000000000003E-2</v>
      </c>
      <c r="E23" s="33">
        <v>33.299999999999997</v>
      </c>
      <c r="F23" s="1">
        <v>38</v>
      </c>
      <c r="G23" s="11">
        <v>1.0000000000000001E-5</v>
      </c>
      <c r="H23" s="101">
        <v>163</v>
      </c>
      <c r="I23" s="11">
        <v>5.0000000000000002E-5</v>
      </c>
      <c r="J23" s="101">
        <v>20</v>
      </c>
      <c r="K23" s="11">
        <v>5.0000000000000004E-6</v>
      </c>
      <c r="L23" s="11">
        <f t="shared" si="4"/>
        <v>126540</v>
      </c>
      <c r="M23" s="11">
        <f>(D23*F23)/(10*G23)</f>
        <v>12654</v>
      </c>
      <c r="N23" s="11">
        <f>(D23*(F23+H23+J23))/(10*(G23+I23+K23))</f>
        <v>11322</v>
      </c>
      <c r="O23" s="1"/>
      <c r="P23" s="1"/>
      <c r="Q23" s="1"/>
      <c r="R23" s="1"/>
      <c r="S23" s="1"/>
      <c r="T23" s="1"/>
      <c r="U23" s="1"/>
      <c r="V23" s="1">
        <v>225</v>
      </c>
      <c r="W23" s="1"/>
      <c r="X23" s="1"/>
      <c r="Y23" s="1"/>
      <c r="Z23" s="28">
        <v>127</v>
      </c>
      <c r="AA23" s="1"/>
      <c r="AB23" s="1">
        <v>224</v>
      </c>
      <c r="AC23" s="1"/>
      <c r="AD23" s="1">
        <v>8</v>
      </c>
      <c r="AE23" s="1"/>
      <c r="AF23" s="1"/>
      <c r="AG23" s="1"/>
      <c r="AH23" s="1"/>
      <c r="AI23" s="11">
        <f>Z23/Z9</f>
        <v>25399999.999999996</v>
      </c>
      <c r="AJ23" s="11">
        <f>SUM(AD23,AB23,Z23,V23)/SUM(AD9,AB9,Z9,V9)</f>
        <v>35393939.393939391</v>
      </c>
      <c r="AK23" s="33">
        <f>LN(AI23/M23)/(AM23*LN(2))</f>
        <v>16.622756485900197</v>
      </c>
      <c r="AL23" s="33">
        <f>LN(AJ23/N23)/(AM23*LN(2))</f>
        <v>17.591148182612329</v>
      </c>
      <c r="AM23" s="33">
        <v>0.66</v>
      </c>
      <c r="AN23" s="1"/>
      <c r="AO23" s="41" t="s">
        <v>102</v>
      </c>
    </row>
    <row r="24" spans="1:41">
      <c r="A24" s="26">
        <v>44361</v>
      </c>
      <c r="B24" s="1">
        <v>181.2</v>
      </c>
      <c r="C24" s="1" t="s">
        <v>90</v>
      </c>
      <c r="D24" s="35">
        <v>3.9399999999999999E-3</v>
      </c>
      <c r="E24" s="33">
        <v>3.94</v>
      </c>
      <c r="F24" s="1">
        <v>115</v>
      </c>
      <c r="G24" s="11">
        <v>5.0000000000000004E-6</v>
      </c>
      <c r="H24" s="101">
        <v>28</v>
      </c>
      <c r="I24" s="11">
        <v>9.9999999999999995E-7</v>
      </c>
      <c r="J24" s="101">
        <v>16</v>
      </c>
      <c r="K24" s="11">
        <v>4.9999999999999998E-7</v>
      </c>
      <c r="L24" s="11">
        <f t="shared" si="4"/>
        <v>90620</v>
      </c>
      <c r="M24" s="11">
        <f t="shared" si="5"/>
        <v>9062</v>
      </c>
      <c r="N24" s="11">
        <f>(D24*(F24+H24+J24))/(10*(G24+I24+K24))</f>
        <v>9637.8461538461524</v>
      </c>
      <c r="O24" s="1"/>
      <c r="P24" s="1"/>
      <c r="Q24" s="1"/>
      <c r="R24" s="1"/>
      <c r="S24" s="1"/>
      <c r="T24" s="1"/>
      <c r="U24" s="1"/>
      <c r="V24" s="1">
        <v>193</v>
      </c>
      <c r="W24" s="1"/>
      <c r="X24" s="1"/>
      <c r="Y24" s="1"/>
      <c r="Z24" s="28">
        <v>99</v>
      </c>
      <c r="AA24" s="1"/>
      <c r="AB24" s="1">
        <v>23</v>
      </c>
      <c r="AC24" s="1"/>
      <c r="AD24" s="1"/>
      <c r="AE24" s="1"/>
      <c r="AF24" s="1"/>
      <c r="AG24" s="1"/>
      <c r="AH24" s="1"/>
      <c r="AI24" s="11">
        <f>Z24/Z9</f>
        <v>19800000</v>
      </c>
      <c r="AJ24" s="11">
        <f>SUM(AB24,Z24,V24)/SUM(AB9,Z9,V9)</f>
        <v>19687499.999999996</v>
      </c>
      <c r="AK24" s="33">
        <f>LN(AI24/M24)/(AM24*LN(2))</f>
        <v>16.808156543943987</v>
      </c>
      <c r="AL24" s="33">
        <f>LN(AJ24/N24)/(AM24*LN(2))</f>
        <v>16.661032622896688</v>
      </c>
      <c r="AM24" s="33">
        <v>0.66</v>
      </c>
      <c r="AN24" s="1" t="s">
        <v>92</v>
      </c>
      <c r="AO24" s="40" t="s">
        <v>102</v>
      </c>
    </row>
    <row r="25" spans="1:41">
      <c r="A25" s="26">
        <v>44362</v>
      </c>
      <c r="B25" s="1">
        <v>181.3</v>
      </c>
      <c r="C25" s="1" t="s">
        <v>90</v>
      </c>
      <c r="D25" s="35">
        <v>5.0499999999999998E-3</v>
      </c>
      <c r="E25" s="33">
        <v>5.05</v>
      </c>
      <c r="F25" s="1">
        <v>41</v>
      </c>
      <c r="G25" s="11">
        <v>9.9999999999999995E-7</v>
      </c>
      <c r="H25" s="101">
        <v>295</v>
      </c>
      <c r="I25" s="11">
        <v>1.0000000000000001E-5</v>
      </c>
      <c r="J25" s="101"/>
      <c r="K25" s="11"/>
      <c r="L25" s="11">
        <f t="shared" si="4"/>
        <v>207050</v>
      </c>
      <c r="M25" s="11">
        <f t="shared" si="5"/>
        <v>20705</v>
      </c>
      <c r="N25" s="11">
        <f>(D25*(F25+H25+J25))/(10*(G25+I25+K25))</f>
        <v>15425.454545454542</v>
      </c>
      <c r="O25" s="1"/>
      <c r="P25" s="1"/>
      <c r="Q25" s="1"/>
      <c r="R25" s="1"/>
      <c r="S25" s="1"/>
      <c r="T25" s="1"/>
      <c r="U25" s="1"/>
      <c r="V25" s="1" t="s">
        <v>83</v>
      </c>
      <c r="W25" s="1"/>
      <c r="X25" s="1"/>
      <c r="Y25" s="1"/>
      <c r="Z25" s="1">
        <v>280</v>
      </c>
      <c r="AA25" s="1"/>
      <c r="AB25" s="28">
        <v>83</v>
      </c>
      <c r="AC25" s="1"/>
      <c r="AD25" s="1">
        <v>43</v>
      </c>
      <c r="AE25" s="1"/>
      <c r="AF25" s="1"/>
      <c r="AG25" s="1"/>
      <c r="AH25" s="1"/>
      <c r="AI25" s="11">
        <f>AB25/AB9</f>
        <v>83000000</v>
      </c>
      <c r="AJ25" s="11">
        <f>SUM(AD25,AB25,Z25)/SUM(AD9,AB9,Z9)</f>
        <v>62461538.461538456</v>
      </c>
      <c r="AK25" s="33">
        <f>LN(AI25/M25)/(AM25*LN(2))</f>
        <v>18.134721846081604</v>
      </c>
      <c r="AL25" s="33">
        <f>LN(AJ25/N25)/(AM25*LN(2))</f>
        <v>18.156726343314606</v>
      </c>
      <c r="AM25" s="33">
        <v>0.66</v>
      </c>
      <c r="AN25" s="1" t="s">
        <v>93</v>
      </c>
      <c r="AO25" s="41" t="s">
        <v>102</v>
      </c>
    </row>
    <row r="26" spans="1:41">
      <c r="A26" s="26">
        <v>44363</v>
      </c>
      <c r="B26" s="1">
        <v>181.4</v>
      </c>
      <c r="C26" s="1" t="s">
        <v>90</v>
      </c>
      <c r="D26" s="35">
        <v>1.1999999999999999E-3</v>
      </c>
      <c r="E26" s="33">
        <v>12</v>
      </c>
      <c r="F26" s="1">
        <v>87</v>
      </c>
      <c r="G26" s="11">
        <v>9.9999999999999995E-7</v>
      </c>
      <c r="H26" s="101">
        <v>270</v>
      </c>
      <c r="I26" s="11">
        <v>5.0000000000000004E-6</v>
      </c>
      <c r="J26" s="101"/>
      <c r="K26" s="11"/>
      <c r="L26" s="11">
        <f>(D26*F26)/G26</f>
        <v>104400</v>
      </c>
      <c r="M26" s="11">
        <f t="shared" ref="M26" si="6">(D26*F26)/(10*G26)</f>
        <v>10440</v>
      </c>
      <c r="N26" s="11">
        <f>(D26*(F26+H26))/(10*(G26+I26))</f>
        <v>7139.9999999999991</v>
      </c>
      <c r="O26" s="1"/>
      <c r="P26" s="1"/>
      <c r="Q26" s="1"/>
      <c r="R26" s="1"/>
      <c r="S26" s="1"/>
      <c r="T26" s="1"/>
      <c r="U26" s="1"/>
      <c r="V26" s="28">
        <v>24</v>
      </c>
      <c r="W26" s="1"/>
      <c r="X26" s="1"/>
      <c r="Y26" s="1"/>
      <c r="Z26" s="1">
        <v>13</v>
      </c>
      <c r="AA26" s="1"/>
      <c r="AB26" s="1">
        <v>2</v>
      </c>
      <c r="AC26" s="1"/>
      <c r="AD26" s="1">
        <v>8</v>
      </c>
      <c r="AE26" s="1"/>
      <c r="AF26" s="1"/>
      <c r="AG26" s="1"/>
      <c r="AH26" s="1"/>
      <c r="AI26" s="11">
        <f>V26/V9</f>
        <v>2400000</v>
      </c>
      <c r="AJ26" s="11">
        <f>SUM(AD26,AB26,Z26,V26)/SUM(V9,Z9,AB9,AD9)</f>
        <v>2848484.8484848482</v>
      </c>
      <c r="AK26" s="33">
        <f>LN(AI26/M26)/(AM26*LN(2))</f>
        <v>11.886013460152608</v>
      </c>
      <c r="AL26" s="33">
        <f>LN(AJ26/N26)/(AM26*LN(2))</f>
        <v>13.090992337464995</v>
      </c>
      <c r="AM26" s="33">
        <v>0.66</v>
      </c>
      <c r="AN26" s="1"/>
      <c r="AO26" s="41" t="s">
        <v>102</v>
      </c>
    </row>
    <row r="27" spans="1:41">
      <c r="A27" s="26"/>
      <c r="B27" s="1"/>
      <c r="C27" s="1"/>
      <c r="D27" s="35"/>
      <c r="E27" s="33"/>
      <c r="F27" s="1"/>
      <c r="G27" s="11"/>
      <c r="H27" s="101"/>
      <c r="I27" s="11"/>
      <c r="J27" s="101"/>
      <c r="K27" s="11"/>
      <c r="L27" s="11"/>
      <c r="M27" s="11"/>
      <c r="N27" s="1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1"/>
      <c r="AJ27" s="11"/>
      <c r="AK27" s="33"/>
      <c r="AL27" s="33"/>
      <c r="AM27" s="33"/>
      <c r="AN27" s="1"/>
    </row>
    <row r="28" spans="1:41">
      <c r="A28" s="26">
        <v>44364</v>
      </c>
      <c r="B28" s="1">
        <v>209</v>
      </c>
      <c r="C28" s="1" t="s">
        <v>9</v>
      </c>
      <c r="D28" s="35">
        <v>2.7799999999999998E-2</v>
      </c>
      <c r="E28" s="33">
        <v>27</v>
      </c>
      <c r="F28" s="1">
        <v>56</v>
      </c>
      <c r="G28" s="11">
        <v>1E-4</v>
      </c>
      <c r="H28" s="101">
        <v>7</v>
      </c>
      <c r="I28" s="11">
        <v>5.0000000000000002E-5</v>
      </c>
      <c r="J28" s="101"/>
      <c r="K28" s="11"/>
      <c r="L28" s="11">
        <f t="shared" ref="L28:L32" si="7">(D28*F28)/G28</f>
        <v>15567.999999999998</v>
      </c>
      <c r="M28" s="11">
        <f t="shared" ref="M28:M32" si="8">(D28*F28)/(10*G28)</f>
        <v>1556.8</v>
      </c>
      <c r="N28" s="11">
        <f>(D28*(F28+H28+J28))/(10*(G28+I28+K28))</f>
        <v>1167.5999999999999</v>
      </c>
      <c r="O28" s="1"/>
      <c r="P28" s="1"/>
      <c r="Q28" s="1"/>
      <c r="R28" s="1"/>
      <c r="S28" s="1"/>
      <c r="T28" s="1" t="s">
        <v>83</v>
      </c>
      <c r="U28" s="1"/>
      <c r="V28" s="1" t="s">
        <v>83</v>
      </c>
      <c r="W28" s="1"/>
      <c r="X28" s="1"/>
      <c r="Y28" s="1"/>
      <c r="Z28" s="28">
        <v>67</v>
      </c>
      <c r="AA28" s="1"/>
      <c r="AB28" s="1">
        <v>25</v>
      </c>
      <c r="AC28" s="1"/>
      <c r="AD28" s="1"/>
      <c r="AE28" s="1"/>
      <c r="AF28" s="1"/>
      <c r="AG28" s="1"/>
      <c r="AH28" s="1"/>
      <c r="AI28" s="11">
        <f>Z28/Z9</f>
        <v>13399999.999999998</v>
      </c>
      <c r="AJ28" s="11">
        <f>SUM(AB28,Z28)/SUM(Z9,AB9)</f>
        <v>15333333.333333332</v>
      </c>
      <c r="AK28" s="33">
        <f>LN(AI28/M28)/(AM28*LN(2))</f>
        <v>5.2285447060003341</v>
      </c>
      <c r="AL28" s="33">
        <f>LN(AJ28/N28)/(AM28*LN(2))</f>
        <v>5.4723350496180503</v>
      </c>
      <c r="AM28" s="33">
        <v>2.5</v>
      </c>
      <c r="AN28" s="1"/>
      <c r="AO28" s="41" t="s">
        <v>102</v>
      </c>
    </row>
    <row r="29" spans="1:41">
      <c r="A29" s="26">
        <v>44365</v>
      </c>
      <c r="B29" s="1">
        <v>209.1</v>
      </c>
      <c r="C29" s="37" t="s">
        <v>9</v>
      </c>
      <c r="D29" s="35">
        <v>7.4599999999999996E-3</v>
      </c>
      <c r="E29" s="33">
        <v>7.46</v>
      </c>
      <c r="F29" s="1">
        <v>68</v>
      </c>
      <c r="G29" s="11">
        <v>9.9999999999999995E-7</v>
      </c>
      <c r="H29" s="101"/>
      <c r="I29" s="11"/>
      <c r="J29" s="101"/>
      <c r="K29" s="11"/>
      <c r="L29" s="11">
        <f t="shared" si="7"/>
        <v>507280</v>
      </c>
      <c r="M29" s="11">
        <f t="shared" si="8"/>
        <v>50728</v>
      </c>
      <c r="N29" s="11">
        <f>(D29*(F29+H29+J29))/(10*(G29+I29+K29))</f>
        <v>50728</v>
      </c>
      <c r="O29" s="1"/>
      <c r="P29" s="1"/>
      <c r="Q29" s="1"/>
      <c r="R29" s="1"/>
      <c r="S29" s="1"/>
      <c r="T29" s="1" t="s">
        <v>83</v>
      </c>
      <c r="U29" s="1"/>
      <c r="V29" s="1" t="s">
        <v>83</v>
      </c>
      <c r="W29" s="1"/>
      <c r="X29" s="1"/>
      <c r="Y29" s="1"/>
      <c r="Z29" s="1" t="s">
        <v>83</v>
      </c>
      <c r="AA29" s="1"/>
      <c r="AB29" s="28">
        <v>268</v>
      </c>
      <c r="AC29" s="1"/>
      <c r="AD29" s="1"/>
      <c r="AE29" s="1"/>
      <c r="AF29" s="1"/>
      <c r="AG29" s="1"/>
      <c r="AH29" s="1"/>
      <c r="AI29" s="11">
        <f>AB29/AB9</f>
        <v>268000000</v>
      </c>
      <c r="AJ29" s="11">
        <f>SUM(AB29)/SUM(AB9)</f>
        <v>268000000</v>
      </c>
      <c r="AK29" s="33">
        <f>LN(AI29/M29)/(AM29*LN(2))</f>
        <v>7.0669503418722108</v>
      </c>
      <c r="AL29" s="33">
        <f>LN(AJ29/N29)/(AM29*LN(2))</f>
        <v>7.0669503418722108</v>
      </c>
      <c r="AM29" s="33">
        <v>1.75</v>
      </c>
      <c r="AN29" s="1"/>
      <c r="AO29" s="41" t="s">
        <v>102</v>
      </c>
    </row>
    <row r="30" spans="1:41">
      <c r="A30" s="26">
        <v>44370</v>
      </c>
      <c r="B30" s="1">
        <v>209.2</v>
      </c>
      <c r="C30" s="37" t="s">
        <v>9</v>
      </c>
      <c r="D30" s="35">
        <v>3.7300000000000001E-4</v>
      </c>
      <c r="E30" s="33">
        <v>3.73</v>
      </c>
      <c r="F30" s="1">
        <v>30</v>
      </c>
      <c r="G30" s="11">
        <v>9.9999999999999995E-8</v>
      </c>
      <c r="H30" s="101">
        <v>17</v>
      </c>
      <c r="I30" s="11">
        <v>4.9999999999999998E-8</v>
      </c>
      <c r="J30" s="101"/>
      <c r="K30" s="11"/>
      <c r="L30" s="11">
        <f t="shared" si="7"/>
        <v>111900.00000000001</v>
      </c>
      <c r="M30" s="11">
        <f t="shared" si="8"/>
        <v>11190</v>
      </c>
      <c r="N30" s="11">
        <f>(D30*(F30+H30+J30))/(10*(G30+I30+K30))</f>
        <v>11687.333333333334</v>
      </c>
      <c r="O30" s="1"/>
      <c r="P30" s="1"/>
      <c r="Q30" s="1"/>
      <c r="R30" s="1"/>
      <c r="S30" s="1"/>
      <c r="T30" s="1" t="s">
        <v>83</v>
      </c>
      <c r="U30" s="1"/>
      <c r="V30" s="28">
        <v>111</v>
      </c>
      <c r="W30" s="1"/>
      <c r="X30" s="1"/>
      <c r="Y30" s="1"/>
      <c r="Z30" s="45">
        <v>64</v>
      </c>
      <c r="AA30" s="1"/>
      <c r="AB30" s="1">
        <v>19</v>
      </c>
      <c r="AC30" s="1"/>
      <c r="AD30" s="1"/>
      <c r="AE30" s="1"/>
      <c r="AF30" s="1"/>
      <c r="AG30" s="1"/>
      <c r="AH30" s="1"/>
      <c r="AI30" s="11">
        <f>V30/V9</f>
        <v>11100000</v>
      </c>
      <c r="AJ30" s="11">
        <f>SUM(AB30,Z30,V30)/SUM(V9,AB9,Z9)</f>
        <v>12124999.999999998</v>
      </c>
      <c r="AK30" s="33">
        <f>LN(AI30/M30)/(AM30*LN(2))</f>
        <v>7.9633071399385287</v>
      </c>
      <c r="AL30" s="33">
        <f>LN(AJ30/N30)/(AM30*LN(2))</f>
        <v>8.0150585922396669</v>
      </c>
      <c r="AM30" s="33">
        <v>1.25</v>
      </c>
      <c r="AN30" s="1"/>
      <c r="AO30" s="41" t="s">
        <v>102</v>
      </c>
    </row>
    <row r="31" spans="1:41">
      <c r="A31" s="26">
        <v>44371</v>
      </c>
      <c r="B31" s="1">
        <v>209.3</v>
      </c>
      <c r="C31" s="37" t="s">
        <v>9</v>
      </c>
      <c r="D31" s="35">
        <v>9.0100000000000006E-3</v>
      </c>
      <c r="E31" s="33">
        <v>9.01</v>
      </c>
      <c r="F31" s="1">
        <v>76</v>
      </c>
      <c r="G31" s="11">
        <v>5.0000000000000004E-6</v>
      </c>
      <c r="H31" s="101">
        <v>21</v>
      </c>
      <c r="I31" s="11">
        <v>9.9999999999999995E-7</v>
      </c>
      <c r="J31" s="101">
        <v>161</v>
      </c>
      <c r="K31" s="11">
        <v>1.0000000000000001E-5</v>
      </c>
      <c r="L31" s="11">
        <f t="shared" si="7"/>
        <v>136952</v>
      </c>
      <c r="M31" s="11">
        <f t="shared" si="8"/>
        <v>13695.2</v>
      </c>
      <c r="N31" s="11">
        <f>(D31*(F31+H31+J31))/(10*(G31+I31+K31))</f>
        <v>14528.624999999996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>
        <v>180</v>
      </c>
      <c r="AA31" s="1"/>
      <c r="AB31" s="28">
        <v>51</v>
      </c>
      <c r="AC31" s="1"/>
      <c r="AD31" s="1"/>
      <c r="AE31" s="1"/>
      <c r="AF31" s="1"/>
      <c r="AG31" s="1"/>
      <c r="AH31" s="1"/>
      <c r="AI31" s="11">
        <f>AB31/AB9</f>
        <v>51000000</v>
      </c>
      <c r="AJ31" s="11">
        <f>SUM(AB31,Z31)/SUM(AB9,Z9)</f>
        <v>38500000</v>
      </c>
      <c r="AK31" s="33">
        <f>LN(AI31/M31)/(AM31*LN(2))</f>
        <v>9.4900889575407259</v>
      </c>
      <c r="AL31" s="33">
        <f>LN(AJ31/N31)/(AM31*LN(2))</f>
        <v>9.0973956470258273</v>
      </c>
      <c r="AM31" s="33">
        <v>1.25</v>
      </c>
      <c r="AN31" s="1"/>
      <c r="AO31" s="41" t="s">
        <v>102</v>
      </c>
    </row>
    <row r="32" spans="1:41">
      <c r="A32" s="26">
        <v>44372</v>
      </c>
      <c r="B32" s="1">
        <v>209.4</v>
      </c>
      <c r="C32" s="37" t="s">
        <v>9</v>
      </c>
      <c r="D32" s="35">
        <v>1.9599999999999999E-3</v>
      </c>
      <c r="E32" s="33">
        <v>1.96</v>
      </c>
      <c r="F32" s="1">
        <v>42</v>
      </c>
      <c r="G32" s="11">
        <v>9.9999999999999995E-7</v>
      </c>
      <c r="H32" s="101">
        <v>33</v>
      </c>
      <c r="I32" s="11">
        <v>4.9999999999999998E-7</v>
      </c>
      <c r="J32" s="101">
        <v>225</v>
      </c>
      <c r="K32" s="11">
        <v>5.0000000000000004E-6</v>
      </c>
      <c r="L32" s="11">
        <f t="shared" si="7"/>
        <v>82320.000000000015</v>
      </c>
      <c r="M32" s="11">
        <f t="shared" si="8"/>
        <v>8232.0000000000018</v>
      </c>
      <c r="N32" s="11">
        <f>(D32*(F32+H32+J32))/(10*(G32+I32+K32))</f>
        <v>9046.1538461538439</v>
      </c>
      <c r="O32" s="1"/>
      <c r="P32" s="1"/>
      <c r="Q32" s="1"/>
      <c r="R32" s="1"/>
      <c r="S32" s="1"/>
      <c r="T32" s="1"/>
      <c r="U32" s="1"/>
      <c r="V32" s="1" t="s">
        <v>83</v>
      </c>
      <c r="W32" s="1"/>
      <c r="X32" s="1"/>
      <c r="Y32" s="1"/>
      <c r="Z32" s="104" t="s">
        <v>83</v>
      </c>
      <c r="AA32" s="1"/>
      <c r="AB32" s="1" t="s">
        <v>83</v>
      </c>
      <c r="AC32" s="1"/>
      <c r="AD32" s="28">
        <v>238</v>
      </c>
      <c r="AE32" s="1"/>
      <c r="AF32" s="1"/>
      <c r="AG32" s="1"/>
      <c r="AH32" s="1"/>
      <c r="AI32" s="11">
        <f>AD32/AD9</f>
        <v>476000000</v>
      </c>
      <c r="AJ32" s="11">
        <f>SUM(AD32)/SUM(AD9)</f>
        <v>476000000</v>
      </c>
      <c r="AK32" s="33">
        <f>LN(AI32/M32)/(AM32*LN(2))</f>
        <v>12.655487252590518</v>
      </c>
      <c r="AL32" s="33">
        <f>LN(AJ32/N32)/(AM32*LN(2))</f>
        <v>12.546638012929696</v>
      </c>
      <c r="AM32" s="33">
        <v>1.25</v>
      </c>
      <c r="AN32" s="1"/>
      <c r="AO32" s="41" t="s">
        <v>102</v>
      </c>
    </row>
    <row r="33" spans="1:41">
      <c r="A33" s="26"/>
      <c r="B33" s="1"/>
      <c r="C33" s="1"/>
      <c r="D33" s="11"/>
      <c r="E33" s="33"/>
      <c r="F33" s="1"/>
      <c r="G33" s="11"/>
      <c r="H33" s="101"/>
      <c r="I33" s="11"/>
      <c r="J33" s="101"/>
      <c r="K33" s="11"/>
      <c r="L33" s="11"/>
      <c r="M33" s="11"/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1"/>
      <c r="AJ33" s="11"/>
      <c r="AK33" s="33"/>
      <c r="AL33" s="33"/>
      <c r="AM33" s="33"/>
      <c r="AN33" s="1"/>
    </row>
    <row r="34" spans="1:41">
      <c r="A34" s="26">
        <v>44357</v>
      </c>
      <c r="B34" s="1">
        <v>212</v>
      </c>
      <c r="C34" s="1" t="s">
        <v>10</v>
      </c>
      <c r="D34" s="35">
        <v>1.5599999999999999E-2</v>
      </c>
      <c r="E34" s="33">
        <v>15.6</v>
      </c>
      <c r="F34" s="1">
        <v>86</v>
      </c>
      <c r="G34" s="11">
        <v>5.0000000000000002E-5</v>
      </c>
      <c r="H34" s="101">
        <v>10</v>
      </c>
      <c r="I34" s="11">
        <v>5.0000000000000004E-6</v>
      </c>
      <c r="J34" s="101">
        <v>26</v>
      </c>
      <c r="K34" s="11">
        <v>1.0000000000000001E-5</v>
      </c>
      <c r="L34" s="11">
        <f>(D34*F34)/G34</f>
        <v>26831.999999999996</v>
      </c>
      <c r="M34" s="11">
        <f>(D34*F34)/(10*G34)</f>
        <v>2683.2</v>
      </c>
      <c r="N34" s="11">
        <f>(D34*(F34+H34+J34))/(10*(G34+I34+K34))</f>
        <v>2927.9999999999995</v>
      </c>
      <c r="O34" s="1"/>
      <c r="P34" s="1"/>
      <c r="Q34" s="1"/>
      <c r="R34" s="28">
        <v>52</v>
      </c>
      <c r="S34" s="1">
        <v>16</v>
      </c>
      <c r="T34" s="1">
        <v>5</v>
      </c>
      <c r="U34" s="1"/>
      <c r="V34" s="1">
        <v>1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1">
        <f>R34/R9</f>
        <v>104000</v>
      </c>
      <c r="AJ34" s="11">
        <f>SUM(V34,T34,S34,R34)/SUM(V9,T9,S9,R9)</f>
        <v>112121.21212121213</v>
      </c>
      <c r="AK34" s="33">
        <f>LN(AI34/M34)/(AM34*LN(2))</f>
        <v>7.9946744304942357</v>
      </c>
      <c r="AL34" s="33">
        <f>LN(AJ34/N34)/(AM34*LN(2))</f>
        <v>7.9681816400352519</v>
      </c>
      <c r="AM34" s="1">
        <v>0.66</v>
      </c>
      <c r="AO34" s="41" t="s">
        <v>102</v>
      </c>
    </row>
    <row r="35" spans="1:41">
      <c r="A35" s="26">
        <v>44378</v>
      </c>
      <c r="B35" s="1">
        <v>212.1</v>
      </c>
      <c r="C35" s="37" t="s">
        <v>10</v>
      </c>
      <c r="D35" s="35">
        <v>9.6199999999999994E-2</v>
      </c>
      <c r="E35" s="33">
        <v>96.2</v>
      </c>
      <c r="F35" s="1">
        <v>106</v>
      </c>
      <c r="G35" s="11">
        <v>1E-4</v>
      </c>
      <c r="H35" s="101">
        <v>40</v>
      </c>
      <c r="I35" s="11">
        <v>5.0000000000000002E-5</v>
      </c>
      <c r="J35" s="101"/>
      <c r="K35" s="11"/>
      <c r="L35" s="11">
        <f>(D35*F35)/G35</f>
        <v>101971.99999999999</v>
      </c>
      <c r="M35" s="11">
        <f>(D35*F35)/(10*G35)</f>
        <v>10197.199999999999</v>
      </c>
      <c r="N35" s="11">
        <f>(D35*(F35+H35))/(10*(G35+I35))</f>
        <v>9363.4666666666653</v>
      </c>
      <c r="O35" s="1"/>
      <c r="P35" s="1"/>
      <c r="Q35" s="1"/>
      <c r="R35" s="1"/>
      <c r="S35" s="1"/>
      <c r="T35" s="1"/>
      <c r="U35" s="1"/>
      <c r="V35" s="1" t="s">
        <v>83</v>
      </c>
      <c r="W35" s="1"/>
      <c r="X35" s="1"/>
      <c r="Y35" s="1"/>
      <c r="Z35" s="1">
        <v>201</v>
      </c>
      <c r="AA35" s="1"/>
      <c r="AB35" s="1">
        <v>23</v>
      </c>
      <c r="AC35" s="1"/>
      <c r="AD35" s="45"/>
      <c r="AE35" s="1"/>
      <c r="AF35" s="1"/>
      <c r="AG35" s="1"/>
      <c r="AH35" s="1"/>
      <c r="AI35" s="11">
        <f>Z35/Z9</f>
        <v>40200000</v>
      </c>
      <c r="AJ35" s="11">
        <f>SUM(AD35,AB35)/SUM(AD9,AB9)</f>
        <v>15333333.333333332</v>
      </c>
      <c r="AK35" s="33">
        <f>LN(AI35/M35)/(AM35*LN(2))</f>
        <v>6.8256038412399214</v>
      </c>
      <c r="AL35" s="33">
        <f>LN(AJ35/N35)/(AM35*LN(2))</f>
        <v>6.1013377014962806</v>
      </c>
      <c r="AM35" s="1">
        <v>1.75</v>
      </c>
      <c r="AO35" s="41" t="s">
        <v>102</v>
      </c>
    </row>
    <row r="36" spans="1:41">
      <c r="A36" s="26">
        <v>44386</v>
      </c>
      <c r="B36" s="1">
        <v>212.2</v>
      </c>
      <c r="C36" s="37" t="s">
        <v>10</v>
      </c>
      <c r="D36" s="35">
        <v>2.0900000000000001E-4</v>
      </c>
      <c r="E36" s="33">
        <v>2.09</v>
      </c>
      <c r="F36" s="1">
        <v>125</v>
      </c>
      <c r="G36" s="11">
        <v>9.9999999999999995E-8</v>
      </c>
      <c r="H36" s="101">
        <v>19</v>
      </c>
      <c r="I36" s="11">
        <v>4.9999999999999998E-8</v>
      </c>
      <c r="J36" s="101"/>
      <c r="K36" s="11"/>
      <c r="L36" s="11">
        <f>(D36*F36)/G36</f>
        <v>261250.00000000003</v>
      </c>
      <c r="M36" s="11">
        <f>(D36*F36)/(10*G36)</f>
        <v>26125.000000000004</v>
      </c>
      <c r="N36" s="11">
        <f>(D36*(F36+H36))/(10*(G36+I36))</f>
        <v>20064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8">
        <v>209</v>
      </c>
      <c r="AA36" s="1"/>
      <c r="AB36" s="1">
        <v>39</v>
      </c>
      <c r="AC36" s="1"/>
      <c r="AD36" s="1"/>
      <c r="AE36" s="1"/>
      <c r="AF36" s="1"/>
      <c r="AG36" s="1"/>
      <c r="AH36" s="1"/>
      <c r="AI36" s="11">
        <f>Z36/Z9</f>
        <v>41800000</v>
      </c>
      <c r="AJ36" s="11">
        <f>SUM(Z36)/SUM(Z9)</f>
        <v>41800000</v>
      </c>
      <c r="AK36" s="33">
        <f>LN(AI36/M36)/(AM36*LN(2))</f>
        <v>7.0959041265164835</v>
      </c>
      <c r="AL36" s="33">
        <f>LN(AJ36/N36)/(AM36*LN(2))</f>
        <v>7.349785315810438</v>
      </c>
      <c r="AM36" s="1">
        <v>1.5</v>
      </c>
      <c r="AO36" s="41" t="s">
        <v>102</v>
      </c>
    </row>
    <row r="37" spans="1:41">
      <c r="A37" s="26">
        <v>44389</v>
      </c>
      <c r="B37" s="1">
        <v>212.3</v>
      </c>
      <c r="C37" s="37" t="s">
        <v>10</v>
      </c>
      <c r="D37" s="35">
        <v>2.3900000000000002E-3</v>
      </c>
      <c r="E37" s="33">
        <v>239</v>
      </c>
      <c r="F37" s="1">
        <v>122</v>
      </c>
      <c r="G37" s="11">
        <v>4.9999999999999998E-8</v>
      </c>
      <c r="H37" s="101">
        <v>247</v>
      </c>
      <c r="I37" s="11">
        <v>9.9999999999999995E-8</v>
      </c>
      <c r="J37" s="103"/>
      <c r="K37" s="49"/>
      <c r="L37" s="11">
        <f>(D37*F37)/G37</f>
        <v>5831600</v>
      </c>
      <c r="M37" s="11">
        <f>(D37*F37)/(10*G37)</f>
        <v>583160</v>
      </c>
      <c r="N37" s="11">
        <f>(D37*(F37+H37))/(10*(G37+I37))</f>
        <v>587940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04"/>
      <c r="AB37" s="1"/>
      <c r="AC37" s="1"/>
      <c r="AD37" s="11" t="s">
        <v>83</v>
      </c>
      <c r="AE37" s="33"/>
      <c r="AF37" s="1">
        <v>57</v>
      </c>
      <c r="AG37" s="17">
        <v>34</v>
      </c>
      <c r="AH37" s="17">
        <v>2</v>
      </c>
      <c r="AI37" s="48">
        <f>AF37/AF9</f>
        <v>570000000</v>
      </c>
      <c r="AJ37" s="48">
        <f>SUM(AF37,AG37,AH37)/SUM(AF9,AG9,AH9)</f>
        <v>581250000</v>
      </c>
      <c r="AK37" s="33">
        <f>LN(AI37/M37)/(AM37*LN(2))</f>
        <v>7.9462835503562248</v>
      </c>
      <c r="AL37" s="36">
        <f>LN(AJ37/N37)/(AM37*LN(2))</f>
        <v>7.9594193295996636</v>
      </c>
      <c r="AM37">
        <v>1.25</v>
      </c>
      <c r="AO37" s="41" t="s">
        <v>102</v>
      </c>
    </row>
    <row r="38" spans="1:41">
      <c r="A38" s="26">
        <v>44392</v>
      </c>
      <c r="B38" s="1">
        <v>212.4</v>
      </c>
      <c r="C38" s="37" t="s">
        <v>10</v>
      </c>
      <c r="D38" s="35">
        <v>1.75E-4</v>
      </c>
      <c r="E38" s="33">
        <v>1.75</v>
      </c>
      <c r="F38" s="1">
        <v>103</v>
      </c>
      <c r="G38" s="11">
        <v>9.9999999999999995E-8</v>
      </c>
      <c r="H38" s="101">
        <v>76</v>
      </c>
      <c r="I38" s="11">
        <v>4.9999999999999998E-8</v>
      </c>
      <c r="J38" s="103"/>
      <c r="K38" s="49"/>
      <c r="L38" s="11">
        <f>(D38*F38)/G38</f>
        <v>180250</v>
      </c>
      <c r="M38" s="11">
        <f>(D38*F38)/(10*G38)</f>
        <v>18025</v>
      </c>
      <c r="N38" s="11">
        <f>(D38*(F38+H38))/(10*(G38+I38))</f>
        <v>20883.333333333332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45"/>
      <c r="AB38" s="1"/>
      <c r="AC38" s="1"/>
      <c r="AD38" s="11"/>
      <c r="AE38" s="33"/>
      <c r="AF38" s="1">
        <v>224</v>
      </c>
      <c r="AG38" s="17">
        <v>116</v>
      </c>
      <c r="AH38" s="50">
        <v>31</v>
      </c>
      <c r="AI38" s="48">
        <f>AG38/AG9</f>
        <v>2320000000</v>
      </c>
      <c r="AJ38" s="48">
        <f>SUM(AH38,AG38,AF38)/SUM(AF9,AG9,AH9)</f>
        <v>2318750000</v>
      </c>
      <c r="AK38" s="33">
        <f>LN(AI38/M38)/(AM38*LN(2))</f>
        <v>13.579012816258848</v>
      </c>
      <c r="AL38" s="36">
        <f>LN(AJ38/N38)/(AM38*LN(2))</f>
        <v>13.408508597875418</v>
      </c>
      <c r="AM38">
        <v>1.25</v>
      </c>
      <c r="AO38" s="41" t="s">
        <v>102</v>
      </c>
    </row>
    <row r="39" spans="1:41">
      <c r="A39" s="26"/>
      <c r="B39" s="1"/>
      <c r="C39" s="1"/>
      <c r="D39" s="35"/>
      <c r="E39" s="33"/>
      <c r="F39" s="1"/>
      <c r="G39" s="11"/>
      <c r="H39" s="101"/>
      <c r="I39" s="11"/>
      <c r="J39" s="101"/>
      <c r="K39" s="11"/>
      <c r="L39" s="11"/>
      <c r="M39" s="11"/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1"/>
      <c r="AJ39" s="11"/>
      <c r="AK39" s="33"/>
      <c r="AL39" s="33"/>
      <c r="AM39" s="33"/>
      <c r="AN39" s="1"/>
    </row>
    <row r="40" spans="1:41">
      <c r="A40" s="26">
        <v>44370</v>
      </c>
      <c r="B40" s="1">
        <v>221</v>
      </c>
      <c r="C40" s="37" t="s">
        <v>94</v>
      </c>
      <c r="D40" s="35">
        <v>1.7899999999999999E-2</v>
      </c>
      <c r="E40" s="33">
        <v>17.899999999999999</v>
      </c>
      <c r="F40" s="1">
        <v>112</v>
      </c>
      <c r="G40" s="11">
        <v>5.0000000000000002E-5</v>
      </c>
      <c r="H40" s="101"/>
      <c r="I40" s="11"/>
      <c r="J40" s="101"/>
      <c r="K40" s="11"/>
      <c r="L40" s="11">
        <f>(D40*F40)/G40</f>
        <v>40096</v>
      </c>
      <c r="M40" s="11">
        <f>(D40*F40)/(10*G40)</f>
        <v>4009.6</v>
      </c>
      <c r="N40" s="11">
        <f>(D40*(F40+H40+J40))/(10*(G40+I40+K40))</f>
        <v>4009.6</v>
      </c>
      <c r="O40" s="1"/>
      <c r="P40" s="1"/>
      <c r="Q40" s="1"/>
      <c r="R40" s="1"/>
      <c r="S40" s="1"/>
      <c r="T40" s="28">
        <v>27</v>
      </c>
      <c r="U40" s="1"/>
      <c r="V40" s="1">
        <v>6</v>
      </c>
      <c r="W40" s="1"/>
      <c r="X40" s="1"/>
      <c r="Y40" s="1"/>
      <c r="Z40" s="1">
        <v>5</v>
      </c>
      <c r="AA40" s="1"/>
      <c r="AB40" s="1">
        <v>0</v>
      </c>
      <c r="AC40" s="1"/>
      <c r="AD40" s="1"/>
      <c r="AE40" s="1"/>
      <c r="AF40" s="1"/>
      <c r="AG40" s="1"/>
      <c r="AH40" s="1"/>
      <c r="AI40" s="11">
        <f>T40/T9</f>
        <v>540000</v>
      </c>
      <c r="AJ40" s="11">
        <f>SUM(AB40,Z40,V40,T40)/SUM(AB9,Z9,V9,T9)</f>
        <v>575757.57575757569</v>
      </c>
      <c r="AK40" s="33">
        <f>LN(AI40/M40)/(AM40*LN(2))</f>
        <v>7.0733572772784195</v>
      </c>
      <c r="AL40" s="33">
        <f>LN(AJ40/N40)/(AM40*LN(2))</f>
        <v>7.1658593589748074</v>
      </c>
      <c r="AM40" s="1">
        <v>1</v>
      </c>
      <c r="AO40" s="41" t="s">
        <v>102</v>
      </c>
    </row>
    <row r="41" spans="1:41">
      <c r="A41" s="26">
        <v>44371</v>
      </c>
      <c r="B41" s="1">
        <v>221.1</v>
      </c>
      <c r="C41" s="37" t="s">
        <v>94</v>
      </c>
      <c r="D41" s="35">
        <v>0.185</v>
      </c>
      <c r="E41" s="33">
        <v>185</v>
      </c>
      <c r="F41" s="1">
        <v>45</v>
      </c>
      <c r="G41" s="11">
        <v>5.0000000000000002E-5</v>
      </c>
      <c r="H41" s="101">
        <v>224</v>
      </c>
      <c r="I41" s="11">
        <v>5.0000000000000001E-4</v>
      </c>
      <c r="J41" s="101">
        <v>2</v>
      </c>
      <c r="K41" s="11">
        <v>9.9999999999999995E-7</v>
      </c>
      <c r="L41" s="11">
        <f>(D41*F41)/G41</f>
        <v>166499.99999999997</v>
      </c>
      <c r="M41" s="11">
        <f>(D41*F41)/(10*G41)</f>
        <v>16650</v>
      </c>
      <c r="N41" s="11">
        <f>(D41*(F41+H41+J41))/(10*(G41+I41+K41))</f>
        <v>9098.9110707803975</v>
      </c>
      <c r="O41" s="1"/>
      <c r="P41" s="1"/>
      <c r="Q41" s="1"/>
      <c r="R41" s="1"/>
      <c r="S41" s="104"/>
      <c r="T41" s="1"/>
      <c r="U41" s="1"/>
      <c r="V41" s="1"/>
      <c r="W41" s="1"/>
      <c r="X41" s="1"/>
      <c r="Y41" s="1"/>
      <c r="Z41" s="28">
        <v>192</v>
      </c>
      <c r="AA41" s="1"/>
      <c r="AB41" s="1"/>
      <c r="AC41" s="1"/>
      <c r="AD41" s="1"/>
      <c r="AE41" s="1"/>
      <c r="AF41" s="1"/>
      <c r="AG41" s="1"/>
      <c r="AH41" s="1"/>
      <c r="AI41" s="11">
        <f>Z41/Z9</f>
        <v>38400000</v>
      </c>
      <c r="AJ41" s="11">
        <f>Z41/Z9</f>
        <v>38400000</v>
      </c>
      <c r="AK41" s="33">
        <f>LN(AI41/M41)/(AM41*LN(2))</f>
        <v>7.4475789455413208</v>
      </c>
      <c r="AL41" s="33">
        <f>LN(AJ41/N41)/(AM41*LN(2))</f>
        <v>8.0287498613894783</v>
      </c>
      <c r="AM41" s="1">
        <v>1.5</v>
      </c>
      <c r="AN41" t="s">
        <v>122</v>
      </c>
      <c r="AO41" s="41" t="s">
        <v>102</v>
      </c>
    </row>
    <row r="42" spans="1:41">
      <c r="A42" s="26">
        <v>44386</v>
      </c>
      <c r="B42" s="1">
        <v>221.2</v>
      </c>
      <c r="C42" s="37" t="s">
        <v>123</v>
      </c>
      <c r="D42" s="35">
        <v>2.14E-4</v>
      </c>
      <c r="E42" s="33">
        <v>2.14</v>
      </c>
      <c r="F42" s="1">
        <v>42</v>
      </c>
      <c r="G42" s="11">
        <v>9.9999999999999995E-8</v>
      </c>
      <c r="H42" s="101">
        <v>307</v>
      </c>
      <c r="I42" s="11">
        <v>9.9999999999999995E-7</v>
      </c>
      <c r="J42" s="101">
        <v>176</v>
      </c>
      <c r="K42" s="11">
        <v>4.9999999999999998E-7</v>
      </c>
      <c r="L42" s="11">
        <f>(D42*F42)/G42</f>
        <v>89880</v>
      </c>
      <c r="M42" s="11">
        <f>(D42*F42)/(10*G42)</f>
        <v>8988</v>
      </c>
      <c r="N42" s="11">
        <f>(D42*(F42+H42+J42))/(10*(G42+I42+K42))</f>
        <v>7021.8750000000009</v>
      </c>
      <c r="O42" s="1"/>
      <c r="P42" s="1"/>
      <c r="Q42" s="1"/>
      <c r="R42" s="1"/>
      <c r="S42" s="1"/>
      <c r="T42" s="1"/>
      <c r="U42" s="1"/>
      <c r="V42" s="1">
        <v>311</v>
      </c>
      <c r="W42" s="1"/>
      <c r="X42" s="1"/>
      <c r="Y42" s="1"/>
      <c r="Z42" s="28">
        <v>209</v>
      </c>
      <c r="AA42" s="1"/>
      <c r="AB42" s="1"/>
      <c r="AC42" s="1"/>
      <c r="AD42" s="1"/>
      <c r="AE42" s="1"/>
      <c r="AF42" s="104"/>
      <c r="AG42" s="45"/>
      <c r="AH42" s="45"/>
      <c r="AI42" s="11">
        <f>Z42/Z9</f>
        <v>41800000</v>
      </c>
      <c r="AJ42" s="11">
        <f>SUM(V42,Z42)/SUM(V9,Z9)</f>
        <v>34666666.666666664</v>
      </c>
      <c r="AK42" s="33">
        <f>LN(AI42/M42)/(AM42*LN(2))</f>
        <v>8.1221434648918596</v>
      </c>
      <c r="AL42" s="33">
        <f>LN(AJ42/N42)/(AM42*LN(2))</f>
        <v>8.1796034585263193</v>
      </c>
      <c r="AM42" s="1">
        <v>1.5</v>
      </c>
      <c r="AO42" s="41" t="s">
        <v>102</v>
      </c>
    </row>
    <row r="43" spans="1:41" s="112" customFormat="1">
      <c r="A43" s="105">
        <v>44391</v>
      </c>
      <c r="B43" s="106">
        <v>221.3</v>
      </c>
      <c r="C43" s="107" t="s">
        <v>123</v>
      </c>
      <c r="D43" s="108">
        <v>2.3800000000000001E-4</v>
      </c>
      <c r="E43" s="109">
        <v>2.38</v>
      </c>
      <c r="F43" s="106">
        <v>16</v>
      </c>
      <c r="G43" s="110">
        <v>9.9999999999999995E-7</v>
      </c>
      <c r="H43" s="111">
        <v>11</v>
      </c>
      <c r="I43" s="110">
        <v>4.9999999999999998E-7</v>
      </c>
      <c r="J43" s="111">
        <v>3</v>
      </c>
      <c r="K43" s="110">
        <v>9.9999999999999995E-8</v>
      </c>
      <c r="L43" s="110">
        <f>(D43*F43)/G43</f>
        <v>3808.0000000000005</v>
      </c>
      <c r="M43" s="110">
        <f>(D43*F43)/(10*G43)</f>
        <v>380.80000000000007</v>
      </c>
      <c r="N43" s="110">
        <f>(D43*(F43+H43+J43))/(10*(G43+I43+K43))</f>
        <v>446.25000000000006</v>
      </c>
      <c r="O43" s="106"/>
      <c r="P43" s="106"/>
      <c r="Q43" s="106"/>
      <c r="R43" s="106" t="s">
        <v>83</v>
      </c>
      <c r="S43" s="106">
        <v>119</v>
      </c>
      <c r="T43" s="106">
        <v>69</v>
      </c>
      <c r="U43" s="106"/>
      <c r="V43" s="106">
        <v>0</v>
      </c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10">
        <f>S43/S9</f>
        <v>1190000</v>
      </c>
      <c r="AJ43" s="110">
        <f>SUM(V43,T43,S43)/SUM(S9,T9,V9)</f>
        <v>1175000</v>
      </c>
      <c r="AK43" s="33">
        <f>LN(AI43/M43)/(AM43*LN(2))</f>
        <v>15.479520632582416</v>
      </c>
      <c r="AL43" s="33">
        <f>LN(AJ43/N43)/(AM43*LN(2))</f>
        <v>15.150027956263985</v>
      </c>
      <c r="AM43" s="106">
        <v>0.75</v>
      </c>
      <c r="AO43" s="113" t="s">
        <v>102</v>
      </c>
    </row>
    <row r="44" spans="1:41">
      <c r="A44" s="26">
        <v>44392</v>
      </c>
      <c r="B44" s="1">
        <v>221.4</v>
      </c>
      <c r="C44" s="37" t="s">
        <v>123</v>
      </c>
      <c r="D44" s="35">
        <v>8.4000000000000005E-2</v>
      </c>
      <c r="E44" s="33">
        <v>84</v>
      </c>
      <c r="F44" s="1">
        <v>100</v>
      </c>
      <c r="G44" s="11">
        <v>5.0000000000000002E-5</v>
      </c>
      <c r="H44" s="101">
        <v>184</v>
      </c>
      <c r="I44" s="11">
        <v>1E-4</v>
      </c>
      <c r="J44" s="101">
        <v>24</v>
      </c>
      <c r="K44" s="11">
        <v>1.0000000000000001E-5</v>
      </c>
      <c r="L44" s="11">
        <f>(D44*F44)/G44</f>
        <v>168000</v>
      </c>
      <c r="M44" s="11">
        <f>(D44*F44)/(10*G44)</f>
        <v>16800</v>
      </c>
      <c r="N44" s="11">
        <f>(D44*(F44+H44+J44))/(10*(G44+I44+K44))</f>
        <v>16170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s">
        <v>83</v>
      </c>
      <c r="AF44" s="104"/>
      <c r="AG44" s="45">
        <v>289</v>
      </c>
      <c r="AH44" s="28">
        <v>53</v>
      </c>
      <c r="AI44" s="11">
        <f>AH44/AH9</f>
        <v>5300000000</v>
      </c>
      <c r="AJ44" s="11">
        <f>SUM(AG44,AH44)/SUM(AG9,AH9)</f>
        <v>5700000000.000001</v>
      </c>
      <c r="AK44" s="33">
        <f>LN(AI44/M44)/(AM44*LN(2))</f>
        <v>9.1335858005543074</v>
      </c>
      <c r="AL44" s="33">
        <f>LN(AJ44/N44)/(AM44*LN(2))</f>
        <v>9.2136413574513085</v>
      </c>
      <c r="AM44" s="1">
        <v>2</v>
      </c>
      <c r="AO44" s="41" t="s">
        <v>102</v>
      </c>
    </row>
    <row r="45" spans="1:41">
      <c r="H45" s="102"/>
      <c r="J45" s="102"/>
      <c r="L45" s="11"/>
      <c r="M45" s="11"/>
      <c r="N45" s="11"/>
      <c r="AI45" s="11"/>
      <c r="AJ45" s="11"/>
      <c r="AK45" s="33"/>
      <c r="AL45" s="33"/>
    </row>
    <row r="46" spans="1:41">
      <c r="A46" s="100">
        <v>44389</v>
      </c>
      <c r="B46">
        <v>222</v>
      </c>
      <c r="C46" t="s">
        <v>12</v>
      </c>
      <c r="D46" s="48">
        <v>9.5200000000000007E-3</v>
      </c>
      <c r="E46">
        <v>9.52</v>
      </c>
      <c r="F46">
        <v>16</v>
      </c>
      <c r="G46" s="48">
        <v>9.9999999999999995E-7</v>
      </c>
      <c r="H46" s="102">
        <v>1</v>
      </c>
      <c r="I46" s="48">
        <v>1E-4</v>
      </c>
      <c r="J46" s="102">
        <v>1</v>
      </c>
      <c r="K46" s="48">
        <v>5.0000000000000002E-5</v>
      </c>
      <c r="L46" s="11">
        <f>(D46*F46)/G46</f>
        <v>152320.00000000003</v>
      </c>
      <c r="M46" s="11">
        <f>(D46*F46)/(10*G46)</f>
        <v>15232.000000000002</v>
      </c>
      <c r="N46" s="11">
        <f>(D46*(F46+H46+J46))/(10*(G46+I46+K46))</f>
        <v>113.48344370860927</v>
      </c>
      <c r="V46" s="25">
        <v>43</v>
      </c>
      <c r="Z46">
        <v>13</v>
      </c>
      <c r="AB46">
        <v>4</v>
      </c>
      <c r="AD46">
        <v>0</v>
      </c>
      <c r="AI46" s="11">
        <f>V46/V9</f>
        <v>4300000</v>
      </c>
      <c r="AJ46" s="11">
        <f>SUM(AD46,AB46,Z46,V46)/SUM(AD9,AB9,Z9,V9)</f>
        <v>3636363.6363636362</v>
      </c>
      <c r="AK46" s="33">
        <f>LN(AI46/M46)/(AM46*LN(2))</f>
        <v>3.3228928431963127</v>
      </c>
      <c r="AL46" s="33">
        <f>LN(AJ46/N46)/(AM46*LN(2))</f>
        <v>6.1092763347547185</v>
      </c>
      <c r="AM46">
        <v>2.4500000000000002</v>
      </c>
      <c r="AO46" s="41" t="s">
        <v>102</v>
      </c>
    </row>
    <row r="47" spans="1:41">
      <c r="A47" s="100">
        <v>44391</v>
      </c>
      <c r="B47">
        <v>222.1</v>
      </c>
      <c r="C47" t="s">
        <v>12</v>
      </c>
      <c r="D47" s="48">
        <v>2.3300000000000001E-2</v>
      </c>
      <c r="E47">
        <v>23.3</v>
      </c>
      <c r="F47">
        <v>16</v>
      </c>
      <c r="G47" s="48">
        <v>5.0000000000000002E-5</v>
      </c>
      <c r="H47" s="102">
        <v>3</v>
      </c>
      <c r="I47" s="48">
        <v>1.0000000000000001E-5</v>
      </c>
      <c r="J47" s="102">
        <v>0</v>
      </c>
      <c r="K47" s="48">
        <v>1.0000000000000001E-5</v>
      </c>
      <c r="L47" s="11">
        <f>(D47*F47)/G47</f>
        <v>7456</v>
      </c>
      <c r="M47" s="11">
        <f>(D47*F47)/(10*G47)</f>
        <v>745.6</v>
      </c>
      <c r="N47" s="11">
        <f>(D47*(F47+H47+J47))/(10*(G47+I47+K47))</f>
        <v>632.42857142857144</v>
      </c>
      <c r="V47">
        <v>343</v>
      </c>
      <c r="Z47">
        <v>236</v>
      </c>
      <c r="AB47" s="25">
        <v>54</v>
      </c>
      <c r="AI47" s="11">
        <f>AB47/AB9</f>
        <v>54000000</v>
      </c>
      <c r="AJ47" s="11">
        <f>SUM(AB47,Z47,V47)/SUM(AB9,Z9,V9)</f>
        <v>39562499.999999993</v>
      </c>
      <c r="AK47" s="33">
        <f>LN(AI47/M47)/(AM47*LN(2))</f>
        <v>7.1119815073659574</v>
      </c>
      <c r="AL47" s="33">
        <f>LN(AJ47/N47)/(AM47*LN(2))</f>
        <v>7.0188861333534147</v>
      </c>
      <c r="AM47">
        <v>2.27</v>
      </c>
      <c r="AO47" s="41" t="s">
        <v>102</v>
      </c>
    </row>
    <row r="48" spans="1:41">
      <c r="A48" s="100">
        <v>44392</v>
      </c>
      <c r="B48">
        <v>222.2</v>
      </c>
      <c r="C48" t="s">
        <v>12</v>
      </c>
      <c r="D48" s="48">
        <v>1.8500000000000001E-3</v>
      </c>
      <c r="E48">
        <v>1.85</v>
      </c>
      <c r="F48">
        <v>46</v>
      </c>
      <c r="G48" s="48">
        <v>9.9999999999999995E-7</v>
      </c>
      <c r="H48" s="102">
        <v>197</v>
      </c>
      <c r="I48" s="48">
        <v>5.0000000000000004E-6</v>
      </c>
      <c r="J48" s="102"/>
      <c r="L48" s="11">
        <f>(D48*F48)/G48</f>
        <v>85100.000000000015</v>
      </c>
      <c r="M48" s="11">
        <f>(D48*F48)/(10*G48)</f>
        <v>8510.0000000000018</v>
      </c>
      <c r="N48" s="11">
        <f>(D48*(F48+H48+J48))/(10*(G48+I48+K48))</f>
        <v>7492.5</v>
      </c>
      <c r="V48">
        <v>194</v>
      </c>
      <c r="Z48" s="25">
        <v>63</v>
      </c>
      <c r="AB48">
        <v>22</v>
      </c>
      <c r="AD48">
        <v>9</v>
      </c>
      <c r="AI48" s="11">
        <f>Z48/Z9</f>
        <v>12599999.999999998</v>
      </c>
      <c r="AJ48" s="11">
        <f>SUM(AD48,AB48,Z48,V48)/SUM(AB9,AD9,Z9,V9)</f>
        <v>17454545.454545453</v>
      </c>
      <c r="AK48" s="33">
        <f>LN(AI48/M48)/(AM48*LN(2))</f>
        <v>8.039677085010231</v>
      </c>
      <c r="AL48" s="33">
        <f>LN(AJ48/N48)/(AM48*LN(2))</f>
        <v>8.5388305251962571</v>
      </c>
      <c r="AM48">
        <v>1.31</v>
      </c>
      <c r="AO48" s="41" t="s">
        <v>102</v>
      </c>
    </row>
    <row r="49" spans="1:41">
      <c r="A49" s="100">
        <v>44396</v>
      </c>
      <c r="B49">
        <v>222.3</v>
      </c>
      <c r="C49" t="s">
        <v>12</v>
      </c>
      <c r="D49" s="48">
        <v>8.4000000000000005E-2</v>
      </c>
      <c r="E49">
        <v>84</v>
      </c>
      <c r="F49">
        <v>29</v>
      </c>
      <c r="G49" s="48">
        <v>5.0000000000000004E-6</v>
      </c>
      <c r="H49" s="102">
        <v>4</v>
      </c>
      <c r="I49" s="48">
        <v>9.9999999999999995E-7</v>
      </c>
      <c r="J49" s="102">
        <v>3</v>
      </c>
      <c r="K49" s="48">
        <v>4.9999999999999998E-7</v>
      </c>
      <c r="L49" s="11">
        <f>(D49*F49)/G49</f>
        <v>487199.99999999994</v>
      </c>
      <c r="M49" s="11">
        <f>(D49*F49)/(10*G49)</f>
        <v>48720</v>
      </c>
      <c r="N49" s="11">
        <f>(D49*(F49+H49+J49))/(10*(G49+I49+K49))</f>
        <v>46523.076923076915</v>
      </c>
      <c r="AF49">
        <v>501</v>
      </c>
      <c r="AI49" s="11">
        <f>AF49/AF9</f>
        <v>5010000000</v>
      </c>
      <c r="AJ49" s="11">
        <f>AF49/AF9</f>
        <v>5010000000</v>
      </c>
      <c r="AK49" s="33">
        <f>LN(AI49/M49)/(AM49*LN(2))</f>
        <v>12.807643803548499</v>
      </c>
      <c r="AL49" s="33">
        <f>LN(AJ49/N49)/(AM49*LN(2))</f>
        <v>12.858849662732338</v>
      </c>
      <c r="AM49">
        <v>1.3</v>
      </c>
      <c r="AO49" s="41" t="s">
        <v>102</v>
      </c>
    </row>
    <row r="50" spans="1:41">
      <c r="A50" s="100">
        <v>44404</v>
      </c>
      <c r="B50">
        <v>222.4</v>
      </c>
      <c r="C50" t="s">
        <v>12</v>
      </c>
      <c r="D50" s="48">
        <v>2.0000000000000002E-5</v>
      </c>
      <c r="E50">
        <v>2</v>
      </c>
      <c r="F50">
        <v>110</v>
      </c>
      <c r="G50" s="48">
        <v>4.9999999999999998E-8</v>
      </c>
      <c r="H50" s="102">
        <v>16</v>
      </c>
      <c r="I50" s="48">
        <v>1E-8</v>
      </c>
      <c r="J50" s="102">
        <v>8</v>
      </c>
      <c r="K50" s="48">
        <v>5.0000000000000001E-9</v>
      </c>
      <c r="L50" s="11">
        <f>(D50*F50)/G50</f>
        <v>44000.000000000007</v>
      </c>
      <c r="M50" s="11">
        <f>(D50*F50)/(10*G50)</f>
        <v>4400.0000000000009</v>
      </c>
      <c r="N50" s="11">
        <f>(D50*(F50+H50+J50))/(10*(G50+I50+K50))</f>
        <v>4123.0769230769229</v>
      </c>
      <c r="V50">
        <v>263</v>
      </c>
      <c r="Z50" s="25">
        <v>130</v>
      </c>
      <c r="AI50" s="11">
        <f>Z50/Z9</f>
        <v>25999999.999999996</v>
      </c>
      <c r="AJ50" s="11">
        <f>SUM(V50,Z50)/SUM(V9,Z9)</f>
        <v>26199999.999999996</v>
      </c>
      <c r="AK50" s="33">
        <f>LN(AI50/M50)/(AM50*LN(2))</f>
        <v>18.982909816747341</v>
      </c>
      <c r="AL50" s="33">
        <f>LN(AJ50/N50)/(AM50*LN(2))</f>
        <v>19.141754263458875</v>
      </c>
      <c r="AM50">
        <v>0.66</v>
      </c>
      <c r="AO50" s="41" t="s">
        <v>102</v>
      </c>
    </row>
    <row r="51" spans="1:41">
      <c r="H51" s="102"/>
      <c r="J51" s="102"/>
      <c r="AJ51" s="11"/>
    </row>
    <row r="52" spans="1:41">
      <c r="H52" s="102"/>
    </row>
    <row r="53" spans="1:41">
      <c r="H53" s="102"/>
    </row>
    <row r="54" spans="1:41">
      <c r="H54" s="102"/>
    </row>
    <row r="55" spans="1:41">
      <c r="H55" s="102"/>
    </row>
  </sheetData>
  <mergeCells count="2">
    <mergeCell ref="F8:M8"/>
    <mergeCell ref="T8:AI8"/>
  </mergeCells>
  <conditionalFormatting sqref="N5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{BABB13FE-C166-4950-9F2E-E8941BA1AA54}</x14:id>
        </ext>
      </extLst>
    </cfRule>
  </conditionalFormatting>
  <hyperlinks>
    <hyperlink ref="AO10" r:id="rId1" xr:uid="{66D2E561-1AA5-40BA-B596-73959A811A9C}"/>
    <hyperlink ref="AO11" r:id="rId2" xr:uid="{7DBB1B45-D473-44FB-AFF2-9A86D4FBB109}"/>
    <hyperlink ref="AO12" r:id="rId3" xr:uid="{3B622A5D-FEF5-4DD9-8CC0-2379FDAD8F7D}"/>
    <hyperlink ref="AO13" r:id="rId4" xr:uid="{2FA935D7-1E56-46FE-9334-2E41A75CAD34}"/>
    <hyperlink ref="AO14" r:id="rId5" xr:uid="{E094F35E-5731-4791-BA11-33E75C97A8C3}"/>
    <hyperlink ref="AO16" r:id="rId6" xr:uid="{A14E3CAC-D213-4ADE-B951-4CBF7DBA125A}"/>
    <hyperlink ref="AO17" r:id="rId7" display="jh" xr:uid="{0E017CD6-98BE-407D-9738-9F0BCF86A02B}"/>
    <hyperlink ref="AO18" r:id="rId8" xr:uid="{694B3A27-95DE-422B-ABD9-63F8B7CA6BAA}"/>
    <hyperlink ref="AO19" r:id="rId9" xr:uid="{A3323A9D-D36B-42DE-A04D-0A076C7B983B}"/>
    <hyperlink ref="AO20" r:id="rId10" xr:uid="{8796326B-CEE1-4A79-B8B2-94977D5A5340}"/>
    <hyperlink ref="AO22" r:id="rId11" xr:uid="{9AF0B671-3B3A-4094-A8C7-CB3F63552961}"/>
    <hyperlink ref="AO23" r:id="rId12" xr:uid="{371B8AAC-0192-47DC-B47A-49FF67C8D0DA}"/>
    <hyperlink ref="AO25" r:id="rId13" xr:uid="{9501C653-E544-4936-A812-93A10A188CA8}"/>
    <hyperlink ref="AO26" r:id="rId14" xr:uid="{6A598853-0F14-46F3-B842-895E823E5614}"/>
    <hyperlink ref="AO28" r:id="rId15" xr:uid="{BA35DBBA-8143-4D74-9AC1-6FF1DD4C64E6}"/>
    <hyperlink ref="AO29" r:id="rId16" xr:uid="{03CC2301-8047-4860-BE1B-D35841646BA7}"/>
    <hyperlink ref="AO30" r:id="rId17" xr:uid="{42EDE06B-834D-4F6E-A039-5A6B60027661}"/>
    <hyperlink ref="AO31" r:id="rId18" xr:uid="{8E4811E3-6F06-4BCD-AC0C-7743CF90C5CB}"/>
    <hyperlink ref="AO32" r:id="rId19" xr:uid="{35BDC4FC-FAB3-4009-BB70-337249AAC07A}"/>
    <hyperlink ref="B8" r:id="rId20" xr:uid="{EE80C96C-4BE6-4441-AC1E-9D923082B76C}"/>
    <hyperlink ref="AO24" r:id="rId21" xr:uid="{307EADA8-C8A4-4C74-A996-A74F0CBA063C}"/>
    <hyperlink ref="AO34" r:id="rId22" xr:uid="{8ADC7B09-CC28-4701-8DF5-9FCB128FECDA}"/>
    <hyperlink ref="AO35" r:id="rId23" xr:uid="{37A124E0-0F86-43C3-AB7B-08B2FBC89779}"/>
    <hyperlink ref="AO36" r:id="rId24" xr:uid="{349E4042-6AAC-4935-AA73-EA7B58C94B75}"/>
    <hyperlink ref="AO37" r:id="rId25" xr:uid="{2024F08E-11F1-44A6-886F-AC2613A6D716}"/>
    <hyperlink ref="AO38" r:id="rId26" xr:uid="{4575CDF1-139F-483A-A25E-B49CC95890C3}"/>
    <hyperlink ref="AO40" r:id="rId27" xr:uid="{A0747C84-6B2B-4EC0-A57F-BCE9E1541E07}"/>
    <hyperlink ref="AO41" r:id="rId28" xr:uid="{66078ECF-29A3-4D2F-9EDC-211190A9027B}"/>
    <hyperlink ref="AO42" r:id="rId29" xr:uid="{ADBDA400-1031-4C37-8492-939B6491E224}"/>
    <hyperlink ref="AO43" r:id="rId30" xr:uid="{911D0008-982A-4879-8082-584B8E9D15E4}"/>
    <hyperlink ref="AO44" r:id="rId31" xr:uid="{70794386-7B4E-447C-9C1B-57AB49D6D83F}"/>
    <hyperlink ref="AO46" r:id="rId32" xr:uid="{8598BB63-75BC-4982-A2F3-C120C4E74BD9}"/>
    <hyperlink ref="AO47" r:id="rId33" xr:uid="{F49F3491-C352-4D0A-B74B-8DA210E03D99}"/>
    <hyperlink ref="AO48" r:id="rId34" xr:uid="{0F4A2A5A-B046-413E-A2A0-EACFAD12F655}"/>
    <hyperlink ref="AO49" r:id="rId35" xr:uid="{13130396-0BF9-4F39-993C-AA04F68C5D0E}"/>
    <hyperlink ref="AO50" r:id="rId36" xr:uid="{A7A25787-DB81-4484-90DA-06095CBABA45}"/>
  </hyperlinks>
  <pageMargins left="0.7" right="0.7" top="0.75" bottom="0.75" header="0.3" footer="0.3"/>
  <pageSetup scale="42" fitToHeight="0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BB13FE-C166-4950-9F2E-E8941BA1AA54}">
            <x14:dataBar minLength="0" maxLength="100" border="1" negativeBarColorSameAsPositive="1" negativeBarBorderColorSameAsPositive="0" axisPosition="none">
              <x14:cfvo type="autoMin"/>
              <x14:cfvo type="autoMax"/>
              <x14:borderColor rgb="FF638EC6"/>
              <x14:negativeBorderColor rgb="FF638EC6"/>
            </x14:dataBar>
          </x14:cfRule>
          <xm:sqref>N54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AD0D-9C87-4CE6-8DD4-6532C01D51F8}">
  <sheetPr>
    <tabColor rgb="FFFF0000"/>
    <pageSetUpPr fitToPage="1"/>
  </sheetPr>
  <dimension ref="A1:E62"/>
  <sheetViews>
    <sheetView topLeftCell="A43" workbookViewId="0">
      <selection activeCell="F54" sqref="F54"/>
    </sheetView>
  </sheetViews>
  <sheetFormatPr defaultRowHeight="15"/>
  <cols>
    <col min="1" max="1" width="19" bestFit="1" customWidth="1"/>
    <col min="2" max="2" width="22.5703125" customWidth="1"/>
    <col min="3" max="3" width="33.7109375" customWidth="1"/>
    <col min="4" max="4" width="14.85546875" bestFit="1" customWidth="1"/>
  </cols>
  <sheetData>
    <row r="1" spans="1:5">
      <c r="A1" s="77" t="s">
        <v>1</v>
      </c>
      <c r="B1" s="78" t="s">
        <v>124</v>
      </c>
      <c r="C1" s="78" t="s">
        <v>125</v>
      </c>
    </row>
    <row r="2" spans="1:5">
      <c r="A2" s="55" t="s">
        <v>126</v>
      </c>
      <c r="B2" s="42" t="s">
        <v>127</v>
      </c>
      <c r="C2" t="s">
        <v>128</v>
      </c>
    </row>
    <row r="3" spans="1:5">
      <c r="A3" s="75" t="s">
        <v>129</v>
      </c>
      <c r="B3" s="42" t="s">
        <v>127</v>
      </c>
      <c r="C3" s="42" t="s">
        <v>130</v>
      </c>
    </row>
    <row r="4" spans="1:5">
      <c r="A4" s="76" t="s">
        <v>131</v>
      </c>
      <c r="B4" t="s">
        <v>132</v>
      </c>
      <c r="C4" s="42" t="s">
        <v>130</v>
      </c>
    </row>
    <row r="6" spans="1:5">
      <c r="A6" s="79" t="s">
        <v>133</v>
      </c>
      <c r="B6" s="79" t="s">
        <v>134</v>
      </c>
      <c r="C6" s="79" t="s">
        <v>135</v>
      </c>
      <c r="D6" s="80" t="s">
        <v>136</v>
      </c>
      <c r="E6" s="79" t="s">
        <v>137</v>
      </c>
    </row>
    <row r="7" spans="1:5">
      <c r="A7" s="56" t="s">
        <v>138</v>
      </c>
      <c r="B7" s="58" t="s">
        <v>127</v>
      </c>
      <c r="C7" t="s">
        <v>139</v>
      </c>
      <c r="D7">
        <v>3</v>
      </c>
      <c r="E7">
        <f>D7+2</f>
        <v>5</v>
      </c>
    </row>
    <row r="8" spans="1:5">
      <c r="A8" s="63" t="s">
        <v>140</v>
      </c>
      <c r="B8" t="s">
        <v>132</v>
      </c>
      <c r="C8" t="s">
        <v>141</v>
      </c>
      <c r="D8">
        <v>2</v>
      </c>
      <c r="E8">
        <f t="shared" ref="E8:E10" si="0">D8+2</f>
        <v>4</v>
      </c>
    </row>
    <row r="9" spans="1:5">
      <c r="A9" s="62" t="s">
        <v>142</v>
      </c>
      <c r="B9" t="s">
        <v>128</v>
      </c>
      <c r="C9" t="s">
        <v>143</v>
      </c>
      <c r="D9">
        <v>2</v>
      </c>
      <c r="E9">
        <f t="shared" si="0"/>
        <v>4</v>
      </c>
    </row>
    <row r="10" spans="1:5">
      <c r="A10" s="60" t="s">
        <v>144</v>
      </c>
      <c r="B10" t="s">
        <v>130</v>
      </c>
      <c r="C10" t="s">
        <v>145</v>
      </c>
      <c r="D10">
        <v>3</v>
      </c>
      <c r="E10">
        <f t="shared" si="0"/>
        <v>5</v>
      </c>
    </row>
    <row r="12" spans="1:5">
      <c r="A12" s="67" t="s">
        <v>146</v>
      </c>
      <c r="B12" s="83" t="s">
        <v>147</v>
      </c>
      <c r="C12" s="84">
        <f>E7</f>
        <v>5</v>
      </c>
    </row>
    <row r="13" spans="1:5">
      <c r="A13" s="42" t="s">
        <v>148</v>
      </c>
      <c r="B13" s="81">
        <v>2.5</v>
      </c>
      <c r="C13" s="81">
        <f>B13*C12</f>
        <v>12.5</v>
      </c>
    </row>
    <row r="14" spans="1:5">
      <c r="A14" s="42" t="s">
        <v>149</v>
      </c>
      <c r="B14" s="81">
        <v>2.5</v>
      </c>
      <c r="C14" s="81">
        <f>B14*C12</f>
        <v>12.5</v>
      </c>
    </row>
    <row r="15" spans="1:5">
      <c r="A15" s="42" t="s">
        <v>150</v>
      </c>
      <c r="B15" s="81">
        <v>5</v>
      </c>
      <c r="C15" s="81">
        <f>B15*C12</f>
        <v>25</v>
      </c>
    </row>
    <row r="16" spans="1:5">
      <c r="A16" s="42" t="s">
        <v>151</v>
      </c>
      <c r="B16" s="81">
        <v>0.8</v>
      </c>
      <c r="C16" s="81">
        <f>B16*C12</f>
        <v>4</v>
      </c>
    </row>
    <row r="17" spans="1:4">
      <c r="A17" s="42" t="s">
        <v>152</v>
      </c>
      <c r="B17" s="81">
        <v>0.5</v>
      </c>
      <c r="C17" s="81">
        <f>B17*C12</f>
        <v>2.5</v>
      </c>
    </row>
    <row r="18" spans="1:4">
      <c r="A18" s="42" t="s">
        <v>153</v>
      </c>
      <c r="B18" s="81">
        <v>33.700000000000003</v>
      </c>
      <c r="C18" s="81">
        <f>B18*C12</f>
        <v>168.5</v>
      </c>
    </row>
    <row r="19" spans="1:4">
      <c r="A19" s="42" t="s">
        <v>154</v>
      </c>
      <c r="B19" s="82">
        <f>B13+B14+B15+B16+B17+B18</f>
        <v>45</v>
      </c>
      <c r="C19" s="82">
        <f>C13+C14+C15+C16+C17+C18</f>
        <v>225</v>
      </c>
      <c r="D19">
        <f>C19/C12</f>
        <v>45</v>
      </c>
    </row>
    <row r="20" spans="1:4">
      <c r="B20" s="57"/>
      <c r="C20" s="57"/>
    </row>
    <row r="21" spans="1:4">
      <c r="A21" s="68" t="s">
        <v>155</v>
      </c>
      <c r="B21" s="85" t="s">
        <v>147</v>
      </c>
      <c r="C21" s="86">
        <f>E8</f>
        <v>4</v>
      </c>
    </row>
    <row r="22" spans="1:4">
      <c r="A22" s="42" t="s">
        <v>148</v>
      </c>
      <c r="B22" s="81">
        <v>2.5</v>
      </c>
      <c r="C22" s="81">
        <f>B22*C21</f>
        <v>10</v>
      </c>
    </row>
    <row r="23" spans="1:4">
      <c r="A23" s="42" t="s">
        <v>156</v>
      </c>
      <c r="B23" s="81">
        <v>2.5</v>
      </c>
      <c r="C23" s="81">
        <f>B23*C21</f>
        <v>10</v>
      </c>
    </row>
    <row r="24" spans="1:4">
      <c r="A24" s="42" t="s">
        <v>150</v>
      </c>
      <c r="B24" s="81">
        <v>5</v>
      </c>
      <c r="C24" s="81">
        <f>B24*C21</f>
        <v>20</v>
      </c>
    </row>
    <row r="25" spans="1:4">
      <c r="A25" s="42" t="s">
        <v>151</v>
      </c>
      <c r="B25" s="81">
        <v>0.8</v>
      </c>
      <c r="C25" s="81">
        <f>B25*C21</f>
        <v>3.2</v>
      </c>
    </row>
    <row r="26" spans="1:4">
      <c r="A26" s="42" t="s">
        <v>152</v>
      </c>
      <c r="B26" s="81">
        <v>0.5</v>
      </c>
      <c r="C26" s="81">
        <f>B26*C21</f>
        <v>2</v>
      </c>
    </row>
    <row r="27" spans="1:4">
      <c r="A27" s="42" t="s">
        <v>153</v>
      </c>
      <c r="B27" s="81">
        <v>33.700000000000003</v>
      </c>
      <c r="C27" s="81">
        <f>B27*C21</f>
        <v>134.80000000000001</v>
      </c>
    </row>
    <row r="28" spans="1:4">
      <c r="A28" s="42" t="s">
        <v>154</v>
      </c>
      <c r="B28" s="82">
        <f>B22+B23+B24+B25+B26+B27</f>
        <v>45</v>
      </c>
      <c r="C28" s="82">
        <f>C22+C23+C24+C25+C26+C27</f>
        <v>180</v>
      </c>
      <c r="D28">
        <f>C28/C21</f>
        <v>45</v>
      </c>
    </row>
    <row r="29" spans="1:4">
      <c r="B29" s="81"/>
      <c r="C29" s="81"/>
    </row>
    <row r="30" spans="1:4">
      <c r="A30" s="69" t="s">
        <v>157</v>
      </c>
      <c r="B30" s="87" t="s">
        <v>147</v>
      </c>
      <c r="C30" s="88">
        <f>E9</f>
        <v>4</v>
      </c>
    </row>
    <row r="31" spans="1:4">
      <c r="A31" s="42" t="s">
        <v>158</v>
      </c>
      <c r="B31" s="81">
        <v>2.5</v>
      </c>
      <c r="C31" s="81">
        <f>B31*C30</f>
        <v>10</v>
      </c>
    </row>
    <row r="32" spans="1:4">
      <c r="A32" s="42" t="s">
        <v>159</v>
      </c>
      <c r="B32" s="81">
        <v>2.5</v>
      </c>
      <c r="C32" s="81">
        <f>B32*C30</f>
        <v>10</v>
      </c>
    </row>
    <row r="33" spans="1:4">
      <c r="A33" s="42" t="s">
        <v>150</v>
      </c>
      <c r="B33" s="81">
        <v>5</v>
      </c>
      <c r="C33" s="81">
        <f>B33*C30</f>
        <v>20</v>
      </c>
    </row>
    <row r="34" spans="1:4">
      <c r="A34" s="42" t="s">
        <v>151</v>
      </c>
      <c r="B34" s="81">
        <v>0.8</v>
      </c>
      <c r="C34" s="81">
        <f>B34*C30</f>
        <v>3.2</v>
      </c>
    </row>
    <row r="35" spans="1:4">
      <c r="A35" s="42" t="s">
        <v>152</v>
      </c>
      <c r="B35" s="81">
        <v>0.5</v>
      </c>
      <c r="C35" s="81">
        <f>B35*C30</f>
        <v>2</v>
      </c>
    </row>
    <row r="36" spans="1:4">
      <c r="A36" s="42" t="s">
        <v>153</v>
      </c>
      <c r="B36" s="81">
        <v>33.700000000000003</v>
      </c>
      <c r="C36" s="81">
        <f>B36*C30</f>
        <v>134.80000000000001</v>
      </c>
    </row>
    <row r="37" spans="1:4">
      <c r="A37" s="42" t="s">
        <v>154</v>
      </c>
      <c r="B37" s="82">
        <f>B31+B32+B33+B34+B35+B36</f>
        <v>45</v>
      </c>
      <c r="C37" s="82">
        <f>C31+C32+C33+C34+C35+C36</f>
        <v>180</v>
      </c>
      <c r="D37">
        <f>C37/C30</f>
        <v>45</v>
      </c>
    </row>
    <row r="38" spans="1:4">
      <c r="B38" s="81"/>
      <c r="C38" s="81"/>
    </row>
    <row r="39" spans="1:4">
      <c r="A39" s="70" t="s">
        <v>160</v>
      </c>
      <c r="B39" s="89" t="s">
        <v>147</v>
      </c>
      <c r="C39" s="90">
        <f>E10</f>
        <v>5</v>
      </c>
    </row>
    <row r="40" spans="1:4">
      <c r="A40" s="42" t="s">
        <v>161</v>
      </c>
      <c r="B40" s="81">
        <v>2.5</v>
      </c>
      <c r="C40" s="81">
        <f>B40*C39</f>
        <v>12.5</v>
      </c>
    </row>
    <row r="41" spans="1:4">
      <c r="A41" s="42" t="s">
        <v>162</v>
      </c>
      <c r="B41" s="81">
        <v>2.5</v>
      </c>
      <c r="C41" s="81">
        <f>B41*C39</f>
        <v>12.5</v>
      </c>
    </row>
    <row r="42" spans="1:4">
      <c r="A42" s="42" t="s">
        <v>150</v>
      </c>
      <c r="B42" s="81">
        <v>5</v>
      </c>
      <c r="C42" s="81">
        <f>B42*C39</f>
        <v>25</v>
      </c>
    </row>
    <row r="43" spans="1:4">
      <c r="A43" s="42" t="s">
        <v>151</v>
      </c>
      <c r="B43" s="81">
        <v>0.8</v>
      </c>
      <c r="C43" s="81">
        <f>B43*C39</f>
        <v>4</v>
      </c>
    </row>
    <row r="44" spans="1:4">
      <c r="A44" s="42" t="s">
        <v>152</v>
      </c>
      <c r="B44" s="81">
        <v>0.5</v>
      </c>
      <c r="C44" s="81">
        <f>B44*C39</f>
        <v>2.5</v>
      </c>
    </row>
    <row r="45" spans="1:4">
      <c r="A45" s="42" t="s">
        <v>153</v>
      </c>
      <c r="B45" s="81">
        <v>33.700000000000003</v>
      </c>
      <c r="C45" s="81">
        <f>B45*C39</f>
        <v>168.5</v>
      </c>
    </row>
    <row r="46" spans="1:4">
      <c r="A46" s="42" t="s">
        <v>154</v>
      </c>
      <c r="B46" s="82">
        <f>B40+B41+B42+B43+B44+B45</f>
        <v>45</v>
      </c>
      <c r="C46" s="82">
        <f>C40+C41+C42+C43+C44+C45</f>
        <v>225</v>
      </c>
      <c r="D46">
        <f>C46/C39</f>
        <v>45</v>
      </c>
    </row>
    <row r="48" spans="1:4">
      <c r="A48" s="71" t="s">
        <v>163</v>
      </c>
      <c r="B48" s="72" t="s">
        <v>164</v>
      </c>
      <c r="C48" s="66"/>
    </row>
    <row r="49" spans="1:3">
      <c r="A49" s="73">
        <v>1</v>
      </c>
      <c r="B49" s="59" t="s">
        <v>165</v>
      </c>
      <c r="C49" s="64" t="s">
        <v>166</v>
      </c>
    </row>
    <row r="50" spans="1:3">
      <c r="A50" s="73">
        <v>2</v>
      </c>
      <c r="B50" s="61" t="s">
        <v>167</v>
      </c>
      <c r="C50" s="64" t="s">
        <v>168</v>
      </c>
    </row>
    <row r="51" spans="1:3">
      <c r="A51" s="73">
        <v>3</v>
      </c>
      <c r="B51" s="59" t="s">
        <v>169</v>
      </c>
      <c r="C51" s="64" t="s">
        <v>170</v>
      </c>
    </row>
    <row r="52" spans="1:3">
      <c r="A52" s="73">
        <v>4</v>
      </c>
      <c r="B52" s="61" t="s">
        <v>171</v>
      </c>
      <c r="C52" s="64" t="s">
        <v>172</v>
      </c>
    </row>
    <row r="53" spans="1:3">
      <c r="A53" s="74">
        <v>5</v>
      </c>
      <c r="B53" s="63" t="s">
        <v>173</v>
      </c>
      <c r="C53" s="65" t="s">
        <v>174</v>
      </c>
    </row>
    <row r="54" spans="1:3">
      <c r="A54" s="74">
        <v>6</v>
      </c>
      <c r="B54" s="60" t="s">
        <v>175</v>
      </c>
      <c r="C54" s="65" t="s">
        <v>176</v>
      </c>
    </row>
    <row r="55" spans="1:3">
      <c r="A55" s="74">
        <v>7</v>
      </c>
      <c r="B55" s="63" t="s">
        <v>177</v>
      </c>
      <c r="C55" s="65" t="s">
        <v>178</v>
      </c>
    </row>
    <row r="56" spans="1:3">
      <c r="A56" s="74">
        <v>8</v>
      </c>
      <c r="B56" s="60" t="s">
        <v>179</v>
      </c>
      <c r="C56" s="65" t="s">
        <v>180</v>
      </c>
    </row>
    <row r="57" spans="1:3">
      <c r="A57" s="92">
        <v>9</v>
      </c>
      <c r="B57" s="59" t="s">
        <v>181</v>
      </c>
      <c r="C57" s="93" t="s">
        <v>182</v>
      </c>
    </row>
    <row r="58" spans="1:3">
      <c r="A58" s="92">
        <v>10</v>
      </c>
      <c r="B58" s="60" t="s">
        <v>183</v>
      </c>
      <c r="C58" s="93" t="s">
        <v>184</v>
      </c>
    </row>
    <row r="59" spans="1:3">
      <c r="A59" s="91">
        <v>11</v>
      </c>
      <c r="B59" s="59" t="s">
        <v>138</v>
      </c>
      <c r="C59" s="66" t="s">
        <v>185</v>
      </c>
    </row>
    <row r="60" spans="1:3">
      <c r="A60" s="91">
        <v>12</v>
      </c>
      <c r="B60" s="63" t="s">
        <v>140</v>
      </c>
      <c r="C60" s="66" t="s">
        <v>185</v>
      </c>
    </row>
    <row r="61" spans="1:3">
      <c r="A61" s="91">
        <v>13</v>
      </c>
      <c r="B61" s="62" t="s">
        <v>142</v>
      </c>
      <c r="C61" s="66" t="s">
        <v>185</v>
      </c>
    </row>
    <row r="62" spans="1:3">
      <c r="A62" s="91">
        <v>14</v>
      </c>
      <c r="B62" s="60" t="s">
        <v>144</v>
      </c>
      <c r="C62" s="66" t="s">
        <v>185</v>
      </c>
    </row>
  </sheetData>
  <printOptions gridLines="1"/>
  <pageMargins left="0.7" right="0.7" top="0.75" bottom="0.75" header="0.3" footer="0.3"/>
  <pageSetup fitToHeight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A16F-A51F-45B8-A7C8-04FAD5417A50}">
  <sheetPr>
    <tabColor rgb="FFE3F054"/>
  </sheetPr>
  <dimension ref="A1:L21"/>
  <sheetViews>
    <sheetView workbookViewId="0">
      <selection activeCell="G16" sqref="G16"/>
    </sheetView>
  </sheetViews>
  <sheetFormatPr defaultRowHeight="15"/>
  <cols>
    <col min="1" max="1" width="23.42578125" bestFit="1" customWidth="1"/>
    <col min="2" max="2" width="11.42578125" bestFit="1" customWidth="1"/>
    <col min="3" max="3" width="18.5703125" bestFit="1" customWidth="1"/>
    <col min="4" max="6" width="11.42578125" bestFit="1" customWidth="1"/>
    <col min="7" max="7" width="18.85546875" bestFit="1" customWidth="1"/>
  </cols>
  <sheetData>
    <row r="1" spans="1:12">
      <c r="A1" s="94" t="s">
        <v>186</v>
      </c>
      <c r="B1" t="s">
        <v>147</v>
      </c>
      <c r="C1" t="s">
        <v>187</v>
      </c>
      <c r="G1" s="42"/>
    </row>
    <row r="2" spans="1:12">
      <c r="A2" s="65" t="s">
        <v>188</v>
      </c>
      <c r="B2">
        <v>1</v>
      </c>
      <c r="C2">
        <v>14</v>
      </c>
      <c r="G2" s="78" t="s">
        <v>189</v>
      </c>
      <c r="H2" s="73">
        <v>1</v>
      </c>
      <c r="I2" s="73">
        <v>2</v>
      </c>
      <c r="J2" s="73">
        <v>3</v>
      </c>
      <c r="K2" s="73">
        <v>4</v>
      </c>
      <c r="L2" s="2"/>
    </row>
    <row r="3" spans="1:12">
      <c r="A3" s="65" t="s">
        <v>190</v>
      </c>
      <c r="B3">
        <v>2</v>
      </c>
      <c r="C3">
        <v>28</v>
      </c>
      <c r="G3" s="117" t="s">
        <v>191</v>
      </c>
      <c r="H3" s="118" t="s">
        <v>192</v>
      </c>
      <c r="I3" s="118" t="s">
        <v>192</v>
      </c>
      <c r="J3" s="116" t="s">
        <v>193</v>
      </c>
      <c r="K3" s="115" t="s">
        <v>194</v>
      </c>
      <c r="L3" s="2"/>
    </row>
    <row r="4" spans="1:12">
      <c r="A4" s="65" t="s">
        <v>195</v>
      </c>
      <c r="B4">
        <v>4</v>
      </c>
      <c r="C4">
        <v>56</v>
      </c>
      <c r="G4" s="117" t="s">
        <v>196</v>
      </c>
      <c r="H4" s="118" t="s">
        <v>192</v>
      </c>
      <c r="I4" s="118" t="s">
        <v>192</v>
      </c>
      <c r="J4" s="116" t="s">
        <v>193</v>
      </c>
      <c r="K4" s="115" t="s">
        <v>194</v>
      </c>
      <c r="L4" s="2"/>
    </row>
    <row r="5" spans="1:12">
      <c r="A5" s="95" t="s">
        <v>197</v>
      </c>
      <c r="B5" s="42">
        <f>B2+B3+B4</f>
        <v>7</v>
      </c>
      <c r="C5" s="42">
        <f>C2+C3+C4</f>
        <v>98</v>
      </c>
      <c r="D5">
        <f>C5/14</f>
        <v>7</v>
      </c>
      <c r="G5" s="117" t="s">
        <v>198</v>
      </c>
      <c r="H5" s="118" t="s">
        <v>192</v>
      </c>
      <c r="I5" s="118" t="s">
        <v>192</v>
      </c>
      <c r="J5" s="116" t="s">
        <v>199</v>
      </c>
      <c r="K5" s="115" t="s">
        <v>200</v>
      </c>
      <c r="L5" s="2"/>
    </row>
    <row r="6" spans="1:12">
      <c r="G6" s="117" t="s">
        <v>201</v>
      </c>
      <c r="H6" s="118" t="s">
        <v>192</v>
      </c>
      <c r="I6" s="118" t="s">
        <v>192</v>
      </c>
      <c r="J6" s="116" t="s">
        <v>199</v>
      </c>
      <c r="K6" s="115" t="s">
        <v>200</v>
      </c>
      <c r="L6" s="2"/>
    </row>
    <row r="7" spans="1:12">
      <c r="A7" s="97" t="s">
        <v>202</v>
      </c>
      <c r="G7" s="117" t="s">
        <v>203</v>
      </c>
      <c r="H7" s="118" t="s">
        <v>192</v>
      </c>
      <c r="I7" s="116" t="s">
        <v>204</v>
      </c>
      <c r="J7" s="114" t="s">
        <v>205</v>
      </c>
      <c r="K7" s="115" t="s">
        <v>206</v>
      </c>
      <c r="L7" s="2"/>
    </row>
    <row r="8" spans="1:12">
      <c r="A8" s="96">
        <v>1</v>
      </c>
      <c r="B8" t="s">
        <v>207</v>
      </c>
      <c r="C8" t="s">
        <v>208</v>
      </c>
      <c r="D8" t="s">
        <v>209</v>
      </c>
      <c r="G8" s="117" t="s">
        <v>210</v>
      </c>
      <c r="H8" s="118" t="s">
        <v>192</v>
      </c>
      <c r="I8" s="116" t="s">
        <v>204</v>
      </c>
      <c r="J8" s="114" t="s">
        <v>205</v>
      </c>
      <c r="K8" s="115" t="s">
        <v>206</v>
      </c>
      <c r="L8" s="2"/>
    </row>
    <row r="9" spans="1:12">
      <c r="A9" s="96">
        <v>2</v>
      </c>
      <c r="B9" t="s">
        <v>211</v>
      </c>
      <c r="C9" t="s">
        <v>208</v>
      </c>
      <c r="D9" t="s">
        <v>212</v>
      </c>
      <c r="G9" s="117" t="s">
        <v>213</v>
      </c>
      <c r="H9" s="118" t="s">
        <v>192</v>
      </c>
      <c r="I9" s="116" t="s">
        <v>214</v>
      </c>
      <c r="J9" s="114" t="s">
        <v>215</v>
      </c>
      <c r="K9" s="115" t="s">
        <v>216</v>
      </c>
      <c r="L9" s="2"/>
    </row>
    <row r="10" spans="1:12">
      <c r="A10" s="96">
        <v>3</v>
      </c>
      <c r="B10" t="s">
        <v>211</v>
      </c>
      <c r="C10" t="s">
        <v>208</v>
      </c>
      <c r="D10" t="s">
        <v>217</v>
      </c>
      <c r="G10" s="117" t="s">
        <v>218</v>
      </c>
      <c r="H10" s="118" t="s">
        <v>192</v>
      </c>
      <c r="I10" s="116" t="s">
        <v>214</v>
      </c>
      <c r="J10" s="114" t="s">
        <v>215</v>
      </c>
      <c r="K10" s="115" t="s">
        <v>216</v>
      </c>
      <c r="L10" s="2"/>
    </row>
    <row r="11" spans="1:12">
      <c r="A11" s="96">
        <v>4</v>
      </c>
      <c r="B11" t="s">
        <v>211</v>
      </c>
      <c r="C11" t="s">
        <v>208</v>
      </c>
      <c r="D11" t="s">
        <v>219</v>
      </c>
    </row>
    <row r="12" spans="1:12">
      <c r="A12" s="96">
        <v>5</v>
      </c>
      <c r="B12" t="s">
        <v>211</v>
      </c>
      <c r="C12" t="s">
        <v>208</v>
      </c>
      <c r="D12" t="s">
        <v>220</v>
      </c>
      <c r="G12" t="s">
        <v>221</v>
      </c>
    </row>
    <row r="13" spans="1:12">
      <c r="A13" s="96">
        <v>6</v>
      </c>
      <c r="B13" t="s">
        <v>211</v>
      </c>
      <c r="C13" t="s">
        <v>208</v>
      </c>
      <c r="D13" t="s">
        <v>222</v>
      </c>
      <c r="G13" t="s">
        <v>223</v>
      </c>
    </row>
    <row r="14" spans="1:12">
      <c r="A14" s="98" t="s">
        <v>224</v>
      </c>
      <c r="G14" t="s">
        <v>225</v>
      </c>
    </row>
    <row r="15" spans="1:12">
      <c r="A15" s="99">
        <v>7</v>
      </c>
      <c r="B15" t="s">
        <v>211</v>
      </c>
      <c r="C15" t="s">
        <v>226</v>
      </c>
      <c r="D15" t="s">
        <v>227</v>
      </c>
      <c r="G15" t="s">
        <v>228</v>
      </c>
    </row>
    <row r="16" spans="1:12">
      <c r="A16" s="99">
        <v>8</v>
      </c>
      <c r="B16" t="s">
        <v>211</v>
      </c>
      <c r="C16" t="s">
        <v>226</v>
      </c>
      <c r="D16" t="s">
        <v>229</v>
      </c>
      <c r="G16" t="s">
        <v>191</v>
      </c>
    </row>
    <row r="17" spans="1:4">
      <c r="A17" s="99">
        <v>9</v>
      </c>
      <c r="B17" t="s">
        <v>211</v>
      </c>
      <c r="C17" t="s">
        <v>226</v>
      </c>
      <c r="D17" t="s">
        <v>230</v>
      </c>
    </row>
    <row r="18" spans="1:4">
      <c r="A18" s="99">
        <v>10</v>
      </c>
      <c r="B18" t="s">
        <v>211</v>
      </c>
      <c r="C18" t="s">
        <v>226</v>
      </c>
      <c r="D18" t="s">
        <v>231</v>
      </c>
    </row>
    <row r="19" spans="1:4">
      <c r="A19" s="99">
        <v>11</v>
      </c>
      <c r="B19" t="s">
        <v>211</v>
      </c>
      <c r="C19" t="s">
        <v>226</v>
      </c>
      <c r="D19" t="s">
        <v>232</v>
      </c>
    </row>
    <row r="20" spans="1:4">
      <c r="A20" s="99">
        <v>12</v>
      </c>
      <c r="B20" t="s">
        <v>211</v>
      </c>
      <c r="C20" t="s">
        <v>226</v>
      </c>
      <c r="D20" t="s">
        <v>233</v>
      </c>
    </row>
    <row r="21" spans="1:4">
      <c r="A21" s="99">
        <v>13</v>
      </c>
      <c r="B21" t="s">
        <v>211</v>
      </c>
      <c r="C21" t="s">
        <v>226</v>
      </c>
      <c r="D21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Scott, Luann (lscott@uidaho.edu)</dc:creator>
  <cp:keywords/>
  <dc:description/>
  <cp:lastModifiedBy>Widmyer, Tessa (widm6137@vandals.uidaho.edu)</cp:lastModifiedBy>
  <cp:revision/>
  <dcterms:created xsi:type="dcterms:W3CDTF">2021-05-10T20:00:26Z</dcterms:created>
  <dcterms:modified xsi:type="dcterms:W3CDTF">2021-10-05T18:28:28Z</dcterms:modified>
  <cp:category/>
  <cp:contentStatus/>
</cp:coreProperties>
</file>