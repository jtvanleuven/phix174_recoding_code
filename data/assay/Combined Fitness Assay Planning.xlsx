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ltman\Dropbox\R01 phage research\Data\Emma\Sequencing-based Assay\"/>
    </mc:Choice>
  </mc:AlternateContent>
  <xr:revisionPtr revIDLastSave="0" documentId="13_ncr:1_{103F8697-1E24-4132-8C85-93348640BDA0}" xr6:coauthVersionLast="45" xr6:coauthVersionMax="45" xr10:uidLastSave="{00000000-0000-0000-0000-000000000000}"/>
  <bookViews>
    <workbookView xWindow="-120" yWindow="-120" windowWidth="20730" windowHeight="11160" activeTab="2" xr2:uid="{5B6AE8FC-85E8-41C3-ADC5-0D91F6EF2E63}"/>
  </bookViews>
  <sheets>
    <sheet name="Repick" sheetId="1" r:id="rId1"/>
    <sheet name="Titers" sheetId="3" r:id="rId2"/>
    <sheet name="Sheet2" sheetId="5" r:id="rId3"/>
  </sheets>
  <definedNames>
    <definedName name="_xlnm._FilterDatabase" localSheetId="0" hidden="1">Repick!$H$1:$H$127</definedName>
    <definedName name="_xlnm._FilterDatabase" localSheetId="2" hidden="1">Sheet2!$B$1:$B$137</definedName>
    <definedName name="_xlnm._FilterDatabase" localSheetId="1" hidden="1">Titers!$F$1:$F$137</definedName>
    <definedName name="_xlnm.Print_Titles" localSheetId="0">Repick!$1:$1</definedName>
    <definedName name="_xlnm.Print_Titles" localSheetId="1">Titers!$1:$1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6" i="5" l="1"/>
  <c r="F127" i="5"/>
  <c r="F128" i="5"/>
  <c r="F129" i="5"/>
  <c r="N140" i="3" l="1"/>
  <c r="N139" i="3"/>
  <c r="N138" i="3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2" i="5"/>
  <c r="N137" i="3" l="1"/>
  <c r="J46" i="3"/>
  <c r="J12" i="3"/>
  <c r="J61" i="3" l="1"/>
  <c r="J126" i="3"/>
  <c r="J3" i="3"/>
  <c r="J4" i="3"/>
  <c r="J5" i="3"/>
  <c r="J6" i="3"/>
  <c r="J7" i="3"/>
  <c r="J8" i="3"/>
  <c r="J9" i="3"/>
  <c r="J10" i="3"/>
  <c r="J11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2" i="3"/>
  <c r="N14" i="3" l="1"/>
  <c r="N136" i="3"/>
  <c r="N3" i="3"/>
  <c r="N135" i="3" l="1"/>
  <c r="N134" i="3"/>
  <c r="N133" i="3"/>
  <c r="N2" i="3" l="1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127" i="3"/>
  <c r="N128" i="3"/>
  <c r="N129" i="3"/>
  <c r="N130" i="3"/>
  <c r="N131" i="3"/>
  <c r="N13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62" i="3"/>
  <c r="G17" i="1" l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K32" i="1" l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<sst xmlns="http://schemas.openxmlformats.org/spreadsheetml/2006/main" count="619" uniqueCount="303">
  <si>
    <t>Construct</t>
  </si>
  <si>
    <t>F random 25% rep 1</t>
  </si>
  <si>
    <t>F random 25% rep 2</t>
  </si>
  <si>
    <t>F random 25% rep 3</t>
  </si>
  <si>
    <t>F random 50% rep 1</t>
  </si>
  <si>
    <t>F random 50% rep 2</t>
  </si>
  <si>
    <t>F random 50% rep 3</t>
  </si>
  <si>
    <t>F random 75% rep 1</t>
  </si>
  <si>
    <t>F random 75% rep 2</t>
  </si>
  <si>
    <t>F random 75% rep 3</t>
  </si>
  <si>
    <t>F random 100% rep 1</t>
  </si>
  <si>
    <t>F random 100% rep 2</t>
  </si>
  <si>
    <t>F random 100% rep 3</t>
  </si>
  <si>
    <t>F random max rep 1</t>
  </si>
  <si>
    <t>F random max rep 2</t>
  </si>
  <si>
    <t>F random max rep 3</t>
  </si>
  <si>
    <t>G random 25% rep 1</t>
  </si>
  <si>
    <t>G random 25% rep 2</t>
  </si>
  <si>
    <t>G random 25% rep 3</t>
  </si>
  <si>
    <t>G random 50% rep 1</t>
  </si>
  <si>
    <t>G random 50% rep 2</t>
  </si>
  <si>
    <t>G random 50% rep 3</t>
  </si>
  <si>
    <t>G random 75% rep 1</t>
  </si>
  <si>
    <t>G random 75% rep 2</t>
  </si>
  <si>
    <t>G random 75% rep 3</t>
  </si>
  <si>
    <t>G random 100% rep 1</t>
  </si>
  <si>
    <t>G random 100% rep 2</t>
  </si>
  <si>
    <t>G random 100% rep 3</t>
  </si>
  <si>
    <t>G random max rep 1</t>
  </si>
  <si>
    <t>G random max rep 2</t>
  </si>
  <si>
    <t>G random max rep 3</t>
  </si>
  <si>
    <t>H random 25% rep 1</t>
  </si>
  <si>
    <t>H random 25% rep 2</t>
  </si>
  <si>
    <t>H random 25% rep 3</t>
  </si>
  <si>
    <t>H random 50% rep 2</t>
  </si>
  <si>
    <t>H random 75% rep 1</t>
  </si>
  <si>
    <t>H random 75% rep 3</t>
  </si>
  <si>
    <t>H random 100% rep 1</t>
  </si>
  <si>
    <t>H random 100% rep 3</t>
  </si>
  <si>
    <t>H random max rep 1</t>
  </si>
  <si>
    <t>H random max rep 2</t>
  </si>
  <si>
    <t>F shuffle 25% rep 1</t>
  </si>
  <si>
    <t>F shuffle 25% rep 2</t>
  </si>
  <si>
    <t>F shuffle 25% rep 3</t>
  </si>
  <si>
    <t>F shuffle 75% rep 1</t>
  </si>
  <si>
    <t>F shuffle 75% rep 2</t>
  </si>
  <si>
    <t>F shuffle 75% rep 3</t>
  </si>
  <si>
    <t>F shuffle 100% rep 1</t>
  </si>
  <si>
    <t>F shuffle 100% rep 2</t>
  </si>
  <si>
    <t>F shuffle 100% rep 3</t>
  </si>
  <si>
    <t>G shuffle 25% rep 1</t>
  </si>
  <si>
    <t>G shuffle 25% rep 2</t>
  </si>
  <si>
    <t>G shuffle 25% rep 3</t>
  </si>
  <si>
    <t>G shuffle 75% rep 1</t>
  </si>
  <si>
    <t>G shuffle 75% rep 2</t>
  </si>
  <si>
    <t>G shuffle 100% rep 1</t>
  </si>
  <si>
    <t>G shuffle 100% rep 2</t>
  </si>
  <si>
    <t>H shuffle 25% rep 1</t>
  </si>
  <si>
    <t>H shuffle 25% rep 2</t>
  </si>
  <si>
    <t>H shuffle 25% rep 3</t>
  </si>
  <si>
    <t>H shuffle 75% rep 1</t>
  </si>
  <si>
    <t>H shuffle 75% rep 2</t>
  </si>
  <si>
    <t>H shuffle 75% rep 3</t>
  </si>
  <si>
    <t>H shuffle 100% rep 1</t>
  </si>
  <si>
    <t>H shuffle 100% rep 2</t>
  </si>
  <si>
    <t>H shuffle 100% rep 3</t>
  </si>
  <si>
    <t>stab_H_Lo1</t>
  </si>
  <si>
    <t>stab_H_Lo2</t>
  </si>
  <si>
    <t>stab_H_Lo3</t>
  </si>
  <si>
    <t>stab_H_Lo4</t>
  </si>
  <si>
    <t>stab_H_Hi1</t>
  </si>
  <si>
    <t>stab_H_Hi2</t>
  </si>
  <si>
    <t>stab_H_Hi3</t>
  </si>
  <si>
    <t>stab_H_Hi4</t>
  </si>
  <si>
    <t>H_0.5 shuf_rep1</t>
  </si>
  <si>
    <t>H_0.5 shuf_rep3</t>
  </si>
  <si>
    <t>stab_G_Lo2</t>
  </si>
  <si>
    <t>stab_G_Lo3</t>
  </si>
  <si>
    <t>stab_G_Lo4</t>
  </si>
  <si>
    <t>stab_G_Hi1</t>
  </si>
  <si>
    <t>stab_G_Hi2</t>
  </si>
  <si>
    <t>stab_G_Hi3</t>
  </si>
  <si>
    <t>stab_G_Hi4</t>
  </si>
  <si>
    <t>G_0.5shuf_rep2</t>
  </si>
  <si>
    <t>G_0.5shuf_rep3</t>
  </si>
  <si>
    <t>stab_F_Lo1</t>
  </si>
  <si>
    <t>stab_F_Lo2</t>
  </si>
  <si>
    <t>stab_F_Lo3</t>
  </si>
  <si>
    <t>stab_F_Lo4</t>
  </si>
  <si>
    <t>stab_F_Hi1</t>
  </si>
  <si>
    <t>stab_F_Hi2</t>
  </si>
  <si>
    <t>stab_F_Hi3</t>
  </si>
  <si>
    <t>stab_F_Hi4</t>
  </si>
  <si>
    <t>stab_F_XHi1</t>
  </si>
  <si>
    <t>stab_F_XHi2</t>
  </si>
  <si>
    <t>F_0.5shuf_rep1</t>
  </si>
  <si>
    <t>F_0.5shuf_rep2</t>
  </si>
  <si>
    <t>F_0.5shuf_rep3</t>
  </si>
  <si>
    <t>F_0.25worst_rep1</t>
  </si>
  <si>
    <t>F_0.25worst_rep2</t>
  </si>
  <si>
    <t>F_0.25worst_rep3</t>
  </si>
  <si>
    <t>F_0.5worst_rep1</t>
  </si>
  <si>
    <t>F_0.5worst_rep2</t>
  </si>
  <si>
    <t>F_0.5worst_rep3</t>
  </si>
  <si>
    <t>F_0.75worst_rep1</t>
  </si>
  <si>
    <t>F_0.75worst_rep2</t>
  </si>
  <si>
    <t>F_0.75worst_rep3</t>
  </si>
  <si>
    <t>F_1.0worst_rep1</t>
  </si>
  <si>
    <t>G_0.25worst_rep1</t>
  </si>
  <si>
    <t>G_0.25worst_rep2</t>
  </si>
  <si>
    <t>G_0.25worst_rep3</t>
  </si>
  <si>
    <t>G_0.5worst_rep1</t>
  </si>
  <si>
    <t>G_0.5worst_rep2</t>
  </si>
  <si>
    <t>G_0.5worst_rep3</t>
  </si>
  <si>
    <t>G_0.75worst_rep1</t>
  </si>
  <si>
    <t>G_0.75worst_rep2</t>
  </si>
  <si>
    <t>G_0.75worst_rep3</t>
  </si>
  <si>
    <t>G_1.0worst_rep1</t>
  </si>
  <si>
    <t>H_0.25worst_rep2</t>
  </si>
  <si>
    <t>H_0.5worst_rep1</t>
  </si>
  <si>
    <t>H_0.5worst_rep2</t>
  </si>
  <si>
    <t>H_0.5worst_rep3</t>
  </si>
  <si>
    <t>H_0.75worst_rep1</t>
  </si>
  <si>
    <t>H_0.75worst_rep2</t>
  </si>
  <si>
    <t>H_0.75worst_rep3</t>
  </si>
  <si>
    <t>H_1.0worst_rep1</t>
  </si>
  <si>
    <t>date picked</t>
  </si>
  <si>
    <t>date replated</t>
  </si>
  <si>
    <t>label of repick</t>
  </si>
  <si>
    <t>3 (3-1-3)</t>
  </si>
  <si>
    <t>1-1</t>
  </si>
  <si>
    <t>original titer</t>
  </si>
  <si>
    <t>NA</t>
  </si>
  <si>
    <t>9/30/2020 and 12/8/2020</t>
  </si>
  <si>
    <t>12-1c</t>
  </si>
  <si>
    <t>redo_plq1</t>
  </si>
  <si>
    <t>Number</t>
  </si>
  <si>
    <t>to replate</t>
  </si>
  <si>
    <t>fridge?</t>
  </si>
  <si>
    <t>avg fitness</t>
  </si>
  <si>
    <t>plq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</si>
  <si>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</si>
  <si>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</si>
  <si>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</si>
  <si>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</si>
  <si>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</si>
  <si>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</si>
  <si>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</si>
  <si>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</si>
  <si>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</si>
  <si>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</si>
  <si>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</si>
  <si>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</si>
  <si>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</si>
  <si>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</si>
  <si>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</si>
  <si>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</si>
  <si>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</si>
  <si>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</si>
  <si>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</si>
  <si>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</si>
  <si>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</si>
  <si>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</si>
  <si>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</si>
  <si>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</si>
  <si>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</si>
  <si>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</si>
  <si>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</si>
  <si>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</si>
  <si>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</si>
  <si>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</si>
  <si>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</si>
  <si>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</si>
  <si>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</si>
  <si>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R135</t>
  </si>
  <si>
    <t>R137</t>
  </si>
  <si>
    <t>R139</t>
  </si>
  <si>
    <t>R140</t>
  </si>
  <si>
    <t>R142</t>
  </si>
  <si>
    <t>R143</t>
  </si>
  <si>
    <t>R144</t>
  </si>
  <si>
    <t>R146</t>
  </si>
  <si>
    <t>R147</t>
  </si>
  <si>
    <t>R148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</si>
  <si>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</si>
  <si>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</si>
  <si>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</si>
  <si>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</si>
  <si>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</si>
  <si>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</si>
  <si>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</si>
  <si>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</si>
  <si>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</si>
  <si>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R164</t>
  </si>
  <si>
    <t>R165</t>
  </si>
  <si>
    <t>R167</t>
  </si>
  <si>
    <t>R168</t>
  </si>
  <si>
    <t>R170</t>
  </si>
  <si>
    <t>R171</t>
  </si>
  <si>
    <t>R172</t>
  </si>
  <si>
    <t>R176</t>
  </si>
  <si>
    <t>R177</t>
  </si>
  <si>
    <t>R178</t>
  </si>
  <si>
    <t>R179</t>
  </si>
  <si>
    <t>R180</t>
  </si>
  <si>
    <t>R181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</si>
  <si>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</si>
  <si>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</si>
  <si>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</si>
  <si>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</si>
  <si>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</si>
  <si>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</si>
  <si>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</si>
  <si>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</si>
  <si>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</si>
  <si>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R12</t>
  </si>
  <si>
    <t>R14</t>
  </si>
  <si>
    <t>R15</t>
  </si>
  <si>
    <t>R16</t>
  </si>
  <si>
    <t>R17</t>
  </si>
  <si>
    <t>R18</t>
  </si>
  <si>
    <t>R19</t>
  </si>
  <si>
    <t>R20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</si>
  <si>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</si>
  <si>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</si>
  <si>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</si>
  <si>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</si>
  <si>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</si>
  <si>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</si>
  <si>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</si>
  <si>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</si>
  <si>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</si>
  <si>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</si>
  <si>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</si>
  <si>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</si>
  <si>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</si>
  <si>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</si>
  <si>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</si>
  <si>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</si>
  <si>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</si>
  <si>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</si>
  <si>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</si>
  <si>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</si>
  <si>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</si>
  <si>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</si>
  <si>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</si>
  <si>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</si>
  <si>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</si>
  <si>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</si>
  <si>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</si>
  <si>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</si>
  <si>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</si>
  <si>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</si>
  <si>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</si>
  <si>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</si>
  <si>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</si>
  <si>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</si>
  <si>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</si>
  <si>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R58</t>
  </si>
  <si>
    <t>R60</t>
  </si>
  <si>
    <t>R61</t>
  </si>
  <si>
    <t>R62</t>
  </si>
  <si>
    <t>R63</t>
  </si>
  <si>
    <t>R64</t>
  </si>
  <si>
    <t>R65</t>
  </si>
  <si>
    <t>R66</t>
  </si>
  <si>
    <t>titer</t>
  </si>
  <si>
    <t>n.repick</t>
  </si>
  <si>
    <t>number</t>
  </si>
  <si>
    <t>construct</t>
  </si>
  <si>
    <t>avg.fitness</t>
  </si>
  <si>
    <t>pick.date</t>
  </si>
  <si>
    <t>titer.date</t>
  </si>
  <si>
    <t>count</t>
  </si>
  <si>
    <t>dil</t>
  </si>
  <si>
    <r>
      <t xml:space="preserve">3/11/21 </t>
    </r>
    <r>
      <rPr>
        <sz val="11"/>
        <color theme="1"/>
        <rFont val="Calibri"/>
        <family val="2"/>
      </rPr>
      <t>α</t>
    </r>
  </si>
  <si>
    <t>3/10/21 B</t>
  </si>
  <si>
    <r>
      <t xml:space="preserve">3/11/21 </t>
    </r>
    <r>
      <rPr>
        <sz val="11"/>
        <color theme="1"/>
        <rFont val="Calibri"/>
        <family val="2"/>
      </rPr>
      <t>γ</t>
    </r>
  </si>
  <si>
    <t>wt</t>
  </si>
  <si>
    <t>3/10/21 A</t>
  </si>
  <si>
    <r>
      <t xml:space="preserve">3/11/21 </t>
    </r>
    <r>
      <rPr>
        <sz val="11"/>
        <color theme="1"/>
        <rFont val="Calibri"/>
        <family val="2"/>
      </rPr>
      <t>β</t>
    </r>
  </si>
  <si>
    <t>3/15/21 A</t>
  </si>
  <si>
    <t>3/15/21 C</t>
  </si>
  <si>
    <t>3/15/21 B</t>
  </si>
  <si>
    <t>orig.retiter</t>
  </si>
  <si>
    <t>orig.count</t>
  </si>
  <si>
    <t>orig.dil</t>
  </si>
  <si>
    <t>assay.titer</t>
  </si>
  <si>
    <t>date.orig.retiter</t>
  </si>
  <si>
    <t>orig.titer</t>
  </si>
  <si>
    <t>repick.titer</t>
  </si>
  <si>
    <t>plaque to use</t>
  </si>
  <si>
    <t>titer of plaqe to use</t>
  </si>
  <si>
    <t>dil for 75 plqs</t>
  </si>
  <si>
    <t>123c</t>
  </si>
  <si>
    <t>116c</t>
  </si>
  <si>
    <t>142c</t>
  </si>
  <si>
    <t>G random 25% rep 1 concentrated</t>
  </si>
  <si>
    <t>G random 75% rep 2 concentrated</t>
  </si>
  <si>
    <t>H random 100% rep 3 concentrated</t>
  </si>
  <si>
    <t>R116c</t>
  </si>
  <si>
    <t>R123c</t>
  </si>
  <si>
    <t>R142c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</si>
</sst>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m/d/yy;@"/>
    <numFmt numFmtId="166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/>
    <xf numFmtId="11" fontId="0" fillId="0" borderId="2" xfId="0" applyNumberFormat="1" applyBorder="1"/>
    <xf numFmtId="164" fontId="0" fillId="0" borderId="2" xfId="0" applyNumberFormat="1" applyBorder="1"/>
    <xf numFmtId="0" fontId="0" fillId="0" borderId="3" xfId="0" applyBorder="1" applyAlignment="1">
      <alignment vertical="center"/>
    </xf>
    <xf numFmtId="2" fontId="0" fillId="0" borderId="3" xfId="0" applyNumberFormat="1" applyBorder="1" applyAlignment="1">
      <alignment vertical="center" wrapText="1"/>
    </xf>
    <xf numFmtId="14" fontId="0" fillId="0" borderId="3" xfId="0" applyNumberFormat="1" applyBorder="1" applyAlignment="1">
      <alignment vertical="center"/>
    </xf>
    <xf numFmtId="11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14" fontId="0" fillId="0" borderId="3" xfId="0" applyNumberFormat="1" applyBorder="1" applyAlignment="1">
      <alignment horizontal="right" vertical="center"/>
    </xf>
    <xf numFmtId="0" fontId="0" fillId="0" borderId="3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horizontal="right" vertical="center"/>
    </xf>
    <xf numFmtId="2" fontId="0" fillId="0" borderId="3" xfId="0" applyNumberFormat="1" applyBorder="1"/>
    <xf numFmtId="14" fontId="0" fillId="0" borderId="3" xfId="0" applyNumberFormat="1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vertical="center"/>
    </xf>
    <xf numFmtId="165" fontId="0" fillId="0" borderId="3" xfId="0" applyNumberFormat="1" applyBorder="1"/>
    <xf numFmtId="0" fontId="0" fillId="0" borderId="3" xfId="0" applyFill="1" applyBorder="1" applyAlignment="1">
      <alignment horizontal="left"/>
    </xf>
    <xf numFmtId="0" fontId="0" fillId="0" borderId="0" xfId="0" applyFill="1" applyBorder="1"/>
    <xf numFmtId="0" fontId="0" fillId="0" borderId="1" xfId="0" applyFont="1" applyBorder="1" applyAlignment="1">
      <alignment vertical="center"/>
    </xf>
    <xf numFmtId="11" fontId="0" fillId="0" borderId="2" xfId="0" applyNumberFormat="1" applyFont="1" applyBorder="1"/>
    <xf numFmtId="0" fontId="0" fillId="0" borderId="0" xfId="0" applyFont="1"/>
    <xf numFmtId="0" fontId="0" fillId="2" borderId="3" xfId="0" applyFill="1" applyBorder="1"/>
    <xf numFmtId="11" fontId="0" fillId="2" borderId="3" xfId="0" applyNumberFormat="1" applyFill="1" applyBorder="1"/>
    <xf numFmtId="11" fontId="0" fillId="0" borderId="0" xfId="0" applyNumberFormat="1" applyBorder="1"/>
    <xf numFmtId="0" fontId="0" fillId="0" borderId="3" xfId="0" applyFill="1" applyBorder="1"/>
    <xf numFmtId="0" fontId="0" fillId="0" borderId="0" xfId="0" applyFill="1" applyBorder="1" applyAlignment="1">
      <alignment horizontal="left"/>
    </xf>
    <xf numFmtId="2" fontId="0" fillId="0" borderId="2" xfId="0" applyNumberFormat="1" applyBorder="1"/>
    <xf numFmtId="0" fontId="0" fillId="0" borderId="0" xfId="0" applyNumberFormat="1"/>
    <xf numFmtId="0" fontId="0" fillId="0" borderId="3" xfId="0" applyNumberFormat="1" applyBorder="1"/>
    <xf numFmtId="0" fontId="0" fillId="0" borderId="1" xfId="0" applyNumberFormat="1" applyBorder="1" applyAlignment="1">
      <alignment vertical="center"/>
    </xf>
    <xf numFmtId="0" fontId="0" fillId="0" borderId="2" xfId="0" applyNumberFormat="1" applyBorder="1"/>
    <xf numFmtId="0" fontId="0" fillId="0" borderId="3" xfId="0" applyNumberFormat="1" applyBorder="1" applyAlignment="1">
      <alignment vertical="center"/>
    </xf>
    <xf numFmtId="0" fontId="0" fillId="0" borderId="0" xfId="0" applyNumberFormat="1" applyFill="1" applyBorder="1"/>
    <xf numFmtId="16" fontId="0" fillId="0" borderId="2" xfId="0" applyNumberFormat="1" applyBorder="1"/>
    <xf numFmtId="16" fontId="0" fillId="0" borderId="3" xfId="0" applyNumberFormat="1" applyBorder="1"/>
    <xf numFmtId="0" fontId="0" fillId="0" borderId="1" xfId="0" applyFont="1" applyFill="1" applyBorder="1" applyAlignment="1">
      <alignment vertical="center"/>
    </xf>
    <xf numFmtId="11" fontId="0" fillId="0" borderId="2" xfId="0" applyNumberFormat="1" applyFont="1" applyFill="1" applyBorder="1"/>
    <xf numFmtId="11" fontId="0" fillId="2" borderId="2" xfId="0" applyNumberFormat="1" applyFill="1" applyBorder="1"/>
    <xf numFmtId="11" fontId="0" fillId="0" borderId="2" xfId="0" applyNumberFormat="1" applyFill="1" applyBorder="1"/>
    <xf numFmtId="0" fontId="0" fillId="0" borderId="2" xfId="0" applyFill="1" applyBorder="1"/>
    <xf numFmtId="11" fontId="0" fillId="0" borderId="3" xfId="0" applyNumberFormat="1" applyFill="1" applyBorder="1"/>
    <xf numFmtId="165" fontId="0" fillId="0" borderId="3" xfId="0" applyNumberFormat="1" applyFill="1" applyBorder="1" applyAlignment="1">
      <alignment horizontal="left"/>
    </xf>
    <xf numFmtId="0" fontId="0" fillId="0" borderId="0" xfId="0" applyBorder="1" applyAlignment="1">
      <alignment vertical="center"/>
    </xf>
    <xf numFmtId="14" fontId="0" fillId="0" borderId="2" xfId="0" applyNumberFormat="1" applyBorder="1"/>
    <xf numFmtId="0" fontId="0" fillId="0" borderId="4" xfId="0" applyBorder="1"/>
    <xf numFmtId="11" fontId="0" fillId="0" borderId="4" xfId="0" applyNumberFormat="1" applyBorder="1"/>
    <xf numFmtId="0" fontId="0" fillId="0" borderId="4" xfId="0" applyNumberFormat="1" applyBorder="1" applyAlignment="1">
      <alignment horizontal="right"/>
    </xf>
    <xf numFmtId="0" fontId="0" fillId="0" borderId="4" xfId="0" applyFill="1" applyBorder="1"/>
    <xf numFmtId="11" fontId="0" fillId="0" borderId="4" xfId="0" applyNumberFormat="1" applyFill="1" applyBorder="1"/>
    <xf numFmtId="166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vertical="center"/>
    </xf>
    <xf numFmtId="11" fontId="0" fillId="0" borderId="3" xfId="0" applyNumberFormat="1" applyFont="1" applyFill="1" applyBorder="1"/>
  </cellXfs>
  <cellStyles count="1">
    <cellStyle name="Normal" xfId="0" builtinId="0"/>
  </cellStyles>
  <dxfs count="12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98DD-62AD-4919-AEE6-ED8D05D2D429}">
  <sheetPr>
    <pageSetUpPr fitToPage="1"/>
  </sheetPr>
  <dimension ref="A1:K128"/>
  <sheetViews>
    <sheetView workbookViewId="0">
      <selection activeCell="I9" sqref="I9"/>
    </sheetView>
  </sheetViews>
  <sheetFormatPr defaultRowHeight="15" x14ac:dyDescent="0.25"/>
  <cols>
    <col min="1" max="1" width="9.140625" style="1"/>
    <col min="2" max="2" width="19.7109375" bestFit="1" customWidth="1"/>
    <col min="3" max="3" width="10.42578125" bestFit="1" customWidth="1"/>
    <col min="4" max="4" width="10" bestFit="1" customWidth="1"/>
    <col min="5" max="5" width="23" bestFit="1" customWidth="1"/>
    <col min="6" max="6" width="12" bestFit="1" customWidth="1"/>
    <col min="7" max="7" width="9.7109375" bestFit="1" customWidth="1"/>
    <col min="8" max="8" width="13.7109375" style="38" bestFit="1" customWidth="1"/>
    <col min="9" max="9" width="13.140625" bestFit="1" customWidth="1"/>
    <col min="10" max="10" width="11.28515625" bestFit="1" customWidth="1"/>
    <col min="11" max="11" width="13.7109375" bestFit="1" customWidth="1"/>
  </cols>
  <sheetData>
    <row r="1" spans="1:11" ht="15.75" thickBot="1" x14ac:dyDescent="0.3">
      <c r="A1" s="2" t="s">
        <v>136</v>
      </c>
      <c r="B1" s="3" t="s">
        <v>0</v>
      </c>
      <c r="C1" s="4" t="s">
        <v>139</v>
      </c>
      <c r="D1" s="3" t="s">
        <v>140</v>
      </c>
      <c r="E1" s="3" t="s">
        <v>126</v>
      </c>
      <c r="F1" s="3" t="s">
        <v>131</v>
      </c>
      <c r="G1" s="3" t="s">
        <v>137</v>
      </c>
      <c r="H1" s="40" t="s">
        <v>138</v>
      </c>
      <c r="I1" s="3" t="s">
        <v>127</v>
      </c>
      <c r="J1" s="3" t="s">
        <v>126</v>
      </c>
      <c r="K1" s="3" t="s">
        <v>128</v>
      </c>
    </row>
    <row r="2" spans="1:11" x14ac:dyDescent="0.25">
      <c r="A2" s="23">
        <v>101</v>
      </c>
      <c r="B2" s="23" t="s">
        <v>1</v>
      </c>
      <c r="C2" s="24">
        <v>20.619178346268122</v>
      </c>
      <c r="D2" s="23">
        <v>1</v>
      </c>
      <c r="E2" s="25">
        <v>44040</v>
      </c>
      <c r="F2" s="6">
        <v>32500000</v>
      </c>
      <c r="G2" s="7">
        <f>50/F2</f>
        <v>1.5384615384615385E-6</v>
      </c>
      <c r="H2" s="41">
        <v>0</v>
      </c>
      <c r="I2" s="44">
        <v>44258</v>
      </c>
      <c r="J2" s="5"/>
      <c r="K2" s="5" t="str">
        <f t="shared" ref="K2:K33" si="0">CONCATENATE("R",A2)</f>
        <v>R101</v>
      </c>
    </row>
    <row r="3" spans="1:11" x14ac:dyDescent="0.25">
      <c r="A3" s="8">
        <v>102</v>
      </c>
      <c r="B3" s="8" t="s">
        <v>2</v>
      </c>
      <c r="C3" s="9">
        <v>20.405983910923702</v>
      </c>
      <c r="D3" s="8">
        <v>1</v>
      </c>
      <c r="E3" s="10">
        <v>44040</v>
      </c>
      <c r="F3" s="11">
        <v>93000000</v>
      </c>
      <c r="G3" s="12">
        <f t="shared" ref="G3:G61" si="1">50/F3</f>
        <v>5.3763440860215057E-7</v>
      </c>
      <c r="H3" s="39">
        <v>0</v>
      </c>
      <c r="I3" s="45">
        <v>44258</v>
      </c>
      <c r="J3" s="13"/>
      <c r="K3" s="13" t="str">
        <f t="shared" si="0"/>
        <v>R102</v>
      </c>
    </row>
    <row r="4" spans="1:11" x14ac:dyDescent="0.25">
      <c r="A4" s="8">
        <v>103</v>
      </c>
      <c r="B4" s="8" t="s">
        <v>3</v>
      </c>
      <c r="C4" s="9">
        <v>20.242722782621101</v>
      </c>
      <c r="D4" s="8">
        <v>1</v>
      </c>
      <c r="E4" s="10">
        <v>44040</v>
      </c>
      <c r="F4" s="11">
        <v>36500000</v>
      </c>
      <c r="G4" s="12">
        <f t="shared" si="1"/>
        <v>1.3698630136986302E-6</v>
      </c>
      <c r="H4" s="39">
        <v>0</v>
      </c>
      <c r="I4" s="45">
        <v>44259</v>
      </c>
      <c r="J4" s="13"/>
      <c r="K4" s="13" t="str">
        <f t="shared" si="0"/>
        <v>R103</v>
      </c>
    </row>
    <row r="5" spans="1:11" x14ac:dyDescent="0.25">
      <c r="A5" s="8">
        <v>104</v>
      </c>
      <c r="B5" s="8" t="s">
        <v>4</v>
      </c>
      <c r="C5" s="9">
        <v>19.949246172281907</v>
      </c>
      <c r="D5" s="8">
        <v>1</v>
      </c>
      <c r="E5" s="10">
        <v>44040</v>
      </c>
      <c r="F5" s="11">
        <v>90000000</v>
      </c>
      <c r="G5" s="12">
        <f t="shared" si="1"/>
        <v>5.5555555555555552E-7</v>
      </c>
      <c r="H5" s="39">
        <v>0</v>
      </c>
      <c r="I5" s="45">
        <v>44258</v>
      </c>
      <c r="J5" s="13"/>
      <c r="K5" s="13" t="str">
        <f t="shared" si="0"/>
        <v>R104</v>
      </c>
    </row>
    <row r="6" spans="1:11" x14ac:dyDescent="0.25">
      <c r="A6" s="8">
        <v>105</v>
      </c>
      <c r="B6" s="8" t="s">
        <v>5</v>
      </c>
      <c r="C6" s="9">
        <v>19.048200838994649</v>
      </c>
      <c r="D6" s="8">
        <v>1</v>
      </c>
      <c r="E6" s="10">
        <v>44040</v>
      </c>
      <c r="F6" s="11">
        <v>16500000</v>
      </c>
      <c r="G6" s="12">
        <f t="shared" si="1"/>
        <v>3.0303030303030305E-6</v>
      </c>
      <c r="H6" s="39">
        <v>0</v>
      </c>
      <c r="I6" s="45">
        <v>44259</v>
      </c>
      <c r="J6" s="13"/>
      <c r="K6" s="13" t="str">
        <f t="shared" si="0"/>
        <v>R105</v>
      </c>
    </row>
    <row r="7" spans="1:11" x14ac:dyDescent="0.25">
      <c r="A7" s="8">
        <v>106</v>
      </c>
      <c r="B7" s="8" t="s">
        <v>6</v>
      </c>
      <c r="C7" s="9">
        <v>19.959269357374637</v>
      </c>
      <c r="D7" s="8">
        <v>1</v>
      </c>
      <c r="E7" s="10">
        <v>44040</v>
      </c>
      <c r="F7" s="11">
        <v>166000000</v>
      </c>
      <c r="G7" s="12">
        <f t="shared" si="1"/>
        <v>3.0120481927710845E-7</v>
      </c>
      <c r="H7" s="39">
        <v>1</v>
      </c>
      <c r="I7" s="13"/>
      <c r="J7" s="13"/>
      <c r="K7" s="13" t="str">
        <f t="shared" si="0"/>
        <v>R106</v>
      </c>
    </row>
    <row r="8" spans="1:11" x14ac:dyDescent="0.25">
      <c r="A8" s="8">
        <v>107</v>
      </c>
      <c r="B8" s="8" t="s">
        <v>7</v>
      </c>
      <c r="C8" s="9">
        <v>15.257184073987796</v>
      </c>
      <c r="D8" s="8">
        <v>1</v>
      </c>
      <c r="E8" s="10">
        <v>44040</v>
      </c>
      <c r="F8" s="11">
        <v>13800000</v>
      </c>
      <c r="G8" s="12">
        <f t="shared" si="1"/>
        <v>3.6231884057971013E-6</v>
      </c>
      <c r="H8" s="39">
        <v>0</v>
      </c>
      <c r="I8" s="13"/>
      <c r="J8" s="13"/>
      <c r="K8" s="13" t="str">
        <f t="shared" si="0"/>
        <v>R107</v>
      </c>
    </row>
    <row r="9" spans="1:11" x14ac:dyDescent="0.25">
      <c r="A9" s="8">
        <v>108</v>
      </c>
      <c r="B9" s="8" t="s">
        <v>8</v>
      </c>
      <c r="C9" s="9">
        <v>18.20203438581521</v>
      </c>
      <c r="D9" s="8">
        <v>1</v>
      </c>
      <c r="E9" s="10">
        <v>44040</v>
      </c>
      <c r="F9" s="11">
        <v>14000000</v>
      </c>
      <c r="G9" s="12">
        <f t="shared" si="1"/>
        <v>3.5714285714285714E-6</v>
      </c>
      <c r="H9" s="39">
        <v>0</v>
      </c>
      <c r="I9" s="13"/>
      <c r="J9" s="13"/>
      <c r="K9" s="13" t="str">
        <f t="shared" si="0"/>
        <v>R108</v>
      </c>
    </row>
    <row r="10" spans="1:11" x14ac:dyDescent="0.25">
      <c r="A10" s="8">
        <v>109</v>
      </c>
      <c r="B10" s="8" t="s">
        <v>9</v>
      </c>
      <c r="C10" s="9">
        <v>10.166666666666666</v>
      </c>
      <c r="D10" s="8">
        <v>1</v>
      </c>
      <c r="E10" s="10">
        <v>44040</v>
      </c>
      <c r="F10" s="11">
        <v>5600000</v>
      </c>
      <c r="G10" s="12">
        <f t="shared" si="1"/>
        <v>8.9285714285714292E-6</v>
      </c>
      <c r="H10" s="39">
        <v>1</v>
      </c>
      <c r="I10" s="13"/>
      <c r="J10" s="13"/>
      <c r="K10" s="13" t="str">
        <f t="shared" si="0"/>
        <v>R109</v>
      </c>
    </row>
    <row r="11" spans="1:11" x14ac:dyDescent="0.25">
      <c r="A11" s="8">
        <v>110</v>
      </c>
      <c r="B11" s="8" t="s">
        <v>10</v>
      </c>
      <c r="C11" s="9">
        <v>14.695075756768505</v>
      </c>
      <c r="D11" s="8">
        <v>1</v>
      </c>
      <c r="E11" s="10">
        <v>44040</v>
      </c>
      <c r="F11" s="11">
        <v>14700000</v>
      </c>
      <c r="G11" s="12">
        <f t="shared" si="1"/>
        <v>3.4013605442176872E-6</v>
      </c>
      <c r="H11" s="39">
        <v>0</v>
      </c>
      <c r="I11" s="13"/>
      <c r="J11" s="13"/>
      <c r="K11" s="13" t="str">
        <f t="shared" si="0"/>
        <v>R110</v>
      </c>
    </row>
    <row r="12" spans="1:11" x14ac:dyDescent="0.25">
      <c r="A12" s="8">
        <v>111</v>
      </c>
      <c r="B12" s="8" t="s">
        <v>11</v>
      </c>
      <c r="C12" s="9">
        <v>6.1233333333333322</v>
      </c>
      <c r="D12" s="8">
        <v>1</v>
      </c>
      <c r="E12" s="10">
        <v>44040</v>
      </c>
      <c r="F12" s="11">
        <v>1580000</v>
      </c>
      <c r="G12" s="12">
        <f t="shared" si="1"/>
        <v>3.1645569620253167E-5</v>
      </c>
      <c r="H12" s="39">
        <v>0</v>
      </c>
      <c r="I12" s="13"/>
      <c r="J12" s="13"/>
      <c r="K12" s="13" t="str">
        <f t="shared" si="0"/>
        <v>R111</v>
      </c>
    </row>
    <row r="13" spans="1:11" x14ac:dyDescent="0.25">
      <c r="A13" s="8">
        <v>112</v>
      </c>
      <c r="B13" s="8" t="s">
        <v>12</v>
      </c>
      <c r="C13" s="9">
        <v>15.978881919827577</v>
      </c>
      <c r="D13" s="8">
        <v>1</v>
      </c>
      <c r="E13" s="10">
        <v>44040</v>
      </c>
      <c r="F13" s="11">
        <v>3850000</v>
      </c>
      <c r="G13" s="12">
        <f t="shared" si="1"/>
        <v>1.2987012987012988E-5</v>
      </c>
      <c r="H13" s="39">
        <v>0</v>
      </c>
      <c r="I13" s="13"/>
      <c r="J13" s="13"/>
      <c r="K13" s="13" t="str">
        <f t="shared" si="0"/>
        <v>R112</v>
      </c>
    </row>
    <row r="14" spans="1:11" x14ac:dyDescent="0.25">
      <c r="A14" s="8">
        <v>113</v>
      </c>
      <c r="B14" s="8" t="s">
        <v>13</v>
      </c>
      <c r="C14" s="9">
        <v>15.833224997008275</v>
      </c>
      <c r="D14" s="8">
        <v>1</v>
      </c>
      <c r="E14" s="10">
        <v>44040</v>
      </c>
      <c r="F14" s="11">
        <v>10600000</v>
      </c>
      <c r="G14" s="12">
        <f t="shared" si="1"/>
        <v>4.716981132075472E-6</v>
      </c>
      <c r="H14" s="39">
        <v>1</v>
      </c>
      <c r="I14" s="13"/>
      <c r="J14" s="13"/>
      <c r="K14" s="13" t="str">
        <f t="shared" si="0"/>
        <v>R113</v>
      </c>
    </row>
    <row r="15" spans="1:11" x14ac:dyDescent="0.25">
      <c r="A15" s="8">
        <v>114</v>
      </c>
      <c r="B15" s="8" t="s">
        <v>14</v>
      </c>
      <c r="C15" s="9">
        <v>13.056666666666667</v>
      </c>
      <c r="D15" s="8">
        <v>1</v>
      </c>
      <c r="E15" s="10">
        <v>44040</v>
      </c>
      <c r="F15" s="11">
        <v>7800000</v>
      </c>
      <c r="G15" s="12">
        <f t="shared" si="1"/>
        <v>6.4102564102564099E-6</v>
      </c>
      <c r="H15" s="39">
        <v>0</v>
      </c>
      <c r="I15" s="13"/>
      <c r="J15" s="13"/>
      <c r="K15" s="13" t="str">
        <f t="shared" si="0"/>
        <v>R114</v>
      </c>
    </row>
    <row r="16" spans="1:11" x14ac:dyDescent="0.25">
      <c r="A16" s="8">
        <v>115</v>
      </c>
      <c r="B16" s="8" t="s">
        <v>15</v>
      </c>
      <c r="C16" s="9">
        <v>10.816666666666668</v>
      </c>
      <c r="D16" s="8">
        <v>1</v>
      </c>
      <c r="E16" s="10">
        <v>44040</v>
      </c>
      <c r="F16" s="11">
        <v>11400000</v>
      </c>
      <c r="G16" s="12">
        <f t="shared" si="1"/>
        <v>4.3859649122807014E-6</v>
      </c>
      <c r="H16" s="39">
        <v>1</v>
      </c>
      <c r="I16" s="13"/>
      <c r="J16" s="13"/>
      <c r="K16" s="13" t="str">
        <f t="shared" si="0"/>
        <v>R115</v>
      </c>
    </row>
    <row r="17" spans="1:11" x14ac:dyDescent="0.25">
      <c r="A17" s="8">
        <v>116</v>
      </c>
      <c r="B17" s="8" t="s">
        <v>16</v>
      </c>
      <c r="C17" s="9">
        <v>20.46665275436844</v>
      </c>
      <c r="D17" s="8">
        <v>1</v>
      </c>
      <c r="E17" s="10">
        <v>44046</v>
      </c>
      <c r="F17" s="11">
        <v>77000000</v>
      </c>
      <c r="G17" s="12">
        <f t="shared" si="1"/>
        <v>6.493506493506493E-7</v>
      </c>
      <c r="H17" s="39">
        <v>1</v>
      </c>
      <c r="I17" s="13"/>
      <c r="J17" s="13"/>
      <c r="K17" s="13" t="str">
        <f t="shared" si="0"/>
        <v>R116</v>
      </c>
    </row>
    <row r="18" spans="1:11" x14ac:dyDescent="0.25">
      <c r="A18" s="8">
        <v>117</v>
      </c>
      <c r="B18" s="8" t="s">
        <v>17</v>
      </c>
      <c r="C18" s="9">
        <v>20.915149859725734</v>
      </c>
      <c r="D18" s="8">
        <v>1</v>
      </c>
      <c r="E18" s="10">
        <v>44046</v>
      </c>
      <c r="F18" s="11">
        <v>258000000</v>
      </c>
      <c r="G18" s="12">
        <f t="shared" si="1"/>
        <v>1.9379844961240311E-7</v>
      </c>
      <c r="H18" s="39">
        <v>0</v>
      </c>
      <c r="I18" s="13"/>
      <c r="J18" s="13"/>
      <c r="K18" s="13" t="str">
        <f t="shared" si="0"/>
        <v>R117</v>
      </c>
    </row>
    <row r="19" spans="1:11" x14ac:dyDescent="0.25">
      <c r="A19" s="8">
        <v>118</v>
      </c>
      <c r="B19" s="8" t="s">
        <v>18</v>
      </c>
      <c r="C19" s="9">
        <v>18.463726865313266</v>
      </c>
      <c r="D19" s="8">
        <v>2</v>
      </c>
      <c r="E19" s="10">
        <v>44073</v>
      </c>
      <c r="F19" s="11">
        <v>11600000</v>
      </c>
      <c r="G19" s="12">
        <f t="shared" si="1"/>
        <v>4.3103448275862071E-6</v>
      </c>
      <c r="H19" s="39">
        <v>1</v>
      </c>
      <c r="I19" s="13"/>
      <c r="J19" s="13"/>
      <c r="K19" s="13" t="str">
        <f t="shared" si="0"/>
        <v>R118</v>
      </c>
    </row>
    <row r="20" spans="1:11" x14ac:dyDescent="0.25">
      <c r="A20" s="8">
        <v>119</v>
      </c>
      <c r="B20" s="8" t="s">
        <v>19</v>
      </c>
      <c r="C20" s="9">
        <v>19.686666666666667</v>
      </c>
      <c r="D20" s="8">
        <v>1</v>
      </c>
      <c r="E20" s="10">
        <v>44046</v>
      </c>
      <c r="F20" s="11">
        <v>128000000</v>
      </c>
      <c r="G20" s="12">
        <f t="shared" si="1"/>
        <v>3.9062500000000002E-7</v>
      </c>
      <c r="H20" s="39">
        <v>1</v>
      </c>
      <c r="I20" s="13"/>
      <c r="J20" s="13"/>
      <c r="K20" s="13" t="str">
        <f t="shared" si="0"/>
        <v>R119</v>
      </c>
    </row>
    <row r="21" spans="1:11" x14ac:dyDescent="0.25">
      <c r="A21" s="8">
        <v>120</v>
      </c>
      <c r="B21" s="8" t="s">
        <v>20</v>
      </c>
      <c r="C21" s="9">
        <v>7.4466666666666663</v>
      </c>
      <c r="D21" s="8">
        <v>1</v>
      </c>
      <c r="E21" s="10">
        <v>44046</v>
      </c>
      <c r="F21" s="11">
        <v>5300000</v>
      </c>
      <c r="G21" s="12">
        <f t="shared" si="1"/>
        <v>9.4339622641509439E-6</v>
      </c>
      <c r="H21" s="39">
        <v>1</v>
      </c>
      <c r="I21" s="13"/>
      <c r="J21" s="13"/>
      <c r="K21" s="13" t="str">
        <f t="shared" si="0"/>
        <v>R120</v>
      </c>
    </row>
    <row r="22" spans="1:11" x14ac:dyDescent="0.25">
      <c r="A22" s="8">
        <v>121</v>
      </c>
      <c r="B22" s="8" t="s">
        <v>21</v>
      </c>
      <c r="C22" s="9">
        <v>18.436666666666667</v>
      </c>
      <c r="D22" s="8">
        <v>1</v>
      </c>
      <c r="E22" s="10">
        <v>44046</v>
      </c>
      <c r="F22" s="11">
        <v>202000000</v>
      </c>
      <c r="G22" s="12">
        <f t="shared" si="1"/>
        <v>2.4752475247524754E-7</v>
      </c>
      <c r="H22" s="39">
        <v>0</v>
      </c>
      <c r="I22" s="13"/>
      <c r="J22" s="13"/>
      <c r="K22" s="13" t="str">
        <f t="shared" si="0"/>
        <v>R121</v>
      </c>
    </row>
    <row r="23" spans="1:11" x14ac:dyDescent="0.25">
      <c r="A23" s="8">
        <v>122</v>
      </c>
      <c r="B23" s="8" t="s">
        <v>22</v>
      </c>
      <c r="C23" s="9">
        <v>14.386666666666668</v>
      </c>
      <c r="D23" s="8">
        <v>1</v>
      </c>
      <c r="E23" s="10">
        <v>44046</v>
      </c>
      <c r="F23" s="11">
        <v>44000000</v>
      </c>
      <c r="G23" s="12">
        <f t="shared" si="1"/>
        <v>1.1363636363636364E-6</v>
      </c>
      <c r="H23" s="39">
        <v>0</v>
      </c>
      <c r="I23" s="13"/>
      <c r="J23" s="13"/>
      <c r="K23" s="13" t="str">
        <f t="shared" si="0"/>
        <v>R122</v>
      </c>
    </row>
    <row r="24" spans="1:11" x14ac:dyDescent="0.25">
      <c r="A24" s="8">
        <v>123</v>
      </c>
      <c r="B24" s="8" t="s">
        <v>23</v>
      </c>
      <c r="C24" s="9">
        <v>12.37</v>
      </c>
      <c r="D24" s="8">
        <v>1</v>
      </c>
      <c r="E24" s="10">
        <v>44046</v>
      </c>
      <c r="F24" s="11">
        <v>36500000</v>
      </c>
      <c r="G24" s="12">
        <f t="shared" si="1"/>
        <v>1.3698630136986302E-6</v>
      </c>
      <c r="H24" s="39">
        <v>1</v>
      </c>
      <c r="I24" s="13"/>
      <c r="J24" s="13"/>
      <c r="K24" s="13" t="str">
        <f t="shared" si="0"/>
        <v>R123</v>
      </c>
    </row>
    <row r="25" spans="1:11" x14ac:dyDescent="0.25">
      <c r="A25" s="8">
        <v>124</v>
      </c>
      <c r="B25" s="8" t="s">
        <v>24</v>
      </c>
      <c r="C25" s="9">
        <v>17.84</v>
      </c>
      <c r="D25" s="8">
        <v>1</v>
      </c>
      <c r="E25" s="10">
        <v>44046</v>
      </c>
      <c r="F25" s="11">
        <v>170000000</v>
      </c>
      <c r="G25" s="12">
        <f t="shared" si="1"/>
        <v>2.941176470588235E-7</v>
      </c>
      <c r="H25" s="39">
        <v>1</v>
      </c>
      <c r="I25" s="13"/>
      <c r="J25" s="13"/>
      <c r="K25" s="13" t="str">
        <f t="shared" si="0"/>
        <v>R124</v>
      </c>
    </row>
    <row r="26" spans="1:11" x14ac:dyDescent="0.25">
      <c r="A26" s="8">
        <v>125</v>
      </c>
      <c r="B26" s="8" t="s">
        <v>25</v>
      </c>
      <c r="C26" s="9">
        <v>15.713333333333333</v>
      </c>
      <c r="D26" s="8">
        <v>1</v>
      </c>
      <c r="E26" s="10">
        <v>44046</v>
      </c>
      <c r="F26" s="11">
        <v>112000000</v>
      </c>
      <c r="G26" s="12">
        <f t="shared" si="1"/>
        <v>4.4642857142857142E-7</v>
      </c>
      <c r="H26" s="39">
        <v>1</v>
      </c>
      <c r="I26" s="13"/>
      <c r="J26" s="13"/>
      <c r="K26" s="13" t="str">
        <f t="shared" si="0"/>
        <v>R125</v>
      </c>
    </row>
    <row r="27" spans="1:11" x14ac:dyDescent="0.25">
      <c r="A27" s="8">
        <v>126</v>
      </c>
      <c r="B27" s="8" t="s">
        <v>26</v>
      </c>
      <c r="C27" s="9">
        <v>1.74</v>
      </c>
      <c r="D27" s="14" t="s">
        <v>129</v>
      </c>
      <c r="E27" s="8" t="s">
        <v>133</v>
      </c>
      <c r="F27" s="11">
        <v>24400</v>
      </c>
      <c r="G27" s="12">
        <f t="shared" si="1"/>
        <v>2.0491803278688526E-3</v>
      </c>
      <c r="H27" s="39">
        <v>0</v>
      </c>
      <c r="I27" s="13"/>
      <c r="J27" s="13"/>
      <c r="K27" s="13" t="str">
        <f t="shared" si="0"/>
        <v>R126</v>
      </c>
    </row>
    <row r="28" spans="1:11" x14ac:dyDescent="0.25">
      <c r="A28" s="8">
        <v>127</v>
      </c>
      <c r="B28" s="8" t="s">
        <v>27</v>
      </c>
      <c r="C28" s="9">
        <v>12.766666666666666</v>
      </c>
      <c r="D28" s="8">
        <v>1</v>
      </c>
      <c r="E28" s="10">
        <v>44046</v>
      </c>
      <c r="F28" s="11">
        <v>43500000</v>
      </c>
      <c r="G28" s="12">
        <f t="shared" si="1"/>
        <v>1.1494252873563219E-6</v>
      </c>
      <c r="H28" s="39">
        <v>0</v>
      </c>
      <c r="I28" s="13"/>
      <c r="J28" s="13"/>
      <c r="K28" s="13" t="str">
        <f t="shared" si="0"/>
        <v>R127</v>
      </c>
    </row>
    <row r="29" spans="1:11" x14ac:dyDescent="0.25">
      <c r="A29" s="8">
        <v>128</v>
      </c>
      <c r="B29" s="8" t="s">
        <v>28</v>
      </c>
      <c r="C29" s="9">
        <v>11.236666666666666</v>
      </c>
      <c r="D29" s="8">
        <v>1</v>
      </c>
      <c r="E29" s="10">
        <v>44046</v>
      </c>
      <c r="F29" s="11">
        <v>68000000</v>
      </c>
      <c r="G29" s="12">
        <f t="shared" si="1"/>
        <v>7.3529411764705886E-7</v>
      </c>
      <c r="H29" s="39">
        <v>0</v>
      </c>
      <c r="I29" s="13"/>
      <c r="J29" s="13"/>
      <c r="K29" s="13" t="str">
        <f t="shared" si="0"/>
        <v>R128</v>
      </c>
    </row>
    <row r="30" spans="1:11" x14ac:dyDescent="0.25">
      <c r="A30" s="8">
        <v>129</v>
      </c>
      <c r="B30" s="8" t="s">
        <v>29</v>
      </c>
      <c r="C30" s="9">
        <v>16.923333333333336</v>
      </c>
      <c r="D30" s="8">
        <v>2</v>
      </c>
      <c r="E30" s="10">
        <v>44073</v>
      </c>
      <c r="F30" s="11">
        <v>21800000</v>
      </c>
      <c r="G30" s="12">
        <f t="shared" si="1"/>
        <v>2.293577981651376E-6</v>
      </c>
      <c r="H30" s="39">
        <v>1</v>
      </c>
      <c r="I30" s="13"/>
      <c r="J30" s="13"/>
      <c r="K30" s="13" t="str">
        <f t="shared" si="0"/>
        <v>R129</v>
      </c>
    </row>
    <row r="31" spans="1:11" x14ac:dyDescent="0.25">
      <c r="A31" s="8">
        <v>130</v>
      </c>
      <c r="B31" s="8" t="s">
        <v>30</v>
      </c>
      <c r="C31" s="9">
        <v>12.020000000000001</v>
      </c>
      <c r="D31" s="8">
        <v>1</v>
      </c>
      <c r="E31" s="10">
        <v>44046</v>
      </c>
      <c r="F31" s="11">
        <v>53000000</v>
      </c>
      <c r="G31" s="12">
        <f t="shared" si="1"/>
        <v>9.4339622641509433E-7</v>
      </c>
      <c r="H31" s="39">
        <v>0</v>
      </c>
      <c r="I31" s="13"/>
      <c r="J31" s="13"/>
      <c r="K31" s="13" t="str">
        <f t="shared" si="0"/>
        <v>R130</v>
      </c>
    </row>
    <row r="32" spans="1:11" x14ac:dyDescent="0.25">
      <c r="A32" s="8">
        <v>131</v>
      </c>
      <c r="B32" s="8" t="s">
        <v>31</v>
      </c>
      <c r="C32" s="9">
        <v>21.38</v>
      </c>
      <c r="D32" s="8">
        <v>1</v>
      </c>
      <c r="E32" s="10">
        <v>44047</v>
      </c>
      <c r="F32" s="11">
        <v>12900000</v>
      </c>
      <c r="G32" s="12">
        <f t="shared" si="1"/>
        <v>3.8759689922480621E-6</v>
      </c>
      <c r="H32" s="39">
        <v>1</v>
      </c>
      <c r="I32" s="13"/>
      <c r="J32" s="13"/>
      <c r="K32" s="13" t="str">
        <f t="shared" si="0"/>
        <v>R131</v>
      </c>
    </row>
    <row r="33" spans="1:11" x14ac:dyDescent="0.25">
      <c r="A33" s="8">
        <v>132</v>
      </c>
      <c r="B33" s="8" t="s">
        <v>32</v>
      </c>
      <c r="C33" s="9">
        <v>21.043333333333333</v>
      </c>
      <c r="D33" s="8">
        <v>1</v>
      </c>
      <c r="E33" s="10">
        <v>44047</v>
      </c>
      <c r="F33" s="11">
        <v>15300000</v>
      </c>
      <c r="G33" s="12">
        <f t="shared" si="1"/>
        <v>3.2679738562091501E-6</v>
      </c>
      <c r="H33" s="39">
        <v>1</v>
      </c>
      <c r="I33" s="13"/>
      <c r="J33" s="13"/>
      <c r="K33" s="13" t="str">
        <f t="shared" si="0"/>
        <v>R132</v>
      </c>
    </row>
    <row r="34" spans="1:11" x14ac:dyDescent="0.25">
      <c r="A34" s="8">
        <v>133</v>
      </c>
      <c r="B34" s="8" t="s">
        <v>33</v>
      </c>
      <c r="C34" s="9">
        <v>20.673333333333332</v>
      </c>
      <c r="D34" s="8">
        <v>1</v>
      </c>
      <c r="E34" s="10">
        <v>44047</v>
      </c>
      <c r="F34" s="11">
        <v>34000000</v>
      </c>
      <c r="G34" s="12">
        <f t="shared" si="1"/>
        <v>1.4705882352941177E-6</v>
      </c>
      <c r="H34" s="39">
        <v>1</v>
      </c>
      <c r="I34" s="13"/>
      <c r="J34" s="13"/>
      <c r="K34" s="13" t="str">
        <f t="shared" ref="K34:K66" si="2">CONCATENATE("R",A34)</f>
        <v>R133</v>
      </c>
    </row>
    <row r="35" spans="1:11" x14ac:dyDescent="0.25">
      <c r="A35" s="8">
        <v>135</v>
      </c>
      <c r="B35" s="8" t="s">
        <v>34</v>
      </c>
      <c r="C35" s="9">
        <v>20.39</v>
      </c>
      <c r="D35" s="8">
        <v>1</v>
      </c>
      <c r="E35" s="10">
        <v>44047</v>
      </c>
      <c r="F35" s="11">
        <v>11700000</v>
      </c>
      <c r="G35" s="12">
        <f t="shared" si="1"/>
        <v>4.2735042735042738E-6</v>
      </c>
      <c r="H35" s="39">
        <v>1</v>
      </c>
      <c r="I35" s="13"/>
      <c r="J35" s="13"/>
      <c r="K35" s="13" t="str">
        <f t="shared" si="2"/>
        <v>R135</v>
      </c>
    </row>
    <row r="36" spans="1:11" x14ac:dyDescent="0.25">
      <c r="A36" s="8">
        <v>137</v>
      </c>
      <c r="B36" s="8" t="s">
        <v>35</v>
      </c>
      <c r="C36" s="9">
        <v>19.926666666666666</v>
      </c>
      <c r="D36" s="8">
        <v>2</v>
      </c>
      <c r="E36" s="10">
        <v>44067</v>
      </c>
      <c r="F36" s="11">
        <v>5800000</v>
      </c>
      <c r="G36" s="12">
        <f t="shared" si="1"/>
        <v>8.6206896551724141E-6</v>
      </c>
      <c r="H36" s="39">
        <v>1</v>
      </c>
      <c r="I36" s="13"/>
      <c r="J36" s="13"/>
      <c r="K36" s="13" t="str">
        <f t="shared" si="2"/>
        <v>R137</v>
      </c>
    </row>
    <row r="37" spans="1:11" x14ac:dyDescent="0.25">
      <c r="A37" s="8">
        <v>139</v>
      </c>
      <c r="B37" s="8" t="s">
        <v>36</v>
      </c>
      <c r="C37" s="9">
        <v>18.113333333333333</v>
      </c>
      <c r="D37" s="8">
        <v>1</v>
      </c>
      <c r="E37" s="10">
        <v>44047</v>
      </c>
      <c r="F37" s="11">
        <v>3200000</v>
      </c>
      <c r="G37" s="12">
        <f t="shared" si="1"/>
        <v>1.5625E-5</v>
      </c>
      <c r="H37" s="39">
        <v>0</v>
      </c>
      <c r="I37" s="13"/>
      <c r="J37" s="13"/>
      <c r="K37" s="13" t="str">
        <f t="shared" si="2"/>
        <v>R139</v>
      </c>
    </row>
    <row r="38" spans="1:11" x14ac:dyDescent="0.25">
      <c r="A38" s="8">
        <v>140</v>
      </c>
      <c r="B38" s="8" t="s">
        <v>37</v>
      </c>
      <c r="C38" s="9">
        <v>17.033333333333335</v>
      </c>
      <c r="D38" s="8">
        <v>1</v>
      </c>
      <c r="E38" s="10">
        <v>44047</v>
      </c>
      <c r="F38" s="11">
        <v>3000000</v>
      </c>
      <c r="G38" s="12">
        <f t="shared" si="1"/>
        <v>1.6666666666666667E-5</v>
      </c>
      <c r="H38" s="39">
        <v>0</v>
      </c>
      <c r="I38" s="13"/>
      <c r="J38" s="13"/>
      <c r="K38" s="13" t="str">
        <f t="shared" si="2"/>
        <v>R140</v>
      </c>
    </row>
    <row r="39" spans="1:11" x14ac:dyDescent="0.25">
      <c r="A39" s="8">
        <v>142</v>
      </c>
      <c r="B39" s="8" t="s">
        <v>38</v>
      </c>
      <c r="C39" s="9">
        <v>16.223333333333333</v>
      </c>
      <c r="D39" s="8">
        <v>1</v>
      </c>
      <c r="E39" s="10">
        <v>44047</v>
      </c>
      <c r="F39" s="11">
        <v>300000</v>
      </c>
      <c r="G39" s="12">
        <f t="shared" si="1"/>
        <v>1.6666666666666666E-4</v>
      </c>
      <c r="H39" s="39">
        <v>0</v>
      </c>
      <c r="I39" s="13"/>
      <c r="J39" s="13"/>
      <c r="K39" s="13" t="str">
        <f t="shared" si="2"/>
        <v>R142</v>
      </c>
    </row>
    <row r="40" spans="1:11" x14ac:dyDescent="0.25">
      <c r="A40" s="8">
        <v>143</v>
      </c>
      <c r="B40" s="8" t="s">
        <v>39</v>
      </c>
      <c r="C40" s="9">
        <v>15.836666666666668</v>
      </c>
      <c r="D40" s="8">
        <v>2</v>
      </c>
      <c r="E40" s="10">
        <v>44063</v>
      </c>
      <c r="F40" s="11">
        <v>300000</v>
      </c>
      <c r="G40" s="12">
        <f t="shared" si="1"/>
        <v>1.6666666666666666E-4</v>
      </c>
      <c r="H40" s="39">
        <v>1</v>
      </c>
      <c r="I40" s="13"/>
      <c r="J40" s="13"/>
      <c r="K40" s="13" t="str">
        <f t="shared" si="2"/>
        <v>R143</v>
      </c>
    </row>
    <row r="41" spans="1:11" x14ac:dyDescent="0.25">
      <c r="A41" s="8">
        <v>144</v>
      </c>
      <c r="B41" s="8" t="s">
        <v>40</v>
      </c>
      <c r="C41" s="9">
        <v>16.136666666666667</v>
      </c>
      <c r="D41" s="8">
        <v>1</v>
      </c>
      <c r="E41" s="10">
        <v>44047</v>
      </c>
      <c r="F41" s="11">
        <v>1200000</v>
      </c>
      <c r="G41" s="12">
        <f t="shared" si="1"/>
        <v>4.1666666666666665E-5</v>
      </c>
      <c r="H41" s="39">
        <v>1</v>
      </c>
      <c r="I41" s="13"/>
      <c r="J41" s="13"/>
      <c r="K41" s="13" t="str">
        <f t="shared" si="2"/>
        <v>R144</v>
      </c>
    </row>
    <row r="42" spans="1:11" x14ac:dyDescent="0.25">
      <c r="A42" s="15">
        <v>146</v>
      </c>
      <c r="B42" s="8" t="s">
        <v>41</v>
      </c>
      <c r="C42" s="16">
        <v>21.26</v>
      </c>
      <c r="D42" s="8">
        <v>1</v>
      </c>
      <c r="E42" s="10">
        <v>44032</v>
      </c>
      <c r="F42" s="11">
        <v>19100000</v>
      </c>
      <c r="G42" s="12">
        <f t="shared" si="1"/>
        <v>2.6178010471204187E-6</v>
      </c>
      <c r="H42" s="39">
        <v>1</v>
      </c>
      <c r="I42" s="13"/>
      <c r="J42" s="13"/>
      <c r="K42" s="13" t="str">
        <f t="shared" si="2"/>
        <v>R146</v>
      </c>
    </row>
    <row r="43" spans="1:11" x14ac:dyDescent="0.25">
      <c r="A43" s="15">
        <v>147</v>
      </c>
      <c r="B43" s="8" t="s">
        <v>42</v>
      </c>
      <c r="C43" s="9">
        <v>19.503333333333334</v>
      </c>
      <c r="D43" s="8">
        <v>1</v>
      </c>
      <c r="E43" s="10">
        <v>44032</v>
      </c>
      <c r="F43" s="11">
        <v>13200000</v>
      </c>
      <c r="G43" s="12">
        <f t="shared" si="1"/>
        <v>3.7878787878787878E-6</v>
      </c>
      <c r="H43" s="39">
        <v>1</v>
      </c>
      <c r="I43" s="13"/>
      <c r="J43" s="13"/>
      <c r="K43" s="13" t="str">
        <f t="shared" si="2"/>
        <v>R147</v>
      </c>
    </row>
    <row r="44" spans="1:11" x14ac:dyDescent="0.25">
      <c r="A44" s="15">
        <v>148</v>
      </c>
      <c r="B44" s="8" t="s">
        <v>43</v>
      </c>
      <c r="C44" s="9">
        <v>20.633333333333336</v>
      </c>
      <c r="D44" s="8">
        <v>1</v>
      </c>
      <c r="E44" s="10">
        <v>44032</v>
      </c>
      <c r="F44" s="11">
        <v>32300000</v>
      </c>
      <c r="G44" s="12">
        <f t="shared" si="1"/>
        <v>1.5479876160990711E-6</v>
      </c>
      <c r="H44" s="39">
        <v>1</v>
      </c>
      <c r="I44" s="13"/>
      <c r="J44" s="13"/>
      <c r="K44" s="13" t="str">
        <f t="shared" si="2"/>
        <v>R148</v>
      </c>
    </row>
    <row r="45" spans="1:11" x14ac:dyDescent="0.25">
      <c r="A45" s="15">
        <v>152</v>
      </c>
      <c r="B45" s="8" t="s">
        <v>44</v>
      </c>
      <c r="C45" s="9">
        <v>17.856666666666666</v>
      </c>
      <c r="D45" s="8">
        <v>1</v>
      </c>
      <c r="E45" s="10">
        <v>44032</v>
      </c>
      <c r="F45" s="11">
        <v>36100000</v>
      </c>
      <c r="G45" s="12">
        <f t="shared" si="1"/>
        <v>1.3850415512465373E-6</v>
      </c>
      <c r="H45" s="39">
        <v>1</v>
      </c>
      <c r="I45" s="13"/>
      <c r="J45" s="13"/>
      <c r="K45" s="13" t="str">
        <f t="shared" si="2"/>
        <v>R152</v>
      </c>
    </row>
    <row r="46" spans="1:11" x14ac:dyDescent="0.25">
      <c r="A46" s="15">
        <v>153</v>
      </c>
      <c r="B46" s="8" t="s">
        <v>45</v>
      </c>
      <c r="C46" s="9">
        <v>15.216666666666667</v>
      </c>
      <c r="D46" s="8">
        <v>1</v>
      </c>
      <c r="E46" s="10">
        <v>44032</v>
      </c>
      <c r="F46" s="11">
        <v>27400000</v>
      </c>
      <c r="G46" s="12">
        <f t="shared" si="1"/>
        <v>1.8248175182481753E-6</v>
      </c>
      <c r="H46" s="39">
        <v>1</v>
      </c>
      <c r="I46" s="13"/>
      <c r="J46" s="13"/>
      <c r="K46" s="13" t="str">
        <f t="shared" si="2"/>
        <v>R153</v>
      </c>
    </row>
    <row r="47" spans="1:11" x14ac:dyDescent="0.25">
      <c r="A47" s="15">
        <v>154</v>
      </c>
      <c r="B47" s="8" t="s">
        <v>46</v>
      </c>
      <c r="C47" s="9">
        <v>19.676666666666666</v>
      </c>
      <c r="D47" s="8">
        <v>1</v>
      </c>
      <c r="E47" s="10">
        <v>44032</v>
      </c>
      <c r="F47" s="11">
        <v>62000000</v>
      </c>
      <c r="G47" s="12">
        <f t="shared" si="1"/>
        <v>8.064516129032258E-7</v>
      </c>
      <c r="H47" s="39">
        <v>1</v>
      </c>
      <c r="I47" s="13"/>
      <c r="J47" s="13"/>
      <c r="K47" s="13" t="str">
        <f t="shared" si="2"/>
        <v>R154</v>
      </c>
    </row>
    <row r="48" spans="1:11" x14ac:dyDescent="0.25">
      <c r="A48" s="15">
        <v>155</v>
      </c>
      <c r="B48" s="8" t="s">
        <v>47</v>
      </c>
      <c r="C48" s="9">
        <v>13.984120379945329</v>
      </c>
      <c r="D48" s="8">
        <v>3</v>
      </c>
      <c r="E48" s="10">
        <v>44122</v>
      </c>
      <c r="F48" s="11">
        <v>63000000</v>
      </c>
      <c r="G48" s="12">
        <f t="shared" si="1"/>
        <v>7.9365079365079366E-7</v>
      </c>
      <c r="H48" s="39">
        <v>1</v>
      </c>
      <c r="I48" s="13"/>
      <c r="J48" s="13"/>
      <c r="K48" s="13" t="str">
        <f t="shared" si="2"/>
        <v>R155</v>
      </c>
    </row>
    <row r="49" spans="1:11" x14ac:dyDescent="0.25">
      <c r="A49" s="15">
        <v>156</v>
      </c>
      <c r="B49" s="8" t="s">
        <v>48</v>
      </c>
      <c r="C49" s="9">
        <v>16.296666666666667</v>
      </c>
      <c r="D49" s="8">
        <v>1</v>
      </c>
      <c r="E49" s="10">
        <v>44032</v>
      </c>
      <c r="F49" s="11">
        <v>17600000</v>
      </c>
      <c r="G49" s="12">
        <f t="shared" si="1"/>
        <v>2.8409090909090907E-6</v>
      </c>
      <c r="H49" s="39">
        <v>1</v>
      </c>
      <c r="I49" s="13"/>
      <c r="J49" s="13"/>
      <c r="K49" s="13" t="str">
        <f t="shared" si="2"/>
        <v>R156</v>
      </c>
    </row>
    <row r="50" spans="1:11" x14ac:dyDescent="0.25">
      <c r="A50" s="15">
        <v>157</v>
      </c>
      <c r="B50" s="8" t="s">
        <v>49</v>
      </c>
      <c r="C50" s="9">
        <v>14.143333333333333</v>
      </c>
      <c r="D50" s="8">
        <v>1</v>
      </c>
      <c r="E50" s="10">
        <v>44032</v>
      </c>
      <c r="F50" s="11">
        <v>90000000</v>
      </c>
      <c r="G50" s="12">
        <f t="shared" si="1"/>
        <v>5.5555555555555552E-7</v>
      </c>
      <c r="H50" s="39">
        <v>1</v>
      </c>
      <c r="I50" s="13"/>
      <c r="J50" s="13"/>
      <c r="K50" s="13" t="str">
        <f t="shared" si="2"/>
        <v>R157</v>
      </c>
    </row>
    <row r="51" spans="1:11" x14ac:dyDescent="0.25">
      <c r="A51" s="15">
        <v>158</v>
      </c>
      <c r="B51" s="8" t="s">
        <v>50</v>
      </c>
      <c r="C51" s="9">
        <v>20.64</v>
      </c>
      <c r="D51" s="8">
        <v>1</v>
      </c>
      <c r="E51" s="10">
        <v>44011</v>
      </c>
      <c r="F51" s="11">
        <v>54000000</v>
      </c>
      <c r="G51" s="12">
        <f t="shared" si="1"/>
        <v>9.2592592592592594E-7</v>
      </c>
      <c r="H51" s="39">
        <v>0</v>
      </c>
      <c r="I51" s="13"/>
      <c r="J51" s="13"/>
      <c r="K51" s="13" t="str">
        <f t="shared" si="2"/>
        <v>R158</v>
      </c>
    </row>
    <row r="52" spans="1:11" x14ac:dyDescent="0.25">
      <c r="A52" s="15">
        <v>159</v>
      </c>
      <c r="B52" s="8" t="s">
        <v>51</v>
      </c>
      <c r="C52" s="9">
        <v>19.796666666666667</v>
      </c>
      <c r="D52" s="8">
        <v>1</v>
      </c>
      <c r="E52" s="10">
        <v>44011</v>
      </c>
      <c r="F52" s="11">
        <v>43000000</v>
      </c>
      <c r="G52" s="12">
        <f t="shared" si="1"/>
        <v>1.1627906976744186E-6</v>
      </c>
      <c r="H52" s="39">
        <v>0</v>
      </c>
      <c r="I52" s="13"/>
      <c r="J52" s="13"/>
      <c r="K52" s="13" t="str">
        <f t="shared" si="2"/>
        <v>R159</v>
      </c>
    </row>
    <row r="53" spans="1:11" x14ac:dyDescent="0.25">
      <c r="A53" s="15">
        <v>160</v>
      </c>
      <c r="B53" s="8" t="s">
        <v>52</v>
      </c>
      <c r="C53" s="9">
        <v>17.046666666666667</v>
      </c>
      <c r="D53" s="8">
        <v>1</v>
      </c>
      <c r="E53" s="10">
        <v>44011</v>
      </c>
      <c r="F53" s="11">
        <v>13700000</v>
      </c>
      <c r="G53" s="12">
        <f t="shared" si="1"/>
        <v>3.6496350364963505E-6</v>
      </c>
      <c r="H53" s="39">
        <v>1</v>
      </c>
      <c r="I53" s="13"/>
      <c r="J53" s="13"/>
      <c r="K53" s="13" t="str">
        <f t="shared" si="2"/>
        <v>R160</v>
      </c>
    </row>
    <row r="54" spans="1:11" x14ac:dyDescent="0.25">
      <c r="A54" s="15">
        <v>164</v>
      </c>
      <c r="B54" s="8" t="s">
        <v>53</v>
      </c>
      <c r="C54" s="9">
        <v>9.7333333333333325</v>
      </c>
      <c r="D54" s="8">
        <v>1</v>
      </c>
      <c r="E54" s="10">
        <v>44011</v>
      </c>
      <c r="F54" s="11">
        <v>9800000</v>
      </c>
      <c r="G54" s="12">
        <f t="shared" si="1"/>
        <v>5.1020408163265306E-6</v>
      </c>
      <c r="H54" s="39">
        <v>1</v>
      </c>
      <c r="I54" s="13"/>
      <c r="J54" s="13"/>
      <c r="K54" s="13" t="str">
        <f t="shared" si="2"/>
        <v>R164</v>
      </c>
    </row>
    <row r="55" spans="1:11" x14ac:dyDescent="0.25">
      <c r="A55" s="15">
        <v>165</v>
      </c>
      <c r="B55" s="8" t="s">
        <v>54</v>
      </c>
      <c r="C55" s="9">
        <v>5.5966666666666667</v>
      </c>
      <c r="D55" s="17" t="s">
        <v>130</v>
      </c>
      <c r="E55" s="10">
        <v>44131</v>
      </c>
      <c r="F55" s="11">
        <v>3180000</v>
      </c>
      <c r="G55" s="12">
        <f t="shared" si="1"/>
        <v>1.5723270440251572E-5</v>
      </c>
      <c r="H55" s="39">
        <v>1</v>
      </c>
      <c r="I55" s="13"/>
      <c r="J55" s="13"/>
      <c r="K55" s="13" t="str">
        <f t="shared" si="2"/>
        <v>R165</v>
      </c>
    </row>
    <row r="56" spans="1:11" x14ac:dyDescent="0.25">
      <c r="A56" s="15">
        <v>167</v>
      </c>
      <c r="B56" s="8" t="s">
        <v>55</v>
      </c>
      <c r="C56" s="9">
        <v>11.846666666666666</v>
      </c>
      <c r="D56" s="8">
        <v>1</v>
      </c>
      <c r="E56" s="10">
        <v>44011</v>
      </c>
      <c r="F56" s="11">
        <v>13600000</v>
      </c>
      <c r="G56" s="12">
        <f t="shared" si="1"/>
        <v>3.6764705882352942E-6</v>
      </c>
      <c r="H56" s="39">
        <v>1</v>
      </c>
      <c r="I56" s="13"/>
      <c r="J56" s="13"/>
      <c r="K56" s="13" t="str">
        <f t="shared" si="2"/>
        <v>R167</v>
      </c>
    </row>
    <row r="57" spans="1:11" x14ac:dyDescent="0.25">
      <c r="A57" s="15">
        <v>168</v>
      </c>
      <c r="B57" s="8" t="s">
        <v>56</v>
      </c>
      <c r="C57" s="9">
        <v>1.1433333333333333</v>
      </c>
      <c r="D57" s="8">
        <v>2</v>
      </c>
      <c r="E57" s="10">
        <v>44054</v>
      </c>
      <c r="F57" s="11">
        <v>20400</v>
      </c>
      <c r="G57" s="12">
        <f t="shared" si="1"/>
        <v>2.4509803921568627E-3</v>
      </c>
      <c r="H57" s="39">
        <v>1</v>
      </c>
      <c r="I57" s="13"/>
      <c r="J57" s="13"/>
      <c r="K57" s="13" t="str">
        <f t="shared" si="2"/>
        <v>R168</v>
      </c>
    </row>
    <row r="58" spans="1:11" x14ac:dyDescent="0.25">
      <c r="A58" s="13">
        <v>170</v>
      </c>
      <c r="B58" s="8" t="s">
        <v>57</v>
      </c>
      <c r="C58" s="9">
        <v>20.806666666666668</v>
      </c>
      <c r="D58" s="8">
        <v>1</v>
      </c>
      <c r="E58" s="10">
        <v>43906</v>
      </c>
      <c r="F58" s="11">
        <v>17300000</v>
      </c>
      <c r="G58" s="12">
        <f t="shared" si="1"/>
        <v>2.8901734104046244E-6</v>
      </c>
      <c r="H58" s="39">
        <v>0</v>
      </c>
      <c r="I58" s="13"/>
      <c r="J58" s="13"/>
      <c r="K58" s="13" t="str">
        <f t="shared" si="2"/>
        <v>R170</v>
      </c>
    </row>
    <row r="59" spans="1:11" x14ac:dyDescent="0.25">
      <c r="A59" s="13">
        <v>171</v>
      </c>
      <c r="B59" s="8" t="s">
        <v>58</v>
      </c>
      <c r="C59" s="9">
        <v>20.643333333333334</v>
      </c>
      <c r="D59" s="8">
        <v>1</v>
      </c>
      <c r="E59" s="10">
        <v>43906</v>
      </c>
      <c r="F59" s="11">
        <v>69000000</v>
      </c>
      <c r="G59" s="12">
        <f t="shared" si="1"/>
        <v>7.246376811594203E-7</v>
      </c>
      <c r="H59" s="39">
        <v>0</v>
      </c>
      <c r="I59" s="13"/>
      <c r="J59" s="13"/>
      <c r="K59" s="13" t="str">
        <f t="shared" si="2"/>
        <v>R171</v>
      </c>
    </row>
    <row r="60" spans="1:11" x14ac:dyDescent="0.25">
      <c r="A60" s="13">
        <v>172</v>
      </c>
      <c r="B60" s="8" t="s">
        <v>59</v>
      </c>
      <c r="C60" s="9">
        <v>19.91333333333333</v>
      </c>
      <c r="D60" s="8">
        <v>2</v>
      </c>
      <c r="E60" s="10">
        <v>44017</v>
      </c>
      <c r="F60" s="11">
        <v>4200000</v>
      </c>
      <c r="G60" s="12">
        <f t="shared" si="1"/>
        <v>1.1904761904761905E-5</v>
      </c>
      <c r="H60" s="39">
        <v>0</v>
      </c>
      <c r="I60" s="13"/>
      <c r="J60" s="13"/>
      <c r="K60" s="13" t="str">
        <f t="shared" si="2"/>
        <v>R172</v>
      </c>
    </row>
    <row r="61" spans="1:11" x14ac:dyDescent="0.25">
      <c r="A61" s="13">
        <v>176</v>
      </c>
      <c r="B61" s="8" t="s">
        <v>60</v>
      </c>
      <c r="C61" s="9">
        <v>21.02333333333333</v>
      </c>
      <c r="D61" s="8">
        <v>1</v>
      </c>
      <c r="E61" s="10">
        <v>43906</v>
      </c>
      <c r="F61" s="11">
        <v>55000000</v>
      </c>
      <c r="G61" s="12">
        <f t="shared" si="1"/>
        <v>9.0909090909090904E-7</v>
      </c>
      <c r="H61" s="39">
        <v>0</v>
      </c>
      <c r="I61" s="13"/>
      <c r="J61" s="13"/>
      <c r="K61" s="13" t="str">
        <f t="shared" si="2"/>
        <v>R176</v>
      </c>
    </row>
    <row r="62" spans="1:11" x14ac:dyDescent="0.25">
      <c r="A62" s="13">
        <v>177</v>
      </c>
      <c r="B62" s="8" t="s">
        <v>61</v>
      </c>
      <c r="C62" s="9">
        <v>20.303333333333331</v>
      </c>
      <c r="D62" s="8">
        <v>1</v>
      </c>
      <c r="E62" s="10">
        <v>43906</v>
      </c>
      <c r="F62" s="11">
        <v>53000000</v>
      </c>
      <c r="G62" s="12">
        <f t="shared" ref="G62:G120" si="3">50/F62</f>
        <v>9.4339622641509433E-7</v>
      </c>
      <c r="H62" s="39">
        <v>0</v>
      </c>
      <c r="I62" s="13"/>
      <c r="J62" s="13"/>
      <c r="K62" s="13" t="str">
        <f t="shared" si="2"/>
        <v>R177</v>
      </c>
    </row>
    <row r="63" spans="1:11" x14ac:dyDescent="0.25">
      <c r="A63" s="13">
        <v>178</v>
      </c>
      <c r="B63" s="8" t="s">
        <v>62</v>
      </c>
      <c r="C63" s="9">
        <v>20.03</v>
      </c>
      <c r="D63" s="8">
        <v>1</v>
      </c>
      <c r="E63" s="10">
        <v>43906</v>
      </c>
      <c r="F63" s="11">
        <v>60000000</v>
      </c>
      <c r="G63" s="12">
        <f t="shared" si="3"/>
        <v>8.3333333333333333E-7</v>
      </c>
      <c r="H63" s="39">
        <v>0</v>
      </c>
      <c r="I63" s="13"/>
      <c r="J63" s="13"/>
      <c r="K63" s="13" t="str">
        <f t="shared" si="2"/>
        <v>R178</v>
      </c>
    </row>
    <row r="64" spans="1:11" x14ac:dyDescent="0.25">
      <c r="A64" s="13">
        <v>179</v>
      </c>
      <c r="B64" s="8" t="s">
        <v>63</v>
      </c>
      <c r="C64" s="9">
        <v>19.89</v>
      </c>
      <c r="D64" s="8">
        <v>1</v>
      </c>
      <c r="E64" s="10">
        <v>43906</v>
      </c>
      <c r="F64" s="11">
        <v>81000000</v>
      </c>
      <c r="G64" s="12">
        <f t="shared" si="3"/>
        <v>6.1728395061728396E-7</v>
      </c>
      <c r="H64" s="39">
        <v>1</v>
      </c>
      <c r="I64" s="13"/>
      <c r="J64" s="13"/>
      <c r="K64" s="13" t="str">
        <f t="shared" si="2"/>
        <v>R179</v>
      </c>
    </row>
    <row r="65" spans="1:11" x14ac:dyDescent="0.25">
      <c r="A65" s="13">
        <v>180</v>
      </c>
      <c r="B65" s="8" t="s">
        <v>64</v>
      </c>
      <c r="C65" s="9">
        <v>20.2</v>
      </c>
      <c r="D65" s="8">
        <v>4</v>
      </c>
      <c r="E65" s="10">
        <v>44040</v>
      </c>
      <c r="F65" s="11">
        <v>19400000</v>
      </c>
      <c r="G65" s="12">
        <f t="shared" si="3"/>
        <v>2.5773195876288659E-6</v>
      </c>
      <c r="H65" s="39">
        <v>1</v>
      </c>
      <c r="I65" s="13"/>
      <c r="J65" s="13"/>
      <c r="K65" s="13" t="str">
        <f t="shared" si="2"/>
        <v>R180</v>
      </c>
    </row>
    <row r="66" spans="1:11" x14ac:dyDescent="0.25">
      <c r="A66" s="13">
        <v>181</v>
      </c>
      <c r="B66" s="8" t="s">
        <v>65</v>
      </c>
      <c r="C66" s="9">
        <v>17.733333333333334</v>
      </c>
      <c r="D66" s="8">
        <v>1</v>
      </c>
      <c r="E66" s="10">
        <v>43906</v>
      </c>
      <c r="F66" s="11">
        <v>232000000</v>
      </c>
      <c r="G66" s="12">
        <f t="shared" si="3"/>
        <v>2.1551724137931034E-7</v>
      </c>
      <c r="H66" s="39">
        <v>0</v>
      </c>
      <c r="I66" s="13"/>
      <c r="J66" s="13"/>
      <c r="K66" s="13" t="str">
        <f t="shared" si="2"/>
        <v>R181</v>
      </c>
    </row>
    <row r="67" spans="1:11" x14ac:dyDescent="0.25">
      <c r="A67" s="13"/>
      <c r="B67" s="8"/>
      <c r="C67" s="16"/>
      <c r="D67" s="8"/>
      <c r="E67" s="8"/>
      <c r="F67" s="8"/>
      <c r="G67" s="12"/>
      <c r="H67" s="42"/>
      <c r="I67" s="13"/>
      <c r="J67" s="13"/>
      <c r="K67" s="13"/>
    </row>
    <row r="68" spans="1:11" x14ac:dyDescent="0.25">
      <c r="A68" s="13">
        <v>2</v>
      </c>
      <c r="B68" s="13" t="s">
        <v>66</v>
      </c>
      <c r="C68" s="18">
        <v>21.806575204468658</v>
      </c>
      <c r="D68" s="8">
        <v>1</v>
      </c>
      <c r="E68" s="19">
        <v>44021</v>
      </c>
      <c r="F68" s="11">
        <v>36200000</v>
      </c>
      <c r="G68" s="12">
        <f t="shared" si="3"/>
        <v>1.3812154696132596E-6</v>
      </c>
      <c r="H68" s="39">
        <v>1</v>
      </c>
      <c r="I68" s="13"/>
      <c r="J68" s="13"/>
      <c r="K68" s="13" t="str">
        <f t="shared" ref="K68:K99" si="4">CONCATENATE("R",A68)</f>
        <v>R2</v>
      </c>
    </row>
    <row r="69" spans="1:11" x14ac:dyDescent="0.25">
      <c r="A69" s="13">
        <v>3</v>
      </c>
      <c r="B69" s="13" t="s">
        <v>67</v>
      </c>
      <c r="C69" s="18">
        <v>21.964692854969496</v>
      </c>
      <c r="D69" s="8">
        <v>1</v>
      </c>
      <c r="E69" s="19">
        <v>44021</v>
      </c>
      <c r="F69" s="11">
        <v>13800000</v>
      </c>
      <c r="G69" s="12">
        <f t="shared" si="3"/>
        <v>3.6231884057971013E-6</v>
      </c>
      <c r="H69" s="39">
        <v>1</v>
      </c>
      <c r="I69" s="13"/>
      <c r="J69" s="13"/>
      <c r="K69" s="13" t="str">
        <f t="shared" si="4"/>
        <v>R3</v>
      </c>
    </row>
    <row r="70" spans="1:11" x14ac:dyDescent="0.25">
      <c r="A70" s="13">
        <v>4</v>
      </c>
      <c r="B70" s="13" t="s">
        <v>68</v>
      </c>
      <c r="C70" s="18">
        <v>21.754227908451639</v>
      </c>
      <c r="D70" s="8">
        <v>1</v>
      </c>
      <c r="E70" s="19">
        <v>44021</v>
      </c>
      <c r="F70" s="11">
        <v>16400000</v>
      </c>
      <c r="G70" s="12">
        <f t="shared" si="3"/>
        <v>3.0487804878048782E-6</v>
      </c>
      <c r="H70" s="39">
        <v>1</v>
      </c>
      <c r="I70" s="13"/>
      <c r="J70" s="13"/>
      <c r="K70" s="13" t="str">
        <f t="shared" si="4"/>
        <v>R4</v>
      </c>
    </row>
    <row r="71" spans="1:11" x14ac:dyDescent="0.25">
      <c r="A71" s="13">
        <v>5</v>
      </c>
      <c r="B71" s="13" t="s">
        <v>69</v>
      </c>
      <c r="C71" s="18">
        <v>22.123290439209878</v>
      </c>
      <c r="D71" s="8">
        <v>1</v>
      </c>
      <c r="E71" s="19">
        <v>44021</v>
      </c>
      <c r="F71" s="11">
        <v>31200000</v>
      </c>
      <c r="G71" s="12">
        <f t="shared" si="3"/>
        <v>1.6025641025641025E-6</v>
      </c>
      <c r="H71" s="39">
        <v>1</v>
      </c>
      <c r="I71" s="13"/>
      <c r="J71" s="13"/>
      <c r="K71" s="13" t="str">
        <f t="shared" si="4"/>
        <v>R5</v>
      </c>
    </row>
    <row r="72" spans="1:11" x14ac:dyDescent="0.25">
      <c r="A72" s="13">
        <v>6</v>
      </c>
      <c r="B72" s="13" t="s">
        <v>70</v>
      </c>
      <c r="C72" s="18">
        <v>21.923222237506419</v>
      </c>
      <c r="D72" s="8">
        <v>1</v>
      </c>
      <c r="E72" s="19">
        <v>44021</v>
      </c>
      <c r="F72" s="11">
        <v>47200000</v>
      </c>
      <c r="G72" s="12">
        <f t="shared" si="3"/>
        <v>1.0593220338983051E-6</v>
      </c>
      <c r="H72" s="39">
        <v>1</v>
      </c>
      <c r="I72" s="13"/>
      <c r="J72" s="13"/>
      <c r="K72" s="13" t="str">
        <f t="shared" si="4"/>
        <v>R6</v>
      </c>
    </row>
    <row r="73" spans="1:11" x14ac:dyDescent="0.25">
      <c r="A73" s="13">
        <v>7</v>
      </c>
      <c r="B73" s="13" t="s">
        <v>71</v>
      </c>
      <c r="C73" s="18">
        <v>21.170773715631814</v>
      </c>
      <c r="D73" s="8">
        <v>1</v>
      </c>
      <c r="E73" s="19">
        <v>44021</v>
      </c>
      <c r="F73" s="11">
        <v>21200000</v>
      </c>
      <c r="G73" s="12">
        <f t="shared" si="3"/>
        <v>2.358490566037736E-6</v>
      </c>
      <c r="H73" s="39">
        <v>1</v>
      </c>
      <c r="I73" s="13"/>
      <c r="J73" s="13"/>
      <c r="K73" s="13" t="str">
        <f t="shared" si="4"/>
        <v>R7</v>
      </c>
    </row>
    <row r="74" spans="1:11" x14ac:dyDescent="0.25">
      <c r="A74" s="13">
        <v>8</v>
      </c>
      <c r="B74" s="13" t="s">
        <v>72</v>
      </c>
      <c r="C74" s="18">
        <v>22.033077208764372</v>
      </c>
      <c r="D74" s="8">
        <v>1</v>
      </c>
      <c r="E74" s="19">
        <v>44021</v>
      </c>
      <c r="F74" s="11">
        <v>15900000</v>
      </c>
      <c r="G74" s="12">
        <f t="shared" si="3"/>
        <v>3.1446540880503146E-6</v>
      </c>
      <c r="H74" s="39">
        <v>1</v>
      </c>
      <c r="I74" s="13"/>
      <c r="J74" s="13"/>
      <c r="K74" s="13" t="str">
        <f t="shared" si="4"/>
        <v>R8</v>
      </c>
    </row>
    <row r="75" spans="1:11" x14ac:dyDescent="0.25">
      <c r="A75" s="13">
        <v>9</v>
      </c>
      <c r="B75" s="13" t="s">
        <v>73</v>
      </c>
      <c r="C75" s="18">
        <v>20.885712386138341</v>
      </c>
      <c r="D75" s="8">
        <v>1</v>
      </c>
      <c r="E75" s="19">
        <v>44021</v>
      </c>
      <c r="F75" s="11">
        <v>17700000</v>
      </c>
      <c r="G75" s="12">
        <f t="shared" si="3"/>
        <v>2.8248587570621469E-6</v>
      </c>
      <c r="H75" s="39">
        <v>1</v>
      </c>
      <c r="I75" s="13"/>
      <c r="J75" s="13"/>
      <c r="K75" s="13" t="str">
        <f t="shared" si="4"/>
        <v>R9</v>
      </c>
    </row>
    <row r="76" spans="1:11" x14ac:dyDescent="0.25">
      <c r="A76" s="13">
        <v>10</v>
      </c>
      <c r="B76" s="13" t="s">
        <v>74</v>
      </c>
      <c r="C76" s="18">
        <v>20.906346664181751</v>
      </c>
      <c r="D76" s="8">
        <v>1</v>
      </c>
      <c r="E76" s="19">
        <v>44017</v>
      </c>
      <c r="F76" s="11">
        <v>8400000</v>
      </c>
      <c r="G76" s="12">
        <f t="shared" si="3"/>
        <v>5.9523809523809525E-6</v>
      </c>
      <c r="H76" s="39">
        <v>0</v>
      </c>
      <c r="I76" s="13"/>
      <c r="J76" s="13"/>
      <c r="K76" s="13" t="str">
        <f t="shared" si="4"/>
        <v>R10</v>
      </c>
    </row>
    <row r="77" spans="1:11" x14ac:dyDescent="0.25">
      <c r="A77" s="13">
        <v>12</v>
      </c>
      <c r="B77" s="13" t="s">
        <v>75</v>
      </c>
      <c r="C77" s="18">
        <v>21.948439017121839</v>
      </c>
      <c r="D77" s="8">
        <v>1</v>
      </c>
      <c r="E77" s="19">
        <v>43906</v>
      </c>
      <c r="F77" s="11">
        <v>8400000</v>
      </c>
      <c r="G77" s="12">
        <f t="shared" si="3"/>
        <v>5.9523809523809525E-6</v>
      </c>
      <c r="H77" s="39">
        <v>1</v>
      </c>
      <c r="I77" s="13"/>
      <c r="J77" s="13"/>
      <c r="K77" s="13" t="str">
        <f t="shared" si="4"/>
        <v>R12</v>
      </c>
    </row>
    <row r="78" spans="1:11" x14ac:dyDescent="0.25">
      <c r="A78" s="13">
        <v>14</v>
      </c>
      <c r="B78" s="20" t="s">
        <v>76</v>
      </c>
      <c r="C78" s="18">
        <v>19.601419431837993</v>
      </c>
      <c r="D78" s="20">
        <v>1</v>
      </c>
      <c r="E78" s="21">
        <v>44022</v>
      </c>
      <c r="F78" s="11">
        <v>45200000</v>
      </c>
      <c r="G78" s="12">
        <f t="shared" si="3"/>
        <v>1.1061946902654867E-6</v>
      </c>
      <c r="H78" s="39">
        <v>1</v>
      </c>
      <c r="I78" s="13"/>
      <c r="J78" s="13"/>
      <c r="K78" s="13" t="str">
        <f t="shared" si="4"/>
        <v>R14</v>
      </c>
    </row>
    <row r="79" spans="1:11" x14ac:dyDescent="0.25">
      <c r="A79" s="13">
        <v>15</v>
      </c>
      <c r="B79" s="20" t="s">
        <v>77</v>
      </c>
      <c r="C79" s="18">
        <v>18.154671777778571</v>
      </c>
      <c r="D79" s="20">
        <v>1</v>
      </c>
      <c r="E79" s="21">
        <v>44022</v>
      </c>
      <c r="F79" s="11">
        <v>30800000</v>
      </c>
      <c r="G79" s="12">
        <f t="shared" si="3"/>
        <v>1.6233766233766235E-6</v>
      </c>
      <c r="H79" s="39">
        <v>1</v>
      </c>
      <c r="I79" s="13"/>
      <c r="J79" s="13"/>
      <c r="K79" s="13" t="str">
        <f t="shared" si="4"/>
        <v>R15</v>
      </c>
    </row>
    <row r="80" spans="1:11" x14ac:dyDescent="0.25">
      <c r="A80" s="13">
        <v>16</v>
      </c>
      <c r="B80" s="20" t="s">
        <v>78</v>
      </c>
      <c r="C80" s="18">
        <v>10.826666666666668</v>
      </c>
      <c r="D80" s="20" t="s">
        <v>134</v>
      </c>
      <c r="E80" s="21">
        <v>44146</v>
      </c>
      <c r="F80" s="11">
        <v>30300</v>
      </c>
      <c r="G80" s="12">
        <f t="shared" si="3"/>
        <v>1.6501650165016502E-3</v>
      </c>
      <c r="H80" s="39">
        <v>1</v>
      </c>
      <c r="I80" s="13"/>
      <c r="J80" s="13"/>
      <c r="K80" s="13" t="str">
        <f t="shared" si="4"/>
        <v>R16</v>
      </c>
    </row>
    <row r="81" spans="1:11" x14ac:dyDescent="0.25">
      <c r="A81" s="13">
        <v>17</v>
      </c>
      <c r="B81" s="20" t="s">
        <v>79</v>
      </c>
      <c r="C81" s="18">
        <v>11.098727262362928</v>
      </c>
      <c r="D81" s="20">
        <v>1</v>
      </c>
      <c r="E81" s="21">
        <v>44022</v>
      </c>
      <c r="F81" s="11">
        <v>20000000</v>
      </c>
      <c r="G81" s="12">
        <f t="shared" si="3"/>
        <v>2.5000000000000002E-6</v>
      </c>
      <c r="H81" s="39">
        <v>1</v>
      </c>
      <c r="I81" s="13"/>
      <c r="J81" s="13"/>
      <c r="K81" s="13" t="str">
        <f t="shared" si="4"/>
        <v>R17</v>
      </c>
    </row>
    <row r="82" spans="1:11" x14ac:dyDescent="0.25">
      <c r="A82" s="13">
        <v>18</v>
      </c>
      <c r="B82" s="20" t="s">
        <v>80</v>
      </c>
      <c r="C82" s="18">
        <v>19.014577227626621</v>
      </c>
      <c r="D82" s="20">
        <v>1</v>
      </c>
      <c r="E82" s="21">
        <v>44022</v>
      </c>
      <c r="F82" s="11">
        <v>33400000</v>
      </c>
      <c r="G82" s="12">
        <f t="shared" si="3"/>
        <v>1.4970059880239521E-6</v>
      </c>
      <c r="H82" s="39">
        <v>1</v>
      </c>
      <c r="I82" s="13"/>
      <c r="J82" s="13"/>
      <c r="K82" s="13" t="str">
        <f t="shared" si="4"/>
        <v>R18</v>
      </c>
    </row>
    <row r="83" spans="1:11" x14ac:dyDescent="0.25">
      <c r="A83" s="13">
        <v>19</v>
      </c>
      <c r="B83" s="20" t="s">
        <v>81</v>
      </c>
      <c r="C83" s="18">
        <v>18.831305527369562</v>
      </c>
      <c r="D83" s="20">
        <v>3</v>
      </c>
      <c r="E83" s="21">
        <v>44022</v>
      </c>
      <c r="F83" s="11">
        <v>80000000</v>
      </c>
      <c r="G83" s="12">
        <f t="shared" si="3"/>
        <v>6.2500000000000005E-7</v>
      </c>
      <c r="H83" s="39">
        <v>1</v>
      </c>
      <c r="I83" s="13"/>
      <c r="J83" s="13"/>
      <c r="K83" s="13" t="str">
        <f t="shared" si="4"/>
        <v>R19</v>
      </c>
    </row>
    <row r="84" spans="1:11" x14ac:dyDescent="0.25">
      <c r="A84" s="13">
        <v>20</v>
      </c>
      <c r="B84" s="20" t="s">
        <v>82</v>
      </c>
      <c r="C84" s="18">
        <v>7.1748861796606631</v>
      </c>
      <c r="D84" s="20">
        <v>3</v>
      </c>
      <c r="E84" s="21">
        <v>44022</v>
      </c>
      <c r="F84" s="11">
        <v>1220000</v>
      </c>
      <c r="G84" s="12">
        <f t="shared" si="3"/>
        <v>4.0983606557377049E-5</v>
      </c>
      <c r="H84" s="39">
        <v>1</v>
      </c>
      <c r="I84" s="13"/>
      <c r="J84" s="13"/>
      <c r="K84" s="13" t="str">
        <f t="shared" si="4"/>
        <v>R20</v>
      </c>
    </row>
    <row r="85" spans="1:11" x14ac:dyDescent="0.25">
      <c r="A85" s="13">
        <v>22</v>
      </c>
      <c r="B85" s="20" t="s">
        <v>83</v>
      </c>
      <c r="C85" s="18">
        <v>15.872102778091234</v>
      </c>
      <c r="D85" s="20">
        <v>1</v>
      </c>
      <c r="E85" s="21">
        <v>44011</v>
      </c>
      <c r="F85" s="11">
        <v>51800000</v>
      </c>
      <c r="G85" s="12">
        <f t="shared" si="3"/>
        <v>9.6525096525096527E-7</v>
      </c>
      <c r="H85" s="39">
        <v>0</v>
      </c>
      <c r="I85" s="13"/>
      <c r="J85" s="13"/>
      <c r="K85" s="13" t="str">
        <f t="shared" si="4"/>
        <v>R22</v>
      </c>
    </row>
    <row r="86" spans="1:11" x14ac:dyDescent="0.25">
      <c r="A86" s="13">
        <v>23</v>
      </c>
      <c r="B86" s="20" t="s">
        <v>84</v>
      </c>
      <c r="C86" s="18">
        <v>20.164845166546645</v>
      </c>
      <c r="D86" s="20">
        <v>1</v>
      </c>
      <c r="E86" s="21">
        <v>44011</v>
      </c>
      <c r="F86" s="11">
        <v>43400000</v>
      </c>
      <c r="G86" s="12">
        <f t="shared" si="3"/>
        <v>1.152073732718894E-6</v>
      </c>
      <c r="H86" s="39">
        <v>0</v>
      </c>
      <c r="I86" s="13"/>
      <c r="J86" s="13"/>
      <c r="K86" s="13" t="str">
        <f t="shared" si="4"/>
        <v>R23</v>
      </c>
    </row>
    <row r="87" spans="1:11" x14ac:dyDescent="0.25">
      <c r="A87" s="13">
        <v>24</v>
      </c>
      <c r="B87" s="20" t="s">
        <v>85</v>
      </c>
      <c r="C87" s="18">
        <v>18.672718960390029</v>
      </c>
      <c r="D87" s="20">
        <v>1</v>
      </c>
      <c r="E87" s="21">
        <v>44040</v>
      </c>
      <c r="F87" s="11">
        <v>336000000</v>
      </c>
      <c r="G87" s="12">
        <f t="shared" si="3"/>
        <v>1.488095238095238E-7</v>
      </c>
      <c r="H87" s="39">
        <v>1</v>
      </c>
      <c r="I87" s="13"/>
      <c r="J87" s="13"/>
      <c r="K87" s="13" t="str">
        <f t="shared" si="4"/>
        <v>R24</v>
      </c>
    </row>
    <row r="88" spans="1:11" x14ac:dyDescent="0.25">
      <c r="A88" s="13">
        <v>25</v>
      </c>
      <c r="B88" s="20" t="s">
        <v>86</v>
      </c>
      <c r="C88" s="18">
        <v>19.280304603660692</v>
      </c>
      <c r="D88" s="20">
        <v>1</v>
      </c>
      <c r="E88" s="21">
        <v>44040</v>
      </c>
      <c r="F88" s="11">
        <v>350000000</v>
      </c>
      <c r="G88" s="12">
        <f t="shared" si="3"/>
        <v>1.4285714285714285E-7</v>
      </c>
      <c r="H88" s="39">
        <v>1</v>
      </c>
      <c r="I88" s="13"/>
      <c r="J88" s="13"/>
      <c r="K88" s="13" t="str">
        <f t="shared" si="4"/>
        <v>R25</v>
      </c>
    </row>
    <row r="89" spans="1:11" x14ac:dyDescent="0.25">
      <c r="A89" s="13">
        <v>26</v>
      </c>
      <c r="B89" s="20" t="s">
        <v>87</v>
      </c>
      <c r="C89" s="18">
        <v>19.474184384808154</v>
      </c>
      <c r="D89" s="20">
        <v>1</v>
      </c>
      <c r="E89" s="21">
        <v>44040</v>
      </c>
      <c r="F89" s="11">
        <v>378000000</v>
      </c>
      <c r="G89" s="12">
        <f t="shared" si="3"/>
        <v>1.3227513227513228E-7</v>
      </c>
      <c r="H89" s="39">
        <v>1</v>
      </c>
      <c r="I89" s="13"/>
      <c r="J89" s="13"/>
      <c r="K89" s="13" t="str">
        <f t="shared" si="4"/>
        <v>R26</v>
      </c>
    </row>
    <row r="90" spans="1:11" x14ac:dyDescent="0.25">
      <c r="A90" s="13">
        <v>27</v>
      </c>
      <c r="B90" s="20" t="s">
        <v>88</v>
      </c>
      <c r="C90" s="18">
        <v>18.560610281445097</v>
      </c>
      <c r="D90" s="20">
        <v>1</v>
      </c>
      <c r="E90" s="21">
        <v>44040</v>
      </c>
      <c r="F90" s="11">
        <v>370000000</v>
      </c>
      <c r="G90" s="12">
        <f t="shared" si="3"/>
        <v>1.3513513513513515E-7</v>
      </c>
      <c r="H90" s="39">
        <v>1</v>
      </c>
      <c r="I90" s="13"/>
      <c r="J90" s="13"/>
      <c r="K90" s="13" t="str">
        <f t="shared" si="4"/>
        <v>R27</v>
      </c>
    </row>
    <row r="91" spans="1:11" x14ac:dyDescent="0.25">
      <c r="A91" s="13">
        <v>28</v>
      </c>
      <c r="B91" s="20" t="s">
        <v>89</v>
      </c>
      <c r="C91" s="18">
        <v>19.321009610973665</v>
      </c>
      <c r="D91" s="20">
        <v>1</v>
      </c>
      <c r="E91" s="21">
        <v>44040</v>
      </c>
      <c r="F91" s="11">
        <v>558000000</v>
      </c>
      <c r="G91" s="12">
        <f t="shared" si="3"/>
        <v>8.960573476702509E-8</v>
      </c>
      <c r="H91" s="39">
        <v>1</v>
      </c>
      <c r="I91" s="13"/>
      <c r="J91" s="13"/>
      <c r="K91" s="13" t="str">
        <f t="shared" si="4"/>
        <v>R28</v>
      </c>
    </row>
    <row r="92" spans="1:11" x14ac:dyDescent="0.25">
      <c r="A92" s="13">
        <v>29</v>
      </c>
      <c r="B92" s="20" t="s">
        <v>90</v>
      </c>
      <c r="C92" s="18">
        <v>18.134853065445814</v>
      </c>
      <c r="D92" s="20">
        <v>1</v>
      </c>
      <c r="E92" s="21">
        <v>44040</v>
      </c>
      <c r="F92" s="11">
        <v>448000000</v>
      </c>
      <c r="G92" s="12">
        <f t="shared" si="3"/>
        <v>1.1160714285714285E-7</v>
      </c>
      <c r="H92" s="39">
        <v>1</v>
      </c>
      <c r="I92" s="13"/>
      <c r="J92" s="13"/>
      <c r="K92" s="13" t="str">
        <f t="shared" si="4"/>
        <v>R29</v>
      </c>
    </row>
    <row r="93" spans="1:11" x14ac:dyDescent="0.25">
      <c r="A93" s="13">
        <v>30</v>
      </c>
      <c r="B93" s="20" t="s">
        <v>91</v>
      </c>
      <c r="C93" s="18">
        <v>19.694375042251593</v>
      </c>
      <c r="D93" s="20">
        <v>1</v>
      </c>
      <c r="E93" s="21">
        <v>44040</v>
      </c>
      <c r="F93" s="11">
        <v>146000000</v>
      </c>
      <c r="G93" s="12">
        <f t="shared" si="3"/>
        <v>3.4246575342465755E-7</v>
      </c>
      <c r="H93" s="39">
        <v>1</v>
      </c>
      <c r="I93" s="13"/>
      <c r="J93" s="13"/>
      <c r="K93" s="13" t="str">
        <f t="shared" si="4"/>
        <v>R30</v>
      </c>
    </row>
    <row r="94" spans="1:11" x14ac:dyDescent="0.25">
      <c r="A94" s="13">
        <v>31</v>
      </c>
      <c r="B94" s="20" t="s">
        <v>92</v>
      </c>
      <c r="C94" s="18">
        <v>19.356567346855545</v>
      </c>
      <c r="D94" s="20">
        <v>1</v>
      </c>
      <c r="E94" s="21">
        <v>44040</v>
      </c>
      <c r="F94" s="11">
        <v>458000000</v>
      </c>
      <c r="G94" s="12">
        <f t="shared" si="3"/>
        <v>1.091703056768559E-7</v>
      </c>
      <c r="H94" s="39">
        <v>1</v>
      </c>
      <c r="I94" s="13"/>
      <c r="J94" s="13"/>
      <c r="K94" s="13" t="str">
        <f t="shared" si="4"/>
        <v>R31</v>
      </c>
    </row>
    <row r="95" spans="1:11" x14ac:dyDescent="0.25">
      <c r="A95" s="13">
        <v>32</v>
      </c>
      <c r="B95" s="20" t="s">
        <v>93</v>
      </c>
      <c r="C95" s="18">
        <v>18.396588415175302</v>
      </c>
      <c r="D95" s="20" t="s">
        <v>135</v>
      </c>
      <c r="E95" s="21">
        <v>44082</v>
      </c>
      <c r="F95" s="11">
        <v>142000000</v>
      </c>
      <c r="G95" s="12">
        <f t="shared" si="3"/>
        <v>3.5211267605633803E-7</v>
      </c>
      <c r="H95" s="39">
        <v>1</v>
      </c>
      <c r="I95" s="13"/>
      <c r="J95" s="13"/>
      <c r="K95" s="13" t="str">
        <f t="shared" si="4"/>
        <v>R32</v>
      </c>
    </row>
    <row r="96" spans="1:11" x14ac:dyDescent="0.25">
      <c r="A96" s="13">
        <v>33</v>
      </c>
      <c r="B96" s="20" t="s">
        <v>94</v>
      </c>
      <c r="C96" s="18">
        <v>20.721294179655004</v>
      </c>
      <c r="D96" s="20" t="s">
        <v>135</v>
      </c>
      <c r="E96" s="21">
        <v>44082</v>
      </c>
      <c r="F96" s="11">
        <v>65000000</v>
      </c>
      <c r="G96" s="12">
        <f t="shared" si="3"/>
        <v>7.6923076923076925E-7</v>
      </c>
      <c r="H96" s="39">
        <v>1</v>
      </c>
      <c r="I96" s="13"/>
      <c r="J96" s="13"/>
      <c r="K96" s="13" t="str">
        <f t="shared" si="4"/>
        <v>R33</v>
      </c>
    </row>
    <row r="97" spans="1:11" x14ac:dyDescent="0.25">
      <c r="A97" s="13">
        <v>34</v>
      </c>
      <c r="B97" s="20" t="s">
        <v>95</v>
      </c>
      <c r="C97" s="18">
        <v>20.173348472823484</v>
      </c>
      <c r="D97" s="20">
        <v>1</v>
      </c>
      <c r="E97" s="21">
        <v>44032</v>
      </c>
      <c r="F97" s="11">
        <v>254000000</v>
      </c>
      <c r="G97" s="12">
        <f t="shared" si="3"/>
        <v>1.968503937007874E-7</v>
      </c>
      <c r="H97" s="39">
        <v>0</v>
      </c>
      <c r="I97" s="13"/>
      <c r="J97" s="13"/>
      <c r="K97" s="13" t="str">
        <f t="shared" si="4"/>
        <v>R34</v>
      </c>
    </row>
    <row r="98" spans="1:11" x14ac:dyDescent="0.25">
      <c r="A98" s="13">
        <v>35</v>
      </c>
      <c r="B98" s="20" t="s">
        <v>96</v>
      </c>
      <c r="C98" s="18">
        <v>18.301917618862589</v>
      </c>
      <c r="D98" s="20">
        <v>1</v>
      </c>
      <c r="E98" s="21">
        <v>44032</v>
      </c>
      <c r="F98" s="11">
        <v>236000000</v>
      </c>
      <c r="G98" s="12">
        <f t="shared" si="3"/>
        <v>2.1186440677966102E-7</v>
      </c>
      <c r="H98" s="39">
        <v>0</v>
      </c>
      <c r="I98" s="13"/>
      <c r="J98" s="13"/>
      <c r="K98" s="13" t="str">
        <f t="shared" si="4"/>
        <v>R35</v>
      </c>
    </row>
    <row r="99" spans="1:11" x14ac:dyDescent="0.25">
      <c r="A99" s="13">
        <v>36</v>
      </c>
      <c r="B99" s="20" t="s">
        <v>97</v>
      </c>
      <c r="C99" s="18">
        <v>19.195295049560798</v>
      </c>
      <c r="D99" s="20">
        <v>1</v>
      </c>
      <c r="E99" s="21">
        <v>44032</v>
      </c>
      <c r="F99" s="13" t="s">
        <v>132</v>
      </c>
      <c r="G99" s="12" t="e">
        <f t="shared" si="3"/>
        <v>#VALUE!</v>
      </c>
      <c r="H99" s="39">
        <v>1</v>
      </c>
      <c r="I99" s="13"/>
      <c r="J99" s="13"/>
      <c r="K99" s="13" t="str">
        <f t="shared" si="4"/>
        <v>R36</v>
      </c>
    </row>
    <row r="100" spans="1:11" x14ac:dyDescent="0.25">
      <c r="A100" s="13">
        <v>37</v>
      </c>
      <c r="B100" s="20" t="s">
        <v>98</v>
      </c>
      <c r="C100" s="18">
        <v>18.836517335268631</v>
      </c>
      <c r="D100" s="20">
        <v>1</v>
      </c>
      <c r="E100" s="21">
        <v>44099</v>
      </c>
      <c r="F100" s="11">
        <v>506000000</v>
      </c>
      <c r="G100" s="12">
        <f t="shared" si="3"/>
        <v>9.8814229249011855E-8</v>
      </c>
      <c r="H100" s="39">
        <v>1</v>
      </c>
      <c r="I100" s="13"/>
      <c r="J100" s="13"/>
      <c r="K100" s="13" t="str">
        <f t="shared" ref="K100:K120" si="5">CONCATENATE("R",A100)</f>
        <v>R37</v>
      </c>
    </row>
    <row r="101" spans="1:11" x14ac:dyDescent="0.25">
      <c r="A101" s="13">
        <v>38</v>
      </c>
      <c r="B101" s="20" t="s">
        <v>99</v>
      </c>
      <c r="C101" s="18">
        <v>20.660777488746731</v>
      </c>
      <c r="D101" s="20">
        <v>1</v>
      </c>
      <c r="E101" s="21">
        <v>44099</v>
      </c>
      <c r="F101" s="11">
        <v>339000000</v>
      </c>
      <c r="G101" s="12">
        <f t="shared" si="3"/>
        <v>1.4749262536873157E-7</v>
      </c>
      <c r="H101" s="39">
        <v>1</v>
      </c>
      <c r="I101" s="13"/>
      <c r="J101" s="13"/>
      <c r="K101" s="13" t="str">
        <f t="shared" si="5"/>
        <v>R38</v>
      </c>
    </row>
    <row r="102" spans="1:11" x14ac:dyDescent="0.25">
      <c r="A102" s="13">
        <v>39</v>
      </c>
      <c r="B102" s="20" t="s">
        <v>100</v>
      </c>
      <c r="C102" s="18">
        <v>19.01311174040621</v>
      </c>
      <c r="D102" s="20">
        <v>1</v>
      </c>
      <c r="E102" s="21">
        <v>44099</v>
      </c>
      <c r="F102" s="11">
        <v>511000000</v>
      </c>
      <c r="G102" s="12">
        <f t="shared" si="3"/>
        <v>9.7847358121330724E-8</v>
      </c>
      <c r="H102" s="39">
        <v>1</v>
      </c>
      <c r="I102" s="13"/>
      <c r="J102" s="13"/>
      <c r="K102" s="13" t="str">
        <f t="shared" si="5"/>
        <v>R39</v>
      </c>
    </row>
    <row r="103" spans="1:11" x14ac:dyDescent="0.25">
      <c r="A103" s="13">
        <v>40</v>
      </c>
      <c r="B103" s="20" t="s">
        <v>101</v>
      </c>
      <c r="C103" s="18">
        <v>18.970680560710264</v>
      </c>
      <c r="D103" s="20">
        <v>1</v>
      </c>
      <c r="E103" s="21">
        <v>44099</v>
      </c>
      <c r="F103" s="11">
        <v>373000000</v>
      </c>
      <c r="G103" s="12">
        <f t="shared" si="3"/>
        <v>1.3404825737265415E-7</v>
      </c>
      <c r="H103" s="39">
        <v>1</v>
      </c>
      <c r="I103" s="13"/>
      <c r="J103" s="13"/>
      <c r="K103" s="13" t="str">
        <f t="shared" si="5"/>
        <v>R40</v>
      </c>
    </row>
    <row r="104" spans="1:11" x14ac:dyDescent="0.25">
      <c r="A104" s="13">
        <v>41</v>
      </c>
      <c r="B104" s="20" t="s">
        <v>102</v>
      </c>
      <c r="C104" s="18">
        <v>16.617512690466945</v>
      </c>
      <c r="D104" s="20">
        <v>1</v>
      </c>
      <c r="E104" s="21">
        <v>44099</v>
      </c>
      <c r="F104" s="11">
        <v>498000000</v>
      </c>
      <c r="G104" s="12">
        <f t="shared" si="3"/>
        <v>1.0040160642570281E-7</v>
      </c>
      <c r="H104" s="39">
        <v>1</v>
      </c>
      <c r="I104" s="13"/>
      <c r="J104" s="13"/>
      <c r="K104" s="13" t="str">
        <f t="shared" si="5"/>
        <v>R41</v>
      </c>
    </row>
    <row r="105" spans="1:11" x14ac:dyDescent="0.25">
      <c r="A105" s="13">
        <v>42</v>
      </c>
      <c r="B105" s="20" t="s">
        <v>103</v>
      </c>
      <c r="C105" s="18">
        <v>16.988203393741081</v>
      </c>
      <c r="D105" s="20">
        <v>1</v>
      </c>
      <c r="E105" s="21">
        <v>44099</v>
      </c>
      <c r="F105" s="11">
        <v>431000000</v>
      </c>
      <c r="G105" s="12">
        <f t="shared" si="3"/>
        <v>1.160092807424594E-7</v>
      </c>
      <c r="H105" s="39">
        <v>1</v>
      </c>
      <c r="I105" s="13"/>
      <c r="J105" s="13"/>
      <c r="K105" s="13" t="str">
        <f t="shared" si="5"/>
        <v>R42</v>
      </c>
    </row>
    <row r="106" spans="1:11" x14ac:dyDescent="0.25">
      <c r="A106" s="13">
        <v>43</v>
      </c>
      <c r="B106" s="20" t="s">
        <v>104</v>
      </c>
      <c r="C106" s="18">
        <v>9.9763869188268135</v>
      </c>
      <c r="D106" s="20">
        <v>1</v>
      </c>
      <c r="E106" s="21">
        <v>44099</v>
      </c>
      <c r="F106" s="11">
        <v>254000000</v>
      </c>
      <c r="G106" s="12">
        <f t="shared" si="3"/>
        <v>1.968503937007874E-7</v>
      </c>
      <c r="H106" s="39">
        <v>1</v>
      </c>
      <c r="I106" s="13"/>
      <c r="J106" s="13"/>
      <c r="K106" s="13" t="str">
        <f t="shared" si="5"/>
        <v>R43</v>
      </c>
    </row>
    <row r="107" spans="1:11" x14ac:dyDescent="0.25">
      <c r="A107" s="13">
        <v>44</v>
      </c>
      <c r="B107" s="20" t="s">
        <v>105</v>
      </c>
      <c r="C107" s="18">
        <v>9.9668996667189518</v>
      </c>
      <c r="D107" s="20">
        <v>1</v>
      </c>
      <c r="E107" s="21">
        <v>44099</v>
      </c>
      <c r="F107" s="11">
        <v>164000000</v>
      </c>
      <c r="G107" s="12">
        <f t="shared" si="3"/>
        <v>3.0487804878048779E-7</v>
      </c>
      <c r="H107" s="39">
        <v>1</v>
      </c>
      <c r="I107" s="13"/>
      <c r="J107" s="13"/>
      <c r="K107" s="13" t="str">
        <f t="shared" si="5"/>
        <v>R44</v>
      </c>
    </row>
    <row r="108" spans="1:11" x14ac:dyDescent="0.25">
      <c r="A108" s="13">
        <v>45</v>
      </c>
      <c r="B108" s="20" t="s">
        <v>106</v>
      </c>
      <c r="C108" s="18">
        <v>13.657485089355466</v>
      </c>
      <c r="D108" s="20">
        <v>1</v>
      </c>
      <c r="E108" s="21">
        <v>44099</v>
      </c>
      <c r="F108" s="11">
        <v>342000000</v>
      </c>
      <c r="G108" s="12">
        <f t="shared" si="3"/>
        <v>1.4619883040935672E-7</v>
      </c>
      <c r="H108" s="39">
        <v>1</v>
      </c>
      <c r="I108" s="13"/>
      <c r="J108" s="13"/>
      <c r="K108" s="13" t="str">
        <f t="shared" si="5"/>
        <v>R45</v>
      </c>
    </row>
    <row r="109" spans="1:11" x14ac:dyDescent="0.25">
      <c r="A109" s="13">
        <v>46</v>
      </c>
      <c r="B109" s="20" t="s">
        <v>107</v>
      </c>
      <c r="C109" s="18">
        <v>7.7222071673317858</v>
      </c>
      <c r="D109" s="20">
        <v>1</v>
      </c>
      <c r="E109" s="21">
        <v>44105</v>
      </c>
      <c r="F109" s="11">
        <v>75000000</v>
      </c>
      <c r="G109" s="12">
        <f t="shared" si="3"/>
        <v>6.6666666666666671E-7</v>
      </c>
      <c r="H109" s="39">
        <v>1</v>
      </c>
      <c r="I109" s="13"/>
      <c r="J109" s="13"/>
      <c r="K109" s="13" t="str">
        <f t="shared" si="5"/>
        <v>R46</v>
      </c>
    </row>
    <row r="110" spans="1:11" x14ac:dyDescent="0.25">
      <c r="A110" s="13">
        <v>47</v>
      </c>
      <c r="B110" s="20" t="s">
        <v>108</v>
      </c>
      <c r="C110" s="18">
        <v>18.938457049065104</v>
      </c>
      <c r="D110" s="20">
        <v>1</v>
      </c>
      <c r="E110" s="21">
        <v>44105</v>
      </c>
      <c r="F110" s="11">
        <v>380000000</v>
      </c>
      <c r="G110" s="12">
        <f t="shared" si="3"/>
        <v>1.3157894736842104E-7</v>
      </c>
      <c r="H110" s="39">
        <v>1</v>
      </c>
      <c r="I110" s="13"/>
      <c r="J110" s="13"/>
      <c r="K110" s="13" t="str">
        <f t="shared" si="5"/>
        <v>R47</v>
      </c>
    </row>
    <row r="111" spans="1:11" x14ac:dyDescent="0.25">
      <c r="A111" s="13">
        <v>48</v>
      </c>
      <c r="B111" s="20" t="s">
        <v>109</v>
      </c>
      <c r="C111" s="18">
        <v>17.966152446602326</v>
      </c>
      <c r="D111" s="20">
        <v>1</v>
      </c>
      <c r="E111" s="21">
        <v>44105</v>
      </c>
      <c r="F111" s="11">
        <v>404000000</v>
      </c>
      <c r="G111" s="12">
        <f t="shared" si="3"/>
        <v>1.2376237623762377E-7</v>
      </c>
      <c r="H111" s="39">
        <v>1</v>
      </c>
      <c r="I111" s="13"/>
      <c r="J111" s="13"/>
      <c r="K111" s="13" t="str">
        <f t="shared" si="5"/>
        <v>R48</v>
      </c>
    </row>
    <row r="112" spans="1:11" x14ac:dyDescent="0.25">
      <c r="A112" s="13">
        <v>49</v>
      </c>
      <c r="B112" s="20" t="s">
        <v>110</v>
      </c>
      <c r="C112" s="18">
        <v>19.222951747219316</v>
      </c>
      <c r="D112" s="20">
        <v>1</v>
      </c>
      <c r="E112" s="21">
        <v>44105</v>
      </c>
      <c r="F112" s="11">
        <v>124000000</v>
      </c>
      <c r="G112" s="12">
        <f t="shared" si="3"/>
        <v>4.032258064516129E-7</v>
      </c>
      <c r="H112" s="39">
        <v>1</v>
      </c>
      <c r="I112" s="13"/>
      <c r="J112" s="13"/>
      <c r="K112" s="13" t="str">
        <f t="shared" si="5"/>
        <v>R49</v>
      </c>
    </row>
    <row r="113" spans="1:11" x14ac:dyDescent="0.25">
      <c r="A113" s="13">
        <v>50</v>
      </c>
      <c r="B113" s="20" t="s">
        <v>111</v>
      </c>
      <c r="C113" s="18">
        <v>19.857056925428008</v>
      </c>
      <c r="D113" s="20">
        <v>1</v>
      </c>
      <c r="E113" s="21">
        <v>44099</v>
      </c>
      <c r="F113" s="11">
        <v>222000000</v>
      </c>
      <c r="G113" s="12">
        <f t="shared" si="3"/>
        <v>2.2522522522522522E-7</v>
      </c>
      <c r="H113" s="39">
        <v>1</v>
      </c>
      <c r="I113" s="13"/>
      <c r="J113" s="13"/>
      <c r="K113" s="13" t="str">
        <f t="shared" si="5"/>
        <v>R50</v>
      </c>
    </row>
    <row r="114" spans="1:11" x14ac:dyDescent="0.25">
      <c r="A114" s="13">
        <v>51</v>
      </c>
      <c r="B114" s="20" t="s">
        <v>112</v>
      </c>
      <c r="C114" s="18">
        <v>14.473459592236644</v>
      </c>
      <c r="D114" s="20">
        <v>1</v>
      </c>
      <c r="E114" s="21">
        <v>44099</v>
      </c>
      <c r="F114" s="11">
        <v>398000000</v>
      </c>
      <c r="G114" s="12">
        <f t="shared" si="3"/>
        <v>1.2562814070351758E-7</v>
      </c>
      <c r="H114" s="39">
        <v>1</v>
      </c>
      <c r="I114" s="13"/>
      <c r="J114" s="13"/>
      <c r="K114" s="13" t="str">
        <f t="shared" si="5"/>
        <v>R51</v>
      </c>
    </row>
    <row r="115" spans="1:11" x14ac:dyDescent="0.25">
      <c r="A115" s="13">
        <v>52</v>
      </c>
      <c r="B115" s="20" t="s">
        <v>113</v>
      </c>
      <c r="C115" s="18">
        <v>15.636156353144647</v>
      </c>
      <c r="D115" s="20">
        <v>1</v>
      </c>
      <c r="E115" s="21">
        <v>44099</v>
      </c>
      <c r="F115" s="11">
        <v>150000000</v>
      </c>
      <c r="G115" s="12">
        <f t="shared" si="3"/>
        <v>3.3333333333333335E-7</v>
      </c>
      <c r="H115" s="39">
        <v>1</v>
      </c>
      <c r="I115" s="13"/>
      <c r="J115" s="13"/>
      <c r="K115" s="13" t="str">
        <f t="shared" si="5"/>
        <v>R52</v>
      </c>
    </row>
    <row r="116" spans="1:11" x14ac:dyDescent="0.25">
      <c r="A116" s="13">
        <v>53</v>
      </c>
      <c r="B116" s="20" t="s">
        <v>114</v>
      </c>
      <c r="C116" s="18">
        <v>11.349034315624804</v>
      </c>
      <c r="D116" s="20">
        <v>1</v>
      </c>
      <c r="E116" s="21">
        <v>44099</v>
      </c>
      <c r="F116" s="11">
        <v>228000000</v>
      </c>
      <c r="G116" s="12">
        <f t="shared" si="3"/>
        <v>2.1929824561403509E-7</v>
      </c>
      <c r="H116" s="39">
        <v>1</v>
      </c>
      <c r="I116" s="13"/>
      <c r="J116" s="13"/>
      <c r="K116" s="13" t="str">
        <f t="shared" si="5"/>
        <v>R53</v>
      </c>
    </row>
    <row r="117" spans="1:11" x14ac:dyDescent="0.25">
      <c r="A117" s="13">
        <v>54</v>
      </c>
      <c r="B117" s="20" t="s">
        <v>115</v>
      </c>
      <c r="C117" s="18">
        <v>6.4090694551357688</v>
      </c>
      <c r="D117" s="20">
        <v>1</v>
      </c>
      <c r="E117" s="21">
        <v>44099</v>
      </c>
      <c r="F117" s="11">
        <v>13800000</v>
      </c>
      <c r="G117" s="12">
        <f t="shared" si="3"/>
        <v>3.6231884057971013E-6</v>
      </c>
      <c r="H117" s="39">
        <v>1</v>
      </c>
      <c r="I117" s="13"/>
      <c r="J117" s="13"/>
      <c r="K117" s="13" t="str">
        <f t="shared" si="5"/>
        <v>R54</v>
      </c>
    </row>
    <row r="118" spans="1:11" x14ac:dyDescent="0.25">
      <c r="A118" s="13">
        <v>55</v>
      </c>
      <c r="B118" s="20" t="s">
        <v>116</v>
      </c>
      <c r="C118" s="18">
        <v>12.066949178254243</v>
      </c>
      <c r="D118" s="20">
        <v>1</v>
      </c>
      <c r="E118" s="21">
        <v>44099</v>
      </c>
      <c r="F118" s="11">
        <v>33000000</v>
      </c>
      <c r="G118" s="12">
        <f t="shared" si="3"/>
        <v>1.5151515151515152E-6</v>
      </c>
      <c r="H118" s="39">
        <v>1</v>
      </c>
      <c r="I118" s="13"/>
      <c r="J118" s="13"/>
      <c r="K118" s="13" t="str">
        <f t="shared" si="5"/>
        <v>R55</v>
      </c>
    </row>
    <row r="119" spans="1:11" x14ac:dyDescent="0.25">
      <c r="A119" s="13">
        <v>56</v>
      </c>
      <c r="B119" s="20" t="s">
        <v>117</v>
      </c>
      <c r="C119" s="18">
        <v>17.470658589118408</v>
      </c>
      <c r="D119" s="20">
        <v>1</v>
      </c>
      <c r="E119" s="21">
        <v>44099</v>
      </c>
      <c r="F119" s="11">
        <v>218000000</v>
      </c>
      <c r="G119" s="12">
        <f t="shared" si="3"/>
        <v>2.2935779816513761E-7</v>
      </c>
      <c r="H119" s="39">
        <v>1</v>
      </c>
      <c r="I119" s="13"/>
      <c r="J119" s="13"/>
      <c r="K119" s="13" t="str">
        <f t="shared" si="5"/>
        <v>R56</v>
      </c>
    </row>
    <row r="120" spans="1:11" x14ac:dyDescent="0.25">
      <c r="A120" s="13">
        <v>58</v>
      </c>
      <c r="B120" s="20" t="s">
        <v>118</v>
      </c>
      <c r="C120" s="18">
        <v>20.998346287837439</v>
      </c>
      <c r="D120" s="20">
        <v>1</v>
      </c>
      <c r="E120" s="21">
        <v>44126</v>
      </c>
      <c r="F120" s="11">
        <v>56000000</v>
      </c>
      <c r="G120" s="12">
        <f t="shared" si="3"/>
        <v>8.9285714285714284E-7</v>
      </c>
      <c r="H120" s="39">
        <v>1</v>
      </c>
      <c r="I120" s="13"/>
      <c r="J120" s="13"/>
      <c r="K120" s="13" t="str">
        <f t="shared" si="5"/>
        <v>R58</v>
      </c>
    </row>
    <row r="121" spans="1:11" x14ac:dyDescent="0.25">
      <c r="A121" s="13">
        <v>60</v>
      </c>
      <c r="B121" s="20" t="s">
        <v>119</v>
      </c>
      <c r="C121" s="18">
        <v>16.434984953461999</v>
      </c>
      <c r="D121" s="22" t="s">
        <v>130</v>
      </c>
      <c r="E121" s="21">
        <v>44146</v>
      </c>
      <c r="F121" s="11">
        <v>2910000</v>
      </c>
      <c r="G121" s="12">
        <f t="shared" ref="G121:G127" si="6">50/F121</f>
        <v>1.7182130584192438E-5</v>
      </c>
      <c r="H121" s="39">
        <v>1</v>
      </c>
      <c r="I121" s="13"/>
      <c r="J121" s="13"/>
      <c r="K121" s="13" t="str">
        <f t="shared" ref="K121:K127" si="7">CONCATENATE("R",A121)</f>
        <v>R60</v>
      </c>
    </row>
    <row r="122" spans="1:11" x14ac:dyDescent="0.25">
      <c r="A122" s="13">
        <v>61</v>
      </c>
      <c r="B122" s="20" t="s">
        <v>120</v>
      </c>
      <c r="C122" s="18">
        <v>20.019276606995621</v>
      </c>
      <c r="D122" s="20">
        <v>1</v>
      </c>
      <c r="E122" s="21">
        <v>43899</v>
      </c>
      <c r="F122" s="11">
        <v>5600000</v>
      </c>
      <c r="G122" s="12">
        <f t="shared" si="6"/>
        <v>8.9285714285714292E-6</v>
      </c>
      <c r="H122" s="39">
        <v>1</v>
      </c>
      <c r="I122" s="13"/>
      <c r="J122" s="13"/>
      <c r="K122" s="13" t="str">
        <f t="shared" si="7"/>
        <v>R61</v>
      </c>
    </row>
    <row r="123" spans="1:11" x14ac:dyDescent="0.25">
      <c r="A123" s="13">
        <v>62</v>
      </c>
      <c r="B123" s="20" t="s">
        <v>121</v>
      </c>
      <c r="C123" s="18">
        <v>19.65827979432682</v>
      </c>
      <c r="D123" s="20">
        <v>1</v>
      </c>
      <c r="E123" s="21">
        <v>43899</v>
      </c>
      <c r="F123" s="11">
        <v>1240000</v>
      </c>
      <c r="G123" s="12">
        <f t="shared" si="6"/>
        <v>4.032258064516129E-5</v>
      </c>
      <c r="H123" s="39">
        <v>1</v>
      </c>
      <c r="I123" s="13"/>
      <c r="J123" s="13"/>
      <c r="K123" s="13" t="str">
        <f t="shared" si="7"/>
        <v>R62</v>
      </c>
    </row>
    <row r="124" spans="1:11" x14ac:dyDescent="0.25">
      <c r="A124" s="13">
        <v>63</v>
      </c>
      <c r="B124" s="20" t="s">
        <v>122</v>
      </c>
      <c r="C124" s="18">
        <v>16.698528908130172</v>
      </c>
      <c r="D124" s="20">
        <v>1</v>
      </c>
      <c r="E124" s="21">
        <v>44105</v>
      </c>
      <c r="F124" s="11">
        <v>18400000</v>
      </c>
      <c r="G124" s="12">
        <f t="shared" si="6"/>
        <v>2.7173913043478263E-6</v>
      </c>
      <c r="H124" s="39">
        <v>1</v>
      </c>
      <c r="I124" s="13"/>
      <c r="J124" s="13"/>
      <c r="K124" s="13" t="str">
        <f t="shared" si="7"/>
        <v>R63</v>
      </c>
    </row>
    <row r="125" spans="1:11" x14ac:dyDescent="0.25">
      <c r="A125" s="13">
        <v>64</v>
      </c>
      <c r="B125" s="20" t="s">
        <v>123</v>
      </c>
      <c r="C125" s="18">
        <v>20.900179336673407</v>
      </c>
      <c r="D125" s="20">
        <v>1</v>
      </c>
      <c r="E125" s="21">
        <v>44105</v>
      </c>
      <c r="F125" s="11">
        <v>34000000</v>
      </c>
      <c r="G125" s="12">
        <f t="shared" si="6"/>
        <v>1.4705882352941177E-6</v>
      </c>
      <c r="H125" s="39">
        <v>1</v>
      </c>
      <c r="I125" s="13"/>
      <c r="J125" s="13"/>
      <c r="K125" s="13" t="str">
        <f t="shared" si="7"/>
        <v>R64</v>
      </c>
    </row>
    <row r="126" spans="1:11" x14ac:dyDescent="0.25">
      <c r="A126" s="13">
        <v>65</v>
      </c>
      <c r="B126" s="20" t="s">
        <v>124</v>
      </c>
      <c r="C126" s="18">
        <v>19.31874005939039</v>
      </c>
      <c r="D126" s="20">
        <v>1</v>
      </c>
      <c r="E126" s="21">
        <v>44105</v>
      </c>
      <c r="F126" s="11">
        <v>77000000</v>
      </c>
      <c r="G126" s="12">
        <f t="shared" si="6"/>
        <v>6.493506493506493E-7</v>
      </c>
      <c r="H126" s="39">
        <v>1</v>
      </c>
      <c r="I126" s="13"/>
      <c r="J126" s="13"/>
      <c r="K126" s="13" t="str">
        <f t="shared" si="7"/>
        <v>R65</v>
      </c>
    </row>
    <row r="127" spans="1:11" x14ac:dyDescent="0.25">
      <c r="A127" s="13">
        <v>66</v>
      </c>
      <c r="B127" s="20" t="s">
        <v>125</v>
      </c>
      <c r="C127" s="18">
        <v>18.17495851462046</v>
      </c>
      <c r="D127" s="20">
        <v>1</v>
      </c>
      <c r="E127" s="21">
        <v>44105</v>
      </c>
      <c r="F127" s="11">
        <v>90000000</v>
      </c>
      <c r="G127" s="12">
        <f t="shared" si="6"/>
        <v>5.5555555555555552E-7</v>
      </c>
      <c r="H127" s="39">
        <v>1</v>
      </c>
      <c r="I127" s="13"/>
      <c r="J127" s="13"/>
      <c r="K127" s="13" t="str">
        <f t="shared" si="7"/>
        <v>R66</v>
      </c>
    </row>
    <row r="128" spans="1:11" x14ac:dyDescent="0.25">
      <c r="H128" s="43"/>
    </row>
  </sheetData>
  <pageMargins left="0.25" right="0.25" top="0.75" bottom="0.75" header="0.3" footer="0.3"/>
  <pageSetup scale="6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9734-87F2-43FA-B350-6E5C508699E3}">
  <sheetPr>
    <pageSetUpPr fitToPage="1"/>
  </sheetPr>
  <dimension ref="A1:N140"/>
  <sheetViews>
    <sheetView topLeftCell="A106" workbookViewId="0">
      <selection activeCell="J2" sqref="J2:J126"/>
    </sheetView>
  </sheetViews>
  <sheetFormatPr defaultRowHeight="15" x14ac:dyDescent="0.25"/>
  <cols>
    <col min="1" max="1" width="8" style="1" bestFit="1" customWidth="1"/>
    <col min="2" max="2" width="19.7109375" bestFit="1" customWidth="1"/>
    <col min="3" max="3" width="10.5703125" bestFit="1" customWidth="1"/>
    <col min="4" max="4" width="8.140625" bestFit="1" customWidth="1"/>
    <col min="5" max="5" width="9.140625" bestFit="1" customWidth="1"/>
    <col min="6" max="6" width="12.42578125" bestFit="1" customWidth="1"/>
    <col min="7" max="7" width="15.42578125" bestFit="1" customWidth="1"/>
    <col min="8" max="8" width="10" bestFit="1" customWidth="1"/>
    <col min="9" max="9" width="8.5703125" bestFit="1" customWidth="1"/>
    <col min="10" max="10" width="10.7109375" bestFit="1" customWidth="1"/>
    <col min="11" max="11" width="9.7109375" bestFit="1" customWidth="1"/>
    <col min="12" max="12" width="6" bestFit="1" customWidth="1"/>
    <col min="13" max="13" width="8.28515625" bestFit="1" customWidth="1"/>
    <col min="14" max="14" width="11.28515625" style="31" customWidth="1"/>
  </cols>
  <sheetData>
    <row r="1" spans="1:14" ht="15.75" thickBot="1" x14ac:dyDescent="0.3">
      <c r="A1" s="2" t="s">
        <v>268</v>
      </c>
      <c r="B1" s="3" t="s">
        <v>269</v>
      </c>
      <c r="C1" s="4" t="s">
        <v>270</v>
      </c>
      <c r="D1" s="3" t="s">
        <v>267</v>
      </c>
      <c r="E1" s="3" t="s">
        <v>271</v>
      </c>
      <c r="F1" s="3" t="s">
        <v>287</v>
      </c>
      <c r="G1" s="3" t="s">
        <v>288</v>
      </c>
      <c r="H1" s="29" t="s">
        <v>285</v>
      </c>
      <c r="I1" s="46" t="s">
        <v>286</v>
      </c>
      <c r="J1" s="46" t="s">
        <v>284</v>
      </c>
      <c r="K1" s="3" t="s">
        <v>272</v>
      </c>
      <c r="L1" s="3" t="s">
        <v>273</v>
      </c>
      <c r="M1" s="3" t="s">
        <v>274</v>
      </c>
      <c r="N1" s="29" t="s">
        <v>266</v>
      </c>
    </row>
    <row r="2" spans="1:14" x14ac:dyDescent="0.25">
      <c r="A2" s="5">
        <v>2</v>
      </c>
      <c r="B2" s="5" t="s">
        <v>66</v>
      </c>
      <c r="C2" s="37">
        <v>21.806575204468658</v>
      </c>
      <c r="D2" s="5" t="s">
        <v>206</v>
      </c>
      <c r="E2" s="25">
        <v>44260</v>
      </c>
      <c r="F2" s="6">
        <v>36200000</v>
      </c>
      <c r="G2" s="54">
        <v>44273</v>
      </c>
      <c r="H2" s="5">
        <v>54</v>
      </c>
      <c r="I2" s="6">
        <v>6.9999999999999999E-6</v>
      </c>
      <c r="J2" s="49">
        <f t="shared" ref="J2:J33" si="0">H2/I2</f>
        <v>7714285.7142857146</v>
      </c>
      <c r="K2" s="50" t="s">
        <v>280</v>
      </c>
      <c r="L2" s="50">
        <v>90</v>
      </c>
      <c r="M2" s="49">
        <v>6.0000000000000002E-6</v>
      </c>
      <c r="N2" s="47">
        <f t="shared" ref="N2:N33" si="1">L2/M2</f>
        <v>15000000</v>
      </c>
    </row>
    <row r="3" spans="1:14" x14ac:dyDescent="0.25">
      <c r="A3" s="13">
        <v>3</v>
      </c>
      <c r="B3" s="13" t="s">
        <v>67</v>
      </c>
      <c r="C3" s="18">
        <v>21.964692854969496</v>
      </c>
      <c r="D3" s="13" t="s">
        <v>207</v>
      </c>
      <c r="E3" s="25">
        <v>44260</v>
      </c>
      <c r="F3" s="11">
        <v>13800000</v>
      </c>
      <c r="G3" s="54">
        <v>44273</v>
      </c>
      <c r="H3" s="13">
        <v>61</v>
      </c>
      <c r="I3" s="11">
        <v>1.5E-5</v>
      </c>
      <c r="J3" s="49">
        <f t="shared" si="0"/>
        <v>4066666.6666666665</v>
      </c>
      <c r="K3" s="35" t="s">
        <v>279</v>
      </c>
      <c r="L3" s="35">
        <v>57</v>
      </c>
      <c r="M3" s="51">
        <v>6.9999999999999999E-6</v>
      </c>
      <c r="N3" s="47">
        <f t="shared" si="1"/>
        <v>8142857.1428571427</v>
      </c>
    </row>
    <row r="4" spans="1:14" x14ac:dyDescent="0.25">
      <c r="A4" s="13">
        <v>4</v>
      </c>
      <c r="B4" s="13" t="s">
        <v>68</v>
      </c>
      <c r="C4" s="18">
        <v>21.754227908451639</v>
      </c>
      <c r="D4" s="13" t="s">
        <v>208</v>
      </c>
      <c r="E4" s="25">
        <v>44260</v>
      </c>
      <c r="F4" s="11">
        <v>16400000</v>
      </c>
      <c r="G4" s="54">
        <v>44273</v>
      </c>
      <c r="H4" s="13">
        <v>46</v>
      </c>
      <c r="I4" s="11">
        <v>1.5E-5</v>
      </c>
      <c r="J4" s="49">
        <f t="shared" si="0"/>
        <v>3066666.6666666665</v>
      </c>
      <c r="K4" s="50" t="s">
        <v>280</v>
      </c>
      <c r="L4" s="35">
        <v>101</v>
      </c>
      <c r="M4" s="51">
        <v>2.0000000000000002E-5</v>
      </c>
      <c r="N4" s="47">
        <f t="shared" si="1"/>
        <v>5050000</v>
      </c>
    </row>
    <row r="5" spans="1:14" x14ac:dyDescent="0.25">
      <c r="A5" s="13">
        <v>5</v>
      </c>
      <c r="B5" s="13" t="s">
        <v>69</v>
      </c>
      <c r="C5" s="18">
        <v>22.123290439209878</v>
      </c>
      <c r="D5" s="13" t="s">
        <v>209</v>
      </c>
      <c r="E5" s="25">
        <v>44260</v>
      </c>
      <c r="F5" s="11">
        <v>31200000</v>
      </c>
      <c r="H5" s="13">
        <v>50</v>
      </c>
      <c r="I5" s="11">
        <v>1.0000000000000001E-5</v>
      </c>
      <c r="J5" s="49">
        <f t="shared" si="0"/>
        <v>5000000</v>
      </c>
      <c r="K5" s="35" t="s">
        <v>280</v>
      </c>
      <c r="L5" s="35">
        <v>68</v>
      </c>
      <c r="M5" s="51">
        <v>6.0000000000000002E-6</v>
      </c>
      <c r="N5" s="47">
        <f t="shared" si="1"/>
        <v>11333333.333333334</v>
      </c>
    </row>
    <row r="6" spans="1:14" x14ac:dyDescent="0.25">
      <c r="A6" s="13">
        <v>6</v>
      </c>
      <c r="B6" s="13" t="s">
        <v>70</v>
      </c>
      <c r="C6" s="18">
        <v>21.923222237506419</v>
      </c>
      <c r="D6" s="13" t="s">
        <v>210</v>
      </c>
      <c r="E6" s="25">
        <v>44260</v>
      </c>
      <c r="F6" s="11">
        <v>47200000</v>
      </c>
      <c r="G6" s="54">
        <v>44273</v>
      </c>
      <c r="H6" s="13">
        <v>64</v>
      </c>
      <c r="I6" s="11">
        <v>6.9999999999999999E-6</v>
      </c>
      <c r="J6" s="49">
        <f t="shared" si="0"/>
        <v>9142857.1428571437</v>
      </c>
      <c r="K6" s="50" t="s">
        <v>280</v>
      </c>
      <c r="L6" s="35">
        <v>116</v>
      </c>
      <c r="M6" s="51">
        <v>2.0000000000000002E-5</v>
      </c>
      <c r="N6" s="47">
        <f t="shared" si="1"/>
        <v>5799999.9999999991</v>
      </c>
    </row>
    <row r="7" spans="1:14" x14ac:dyDescent="0.25">
      <c r="A7" s="13">
        <v>7</v>
      </c>
      <c r="B7" s="13" t="s">
        <v>71</v>
      </c>
      <c r="C7" s="18">
        <v>21.170773715631814</v>
      </c>
      <c r="D7" s="13" t="s">
        <v>211</v>
      </c>
      <c r="E7" s="25">
        <v>44260</v>
      </c>
      <c r="F7" s="11">
        <v>21200000</v>
      </c>
      <c r="G7" s="11"/>
      <c r="H7" s="13">
        <v>52</v>
      </c>
      <c r="I7" s="11">
        <v>1.0000000000000001E-5</v>
      </c>
      <c r="J7" s="49">
        <f t="shared" si="0"/>
        <v>5200000</v>
      </c>
      <c r="K7" s="35" t="s">
        <v>279</v>
      </c>
      <c r="L7" s="35">
        <v>49</v>
      </c>
      <c r="M7" s="51">
        <v>5.0000000000000004E-6</v>
      </c>
      <c r="N7" s="47">
        <f t="shared" si="1"/>
        <v>9800000</v>
      </c>
    </row>
    <row r="8" spans="1:14" x14ac:dyDescent="0.25">
      <c r="A8" s="13">
        <v>8</v>
      </c>
      <c r="B8" s="13" t="s">
        <v>72</v>
      </c>
      <c r="C8" s="18">
        <v>22.033077208764372</v>
      </c>
      <c r="D8" s="13" t="s">
        <v>212</v>
      </c>
      <c r="E8" s="25">
        <v>44260</v>
      </c>
      <c r="F8" s="11">
        <v>15900000</v>
      </c>
      <c r="G8" s="54"/>
      <c r="H8" s="13">
        <v>49</v>
      </c>
      <c r="I8" s="11">
        <v>5.0000000000000004E-6</v>
      </c>
      <c r="J8" s="49">
        <f t="shared" si="0"/>
        <v>9800000</v>
      </c>
      <c r="K8" s="35" t="s">
        <v>280</v>
      </c>
      <c r="L8" s="35">
        <v>97</v>
      </c>
      <c r="M8" s="51">
        <v>1.0000000000000001E-5</v>
      </c>
      <c r="N8" s="47">
        <f t="shared" si="1"/>
        <v>9700000</v>
      </c>
    </row>
    <row r="9" spans="1:14" x14ac:dyDescent="0.25">
      <c r="A9" s="13">
        <v>9</v>
      </c>
      <c r="B9" s="13" t="s">
        <v>73</v>
      </c>
      <c r="C9" s="18">
        <v>20.885712386138341</v>
      </c>
      <c r="D9" s="13" t="s">
        <v>213</v>
      </c>
      <c r="E9" s="25">
        <v>44260</v>
      </c>
      <c r="F9" s="11">
        <v>17700000</v>
      </c>
      <c r="G9" s="54">
        <v>44273</v>
      </c>
      <c r="H9" s="13">
        <v>60</v>
      </c>
      <c r="I9" s="11">
        <v>1.5E-5</v>
      </c>
      <c r="J9" s="49">
        <f t="shared" si="0"/>
        <v>4000000</v>
      </c>
      <c r="K9" s="50" t="s">
        <v>280</v>
      </c>
      <c r="L9" s="35">
        <v>80</v>
      </c>
      <c r="M9" s="51">
        <v>4.0000000000000003E-5</v>
      </c>
      <c r="N9" s="47">
        <f t="shared" si="1"/>
        <v>1999999.9999999998</v>
      </c>
    </row>
    <row r="10" spans="1:14" x14ac:dyDescent="0.25">
      <c r="A10" s="13">
        <v>10</v>
      </c>
      <c r="B10" s="13" t="s">
        <v>74</v>
      </c>
      <c r="C10" s="18">
        <v>20.906346664181751</v>
      </c>
      <c r="D10" s="13" t="s">
        <v>214</v>
      </c>
      <c r="E10" s="25">
        <v>44260</v>
      </c>
      <c r="F10" s="11">
        <v>8400000</v>
      </c>
      <c r="G10" s="11"/>
      <c r="H10" s="32">
        <v>41</v>
      </c>
      <c r="I10" s="33">
        <v>5.0000000000000001E-4</v>
      </c>
      <c r="J10" s="48">
        <f t="shared" si="0"/>
        <v>82000</v>
      </c>
      <c r="K10" s="5" t="s">
        <v>280</v>
      </c>
      <c r="L10" s="13">
        <v>85</v>
      </c>
      <c r="M10" s="11">
        <v>1.7E-5</v>
      </c>
      <c r="N10" s="30">
        <f t="shared" si="1"/>
        <v>5000000</v>
      </c>
    </row>
    <row r="11" spans="1:14" x14ac:dyDescent="0.25">
      <c r="A11" s="13">
        <v>12</v>
      </c>
      <c r="B11" s="13" t="s">
        <v>75</v>
      </c>
      <c r="C11" s="18">
        <v>21.948439017121839</v>
      </c>
      <c r="D11" s="13" t="s">
        <v>215</v>
      </c>
      <c r="E11" s="25">
        <v>44260</v>
      </c>
      <c r="F11" s="11">
        <v>8400000</v>
      </c>
      <c r="G11" s="54">
        <v>44273</v>
      </c>
      <c r="H11" s="13">
        <v>42</v>
      </c>
      <c r="I11" s="11">
        <v>1.5E-5</v>
      </c>
      <c r="J11" s="49">
        <f t="shared" si="0"/>
        <v>2800000</v>
      </c>
      <c r="K11" s="50" t="s">
        <v>279</v>
      </c>
      <c r="L11" s="35">
        <v>49</v>
      </c>
      <c r="M11" s="51">
        <v>1.0000000000000001E-5</v>
      </c>
      <c r="N11" s="47">
        <f t="shared" si="1"/>
        <v>4900000</v>
      </c>
    </row>
    <row r="12" spans="1:14" x14ac:dyDescent="0.25">
      <c r="A12" s="13">
        <v>14</v>
      </c>
      <c r="B12" s="20" t="s">
        <v>76</v>
      </c>
      <c r="C12" s="18">
        <v>19.601419431837993</v>
      </c>
      <c r="D12" s="20" t="s">
        <v>216</v>
      </c>
      <c r="E12" s="25">
        <v>44260</v>
      </c>
      <c r="F12" s="11">
        <v>45200000</v>
      </c>
      <c r="G12" s="54">
        <v>44273</v>
      </c>
      <c r="H12" s="13">
        <v>57</v>
      </c>
      <c r="I12" s="11">
        <v>3.4999999999999999E-6</v>
      </c>
      <c r="J12" s="49">
        <f>H12/I12</f>
        <v>16285714.285714285</v>
      </c>
      <c r="K12" s="50" t="s">
        <v>282</v>
      </c>
      <c r="L12" s="35">
        <v>51</v>
      </c>
      <c r="M12" s="51">
        <v>9.0000000000000006E-5</v>
      </c>
      <c r="N12" s="47">
        <f t="shared" si="1"/>
        <v>566666.66666666663</v>
      </c>
    </row>
    <row r="13" spans="1:14" x14ac:dyDescent="0.25">
      <c r="A13" s="13">
        <v>15</v>
      </c>
      <c r="B13" s="20" t="s">
        <v>77</v>
      </c>
      <c r="C13" s="18">
        <v>18.154671777778571</v>
      </c>
      <c r="D13" s="20" t="s">
        <v>217</v>
      </c>
      <c r="E13" s="25">
        <v>44260</v>
      </c>
      <c r="F13" s="11">
        <v>30800000</v>
      </c>
      <c r="G13" s="54">
        <v>44273</v>
      </c>
      <c r="H13" s="13">
        <v>62</v>
      </c>
      <c r="I13" s="11">
        <v>6.0000000000000002E-6</v>
      </c>
      <c r="J13" s="49">
        <f t="shared" si="0"/>
        <v>10333333.333333334</v>
      </c>
      <c r="K13" s="35" t="s">
        <v>282</v>
      </c>
      <c r="L13" s="35">
        <v>93</v>
      </c>
      <c r="M13" s="51">
        <v>1E-4</v>
      </c>
      <c r="N13" s="47">
        <f t="shared" si="1"/>
        <v>930000</v>
      </c>
    </row>
    <row r="14" spans="1:14" x14ac:dyDescent="0.25">
      <c r="A14" s="13">
        <v>16</v>
      </c>
      <c r="B14" s="20" t="s">
        <v>78</v>
      </c>
      <c r="C14" s="18">
        <v>10.826666666666668</v>
      </c>
      <c r="D14" s="20" t="s">
        <v>218</v>
      </c>
      <c r="E14" s="25">
        <v>44260</v>
      </c>
      <c r="F14" s="11">
        <v>30300</v>
      </c>
      <c r="G14" s="54">
        <v>44273</v>
      </c>
      <c r="H14" s="13">
        <v>54</v>
      </c>
      <c r="I14" s="11">
        <v>2.0000000000000002E-5</v>
      </c>
      <c r="J14" s="49">
        <f t="shared" si="0"/>
        <v>2700000</v>
      </c>
      <c r="K14" s="52">
        <v>44271</v>
      </c>
      <c r="L14" s="35">
        <v>121</v>
      </c>
      <c r="M14" s="51">
        <v>1E-4</v>
      </c>
      <c r="N14" s="47">
        <f t="shared" si="1"/>
        <v>1210000</v>
      </c>
    </row>
    <row r="15" spans="1:14" x14ac:dyDescent="0.25">
      <c r="A15" s="13">
        <v>17</v>
      </c>
      <c r="B15" s="20" t="s">
        <v>79</v>
      </c>
      <c r="C15" s="18">
        <v>11.098727262362928</v>
      </c>
      <c r="D15" s="20" t="s">
        <v>219</v>
      </c>
      <c r="E15" s="25">
        <v>44260</v>
      </c>
      <c r="F15" s="11">
        <v>20000000</v>
      </c>
      <c r="G15" s="54">
        <v>44273</v>
      </c>
      <c r="H15" s="13">
        <v>58</v>
      </c>
      <c r="I15" s="11">
        <v>1.0000000000000001E-5</v>
      </c>
      <c r="J15" s="49">
        <f t="shared" si="0"/>
        <v>5799999.9999999991</v>
      </c>
      <c r="K15" s="50" t="s">
        <v>280</v>
      </c>
      <c r="L15" s="35">
        <v>101</v>
      </c>
      <c r="M15" s="51">
        <v>5.0000000000000002E-5</v>
      </c>
      <c r="N15" s="47">
        <f t="shared" si="1"/>
        <v>2020000</v>
      </c>
    </row>
    <row r="16" spans="1:14" x14ac:dyDescent="0.25">
      <c r="A16" s="13">
        <v>18</v>
      </c>
      <c r="B16" s="20" t="s">
        <v>80</v>
      </c>
      <c r="C16" s="18">
        <v>19.014577227626621</v>
      </c>
      <c r="D16" s="20" t="s">
        <v>220</v>
      </c>
      <c r="E16" s="25">
        <v>44260</v>
      </c>
      <c r="F16" s="11">
        <v>33400000</v>
      </c>
      <c r="G16" s="54">
        <v>44274</v>
      </c>
      <c r="H16" s="13">
        <v>63</v>
      </c>
      <c r="I16" s="11">
        <v>1.0000000000000001E-5</v>
      </c>
      <c r="J16" s="49">
        <f t="shared" si="0"/>
        <v>6299999.9999999991</v>
      </c>
      <c r="K16" s="35" t="s">
        <v>280</v>
      </c>
      <c r="L16" s="35">
        <v>156</v>
      </c>
      <c r="M16" s="51">
        <v>2.9999999999999997E-4</v>
      </c>
      <c r="N16" s="47">
        <f t="shared" si="1"/>
        <v>520000.00000000006</v>
      </c>
    </row>
    <row r="17" spans="1:14" x14ac:dyDescent="0.25">
      <c r="A17" s="13">
        <v>19</v>
      </c>
      <c r="B17" s="20" t="s">
        <v>81</v>
      </c>
      <c r="C17" s="18">
        <v>18.831305527369562</v>
      </c>
      <c r="D17" s="20" t="s">
        <v>221</v>
      </c>
      <c r="E17" s="25">
        <v>44260</v>
      </c>
      <c r="F17" s="11">
        <v>80000000</v>
      </c>
      <c r="G17" s="54">
        <v>44273</v>
      </c>
      <c r="H17" s="13">
        <v>61</v>
      </c>
      <c r="I17" s="11">
        <v>1.5E-6</v>
      </c>
      <c r="J17" s="49">
        <f t="shared" si="0"/>
        <v>40666666.666666664</v>
      </c>
      <c r="K17" s="35" t="s">
        <v>282</v>
      </c>
      <c r="L17" s="35">
        <v>72</v>
      </c>
      <c r="M17" s="51">
        <v>5.0000000000000002E-5</v>
      </c>
      <c r="N17" s="47">
        <f t="shared" si="1"/>
        <v>1440000</v>
      </c>
    </row>
    <row r="18" spans="1:14" x14ac:dyDescent="0.25">
      <c r="A18" s="13">
        <v>20</v>
      </c>
      <c r="B18" s="20" t="s">
        <v>82</v>
      </c>
      <c r="C18" s="18">
        <v>7.1748861796606631</v>
      </c>
      <c r="D18" s="20" t="s">
        <v>222</v>
      </c>
      <c r="E18" s="25">
        <v>44260</v>
      </c>
      <c r="F18" s="11">
        <v>1220000</v>
      </c>
      <c r="G18" s="11"/>
      <c r="H18" s="32">
        <v>210</v>
      </c>
      <c r="I18" s="33">
        <v>1E-3</v>
      </c>
      <c r="J18" s="48">
        <f t="shared" si="0"/>
        <v>210000</v>
      </c>
      <c r="K18" s="13" t="s">
        <v>282</v>
      </c>
      <c r="L18" s="13">
        <v>14</v>
      </c>
      <c r="M18" s="11">
        <v>0.01</v>
      </c>
      <c r="N18" s="47">
        <f t="shared" si="1"/>
        <v>1400</v>
      </c>
    </row>
    <row r="19" spans="1:14" x14ac:dyDescent="0.25">
      <c r="A19" s="13">
        <v>22</v>
      </c>
      <c r="B19" s="20" t="s">
        <v>83</v>
      </c>
      <c r="C19" s="18">
        <v>15.872102778091234</v>
      </c>
      <c r="D19" s="20" t="s">
        <v>223</v>
      </c>
      <c r="E19" s="25">
        <v>44260</v>
      </c>
      <c r="F19" s="11">
        <v>51800000</v>
      </c>
      <c r="G19" s="11"/>
      <c r="H19" s="32">
        <v>125</v>
      </c>
      <c r="I19" s="33">
        <v>1E-4</v>
      </c>
      <c r="J19" s="48">
        <f t="shared" si="0"/>
        <v>1250000</v>
      </c>
      <c r="K19" s="13" t="s">
        <v>280</v>
      </c>
      <c r="L19" s="13">
        <v>85</v>
      </c>
      <c r="M19" s="11">
        <v>3.9999999999999998E-6</v>
      </c>
      <c r="N19" s="47">
        <f t="shared" si="1"/>
        <v>21250000</v>
      </c>
    </row>
    <row r="20" spans="1:14" x14ac:dyDescent="0.25">
      <c r="A20" s="13">
        <v>23</v>
      </c>
      <c r="B20" s="20" t="s">
        <v>84</v>
      </c>
      <c r="C20" s="18">
        <v>20.164845166546645</v>
      </c>
      <c r="D20" s="20" t="s">
        <v>224</v>
      </c>
      <c r="E20" s="25">
        <v>44260</v>
      </c>
      <c r="F20" s="11">
        <v>43400000</v>
      </c>
      <c r="G20" s="11"/>
      <c r="H20" s="32">
        <v>135</v>
      </c>
      <c r="I20" s="33">
        <v>1E-4</v>
      </c>
      <c r="J20" s="48">
        <f t="shared" si="0"/>
        <v>1350000</v>
      </c>
      <c r="K20" s="5" t="s">
        <v>280</v>
      </c>
      <c r="L20" s="13">
        <v>62</v>
      </c>
      <c r="M20" s="11">
        <v>3.9999999999999998E-6</v>
      </c>
      <c r="N20" s="47">
        <f t="shared" si="1"/>
        <v>15500000</v>
      </c>
    </row>
    <row r="21" spans="1:14" x14ac:dyDescent="0.25">
      <c r="A21" s="13">
        <v>24</v>
      </c>
      <c r="B21" s="20" t="s">
        <v>85</v>
      </c>
      <c r="C21" s="18">
        <v>18.672718960390029</v>
      </c>
      <c r="D21" s="20" t="s">
        <v>225</v>
      </c>
      <c r="E21" s="25">
        <v>44260</v>
      </c>
      <c r="F21" s="11">
        <v>336000000</v>
      </c>
      <c r="G21" s="54"/>
      <c r="H21" s="13">
        <v>48</v>
      </c>
      <c r="I21" s="11">
        <v>1.9999999999999999E-7</v>
      </c>
      <c r="J21" s="49">
        <f t="shared" si="0"/>
        <v>240000000</v>
      </c>
      <c r="K21" s="35" t="s">
        <v>280</v>
      </c>
      <c r="L21" s="35">
        <v>66</v>
      </c>
      <c r="M21" s="51">
        <v>3.0000000000000001E-6</v>
      </c>
      <c r="N21" s="47">
        <f t="shared" si="1"/>
        <v>22000000</v>
      </c>
    </row>
    <row r="22" spans="1:14" x14ac:dyDescent="0.25">
      <c r="A22" s="13">
        <v>25</v>
      </c>
      <c r="B22" s="20" t="s">
        <v>86</v>
      </c>
      <c r="C22" s="18">
        <v>19.280304603660692</v>
      </c>
      <c r="D22" s="20" t="s">
        <v>226</v>
      </c>
      <c r="E22" s="25">
        <v>44260</v>
      </c>
      <c r="F22" s="11">
        <v>350000000</v>
      </c>
      <c r="G22" s="54">
        <v>44273</v>
      </c>
      <c r="H22" s="13">
        <v>63</v>
      </c>
      <c r="I22" s="11">
        <v>5.9999999999999997E-7</v>
      </c>
      <c r="J22" s="49">
        <f t="shared" si="0"/>
        <v>105000000</v>
      </c>
      <c r="K22" s="50" t="s">
        <v>280</v>
      </c>
      <c r="L22" s="35">
        <v>71</v>
      </c>
      <c r="M22" s="51">
        <v>6.0000000000000002E-6</v>
      </c>
      <c r="N22" s="47">
        <f t="shared" si="1"/>
        <v>11833333.333333334</v>
      </c>
    </row>
    <row r="23" spans="1:14" x14ac:dyDescent="0.25">
      <c r="A23" s="13">
        <v>26</v>
      </c>
      <c r="B23" s="20" t="s">
        <v>87</v>
      </c>
      <c r="C23" s="18">
        <v>19.474184384808154</v>
      </c>
      <c r="D23" s="20" t="s">
        <v>227</v>
      </c>
      <c r="E23" s="25">
        <v>44260</v>
      </c>
      <c r="F23" s="11">
        <v>378000000</v>
      </c>
      <c r="G23" s="54">
        <v>44273</v>
      </c>
      <c r="H23" s="13">
        <v>68</v>
      </c>
      <c r="I23" s="11">
        <v>5.9999999999999997E-7</v>
      </c>
      <c r="J23" s="49">
        <f t="shared" si="0"/>
        <v>113333333.33333334</v>
      </c>
      <c r="K23" s="50" t="s">
        <v>280</v>
      </c>
      <c r="L23" s="35">
        <v>56</v>
      </c>
      <c r="M23" s="51">
        <v>5.0000000000000004E-6</v>
      </c>
      <c r="N23" s="47">
        <f t="shared" si="1"/>
        <v>11200000</v>
      </c>
    </row>
    <row r="24" spans="1:14" x14ac:dyDescent="0.25">
      <c r="A24" s="13">
        <v>27</v>
      </c>
      <c r="B24" s="20" t="s">
        <v>88</v>
      </c>
      <c r="C24" s="18">
        <v>18.560610281445097</v>
      </c>
      <c r="D24" s="20" t="s">
        <v>228</v>
      </c>
      <c r="E24" s="25">
        <v>44260</v>
      </c>
      <c r="F24" s="11">
        <v>370000000</v>
      </c>
      <c r="G24" s="54">
        <v>44273</v>
      </c>
      <c r="H24" s="13">
        <v>71</v>
      </c>
      <c r="I24" s="11">
        <v>5.9999999999999997E-7</v>
      </c>
      <c r="J24" s="49">
        <f t="shared" si="0"/>
        <v>118333333.33333334</v>
      </c>
      <c r="K24" s="50" t="s">
        <v>280</v>
      </c>
      <c r="L24" s="35">
        <v>121</v>
      </c>
      <c r="M24" s="51">
        <v>6.9999999999999999E-6</v>
      </c>
      <c r="N24" s="47">
        <f t="shared" si="1"/>
        <v>17285714.285714287</v>
      </c>
    </row>
    <row r="25" spans="1:14" x14ac:dyDescent="0.25">
      <c r="A25" s="13">
        <v>28</v>
      </c>
      <c r="B25" s="20" t="s">
        <v>89</v>
      </c>
      <c r="C25" s="18">
        <v>19.321009610973665</v>
      </c>
      <c r="D25" s="20" t="s">
        <v>229</v>
      </c>
      <c r="E25" s="25">
        <v>44260</v>
      </c>
      <c r="F25" s="11">
        <v>558000000</v>
      </c>
      <c r="G25" s="54">
        <v>44274</v>
      </c>
      <c r="H25" s="13">
        <v>122</v>
      </c>
      <c r="I25" s="11">
        <v>3.0000000000000001E-6</v>
      </c>
      <c r="J25" s="49">
        <f t="shared" si="0"/>
        <v>40666666.666666664</v>
      </c>
      <c r="K25" s="35" t="s">
        <v>280</v>
      </c>
      <c r="L25" s="35">
        <v>66</v>
      </c>
      <c r="M25" s="51">
        <v>3.4999999999999999E-6</v>
      </c>
      <c r="N25" s="47">
        <f t="shared" si="1"/>
        <v>18857142.857142858</v>
      </c>
    </row>
    <row r="26" spans="1:14" x14ac:dyDescent="0.25">
      <c r="A26" s="13">
        <v>29</v>
      </c>
      <c r="B26" s="20" t="s">
        <v>90</v>
      </c>
      <c r="C26" s="18">
        <v>18.134853065445814</v>
      </c>
      <c r="D26" s="20" t="s">
        <v>230</v>
      </c>
      <c r="E26" s="25">
        <v>44260</v>
      </c>
      <c r="F26" s="11">
        <v>448000000</v>
      </c>
      <c r="G26" s="11"/>
      <c r="H26" s="13">
        <v>63</v>
      </c>
      <c r="I26" s="11">
        <v>1.9999999999999999E-7</v>
      </c>
      <c r="J26" s="49">
        <f t="shared" si="0"/>
        <v>315000000</v>
      </c>
      <c r="K26" s="35" t="s">
        <v>280</v>
      </c>
      <c r="L26" s="35">
        <v>102</v>
      </c>
      <c r="M26" s="51">
        <v>6.9999999999999999E-6</v>
      </c>
      <c r="N26" s="47">
        <f t="shared" si="1"/>
        <v>14571428.571428571</v>
      </c>
    </row>
    <row r="27" spans="1:14" x14ac:dyDescent="0.25">
      <c r="A27" s="13">
        <v>30</v>
      </c>
      <c r="B27" s="20" t="s">
        <v>91</v>
      </c>
      <c r="C27" s="18">
        <v>19.694375042251593</v>
      </c>
      <c r="D27" s="20" t="s">
        <v>231</v>
      </c>
      <c r="E27" s="25">
        <v>44260</v>
      </c>
      <c r="F27" s="11">
        <v>146000000</v>
      </c>
      <c r="G27" s="54">
        <v>44273</v>
      </c>
      <c r="H27" s="13">
        <v>54</v>
      </c>
      <c r="I27" s="11">
        <v>1.5E-6</v>
      </c>
      <c r="J27" s="49">
        <f t="shared" si="0"/>
        <v>36000000</v>
      </c>
      <c r="K27" s="35" t="s">
        <v>280</v>
      </c>
      <c r="L27" s="35">
        <v>80</v>
      </c>
      <c r="M27" s="51">
        <v>1.9999999999999999E-6</v>
      </c>
      <c r="N27" s="47">
        <f t="shared" si="1"/>
        <v>40000000</v>
      </c>
    </row>
    <row r="28" spans="1:14" x14ac:dyDescent="0.25">
      <c r="A28" s="13">
        <v>31</v>
      </c>
      <c r="B28" s="20" t="s">
        <v>92</v>
      </c>
      <c r="C28" s="18">
        <v>19.356567346855545</v>
      </c>
      <c r="D28" s="20" t="s">
        <v>232</v>
      </c>
      <c r="E28" s="25">
        <v>44260</v>
      </c>
      <c r="F28" s="11">
        <v>458000000</v>
      </c>
      <c r="G28" s="54">
        <v>44273</v>
      </c>
      <c r="H28" s="13">
        <v>48</v>
      </c>
      <c r="I28" s="11">
        <v>3.9999999999999998E-7</v>
      </c>
      <c r="J28" s="49">
        <f t="shared" si="0"/>
        <v>120000000</v>
      </c>
      <c r="K28" s="35" t="s">
        <v>282</v>
      </c>
      <c r="L28" s="35">
        <v>128</v>
      </c>
      <c r="M28" s="51">
        <v>7.5000000000000002E-6</v>
      </c>
      <c r="N28" s="47">
        <f t="shared" si="1"/>
        <v>17066666.666666668</v>
      </c>
    </row>
    <row r="29" spans="1:14" x14ac:dyDescent="0.25">
      <c r="A29" s="13">
        <v>32</v>
      </c>
      <c r="B29" s="20" t="s">
        <v>93</v>
      </c>
      <c r="C29" s="18">
        <v>18.396588415175302</v>
      </c>
      <c r="D29" s="20" t="s">
        <v>233</v>
      </c>
      <c r="E29" s="25">
        <v>44260</v>
      </c>
      <c r="F29" s="11">
        <v>142000000</v>
      </c>
      <c r="G29" s="54">
        <v>44274</v>
      </c>
      <c r="H29" s="13">
        <v>46</v>
      </c>
      <c r="I29" s="11">
        <v>9.9999999999999995E-7</v>
      </c>
      <c r="J29" s="49">
        <f t="shared" si="0"/>
        <v>46000000</v>
      </c>
      <c r="K29" s="35" t="s">
        <v>282</v>
      </c>
      <c r="L29" s="35">
        <v>67</v>
      </c>
      <c r="M29" s="51">
        <v>1.0000000000000001E-5</v>
      </c>
      <c r="N29" s="47">
        <f t="shared" si="1"/>
        <v>6699999.9999999991</v>
      </c>
    </row>
    <row r="30" spans="1:14" x14ac:dyDescent="0.25">
      <c r="A30" s="13">
        <v>33</v>
      </c>
      <c r="B30" s="20" t="s">
        <v>94</v>
      </c>
      <c r="C30" s="18">
        <v>20.721294179655004</v>
      </c>
      <c r="D30" s="20" t="s">
        <v>234</v>
      </c>
      <c r="E30" s="25">
        <v>44260</v>
      </c>
      <c r="F30" s="11">
        <v>65000000</v>
      </c>
      <c r="G30" s="54">
        <v>44273</v>
      </c>
      <c r="H30" s="13">
        <v>125</v>
      </c>
      <c r="I30" s="11">
        <v>1.0000000000000001E-5</v>
      </c>
      <c r="J30" s="49">
        <f t="shared" si="0"/>
        <v>12499999.999999998</v>
      </c>
      <c r="K30" s="35" t="s">
        <v>279</v>
      </c>
      <c r="L30" s="35">
        <v>72</v>
      </c>
      <c r="M30" s="51">
        <v>1.9999999999999999E-6</v>
      </c>
      <c r="N30" s="47">
        <f t="shared" si="1"/>
        <v>36000000</v>
      </c>
    </row>
    <row r="31" spans="1:14" x14ac:dyDescent="0.25">
      <c r="A31" s="13">
        <v>34</v>
      </c>
      <c r="B31" s="20" t="s">
        <v>95</v>
      </c>
      <c r="C31" s="18">
        <v>20.173348472823484</v>
      </c>
      <c r="D31" s="20" t="s">
        <v>235</v>
      </c>
      <c r="E31" s="25">
        <v>44260</v>
      </c>
      <c r="F31" s="11">
        <v>254000000</v>
      </c>
      <c r="G31" s="11"/>
      <c r="H31" s="32">
        <v>45</v>
      </c>
      <c r="I31" s="33">
        <v>1.0000000000000001E-5</v>
      </c>
      <c r="J31" s="48">
        <f t="shared" si="0"/>
        <v>4500000</v>
      </c>
      <c r="K31" s="13" t="s">
        <v>282</v>
      </c>
      <c r="L31" s="13">
        <v>94</v>
      </c>
      <c r="M31" s="11">
        <v>5.0000000000000004E-6</v>
      </c>
      <c r="N31" s="47">
        <f t="shared" si="1"/>
        <v>18800000</v>
      </c>
    </row>
    <row r="32" spans="1:14" x14ac:dyDescent="0.25">
      <c r="A32" s="13">
        <v>35</v>
      </c>
      <c r="B32" s="20" t="s">
        <v>96</v>
      </c>
      <c r="C32" s="18">
        <v>18.301917618862589</v>
      </c>
      <c r="D32" s="20" t="s">
        <v>236</v>
      </c>
      <c r="E32" s="25">
        <v>44260</v>
      </c>
      <c r="F32" s="11">
        <v>236000000</v>
      </c>
      <c r="G32" s="11"/>
      <c r="H32" s="13">
        <v>63</v>
      </c>
      <c r="I32" s="11">
        <v>5.0000000000000004E-6</v>
      </c>
      <c r="J32" s="6">
        <f t="shared" si="0"/>
        <v>12599999.999999998</v>
      </c>
      <c r="K32" s="13" t="s">
        <v>280</v>
      </c>
      <c r="L32" s="13">
        <v>94</v>
      </c>
      <c r="M32" s="11">
        <v>5.0000000000000004E-6</v>
      </c>
      <c r="N32" s="47">
        <f t="shared" si="1"/>
        <v>18800000</v>
      </c>
    </row>
    <row r="33" spans="1:14" x14ac:dyDescent="0.25">
      <c r="A33" s="13">
        <v>36</v>
      </c>
      <c r="B33" s="20" t="s">
        <v>97</v>
      </c>
      <c r="C33" s="18">
        <v>19.195295049560798</v>
      </c>
      <c r="D33" s="20" t="s">
        <v>237</v>
      </c>
      <c r="E33" s="25">
        <v>44260</v>
      </c>
      <c r="F33" s="13" t="s">
        <v>132</v>
      </c>
      <c r="G33" s="13"/>
      <c r="H33" s="13">
        <v>84</v>
      </c>
      <c r="I33" s="11">
        <v>4.9999999999999998E-7</v>
      </c>
      <c r="J33" s="49">
        <f t="shared" si="0"/>
        <v>168000000</v>
      </c>
      <c r="K33" s="35" t="s">
        <v>280</v>
      </c>
      <c r="L33" s="35">
        <v>88</v>
      </c>
      <c r="M33" s="51">
        <v>2.5000000000000001E-5</v>
      </c>
      <c r="N33" s="47">
        <f t="shared" si="1"/>
        <v>3520000</v>
      </c>
    </row>
    <row r="34" spans="1:14" x14ac:dyDescent="0.25">
      <c r="A34" s="13">
        <v>37</v>
      </c>
      <c r="B34" s="20" t="s">
        <v>98</v>
      </c>
      <c r="C34" s="18">
        <v>18.836517335268631</v>
      </c>
      <c r="D34" s="20" t="s">
        <v>238</v>
      </c>
      <c r="E34" s="25">
        <v>44260</v>
      </c>
      <c r="F34" s="11">
        <v>506000000</v>
      </c>
      <c r="G34" s="11"/>
      <c r="H34" s="13">
        <v>50</v>
      </c>
      <c r="I34" s="11">
        <v>1.9999999999999999E-7</v>
      </c>
      <c r="J34" s="49">
        <f t="shared" ref="J34:J65" si="2">H34/I34</f>
        <v>250000000</v>
      </c>
      <c r="K34" s="35" t="s">
        <v>280</v>
      </c>
      <c r="L34" s="35">
        <v>68</v>
      </c>
      <c r="M34" s="51">
        <v>3.4999999999999999E-6</v>
      </c>
      <c r="N34" s="47">
        <f t="shared" ref="N34:N65" si="3">L34/M34</f>
        <v>19428571.428571429</v>
      </c>
    </row>
    <row r="35" spans="1:14" x14ac:dyDescent="0.25">
      <c r="A35" s="13">
        <v>38</v>
      </c>
      <c r="B35" s="20" t="s">
        <v>99</v>
      </c>
      <c r="C35" s="18">
        <v>20.660777488746731</v>
      </c>
      <c r="D35" s="20" t="s">
        <v>239</v>
      </c>
      <c r="E35" s="25">
        <v>44260</v>
      </c>
      <c r="F35" s="11">
        <v>339000000</v>
      </c>
      <c r="G35" s="54">
        <v>44273</v>
      </c>
      <c r="H35" s="13">
        <v>111</v>
      </c>
      <c r="I35" s="11">
        <v>1.1999999999999999E-6</v>
      </c>
      <c r="J35" s="49">
        <f t="shared" si="2"/>
        <v>92500000</v>
      </c>
      <c r="K35" s="35" t="s">
        <v>280</v>
      </c>
      <c r="L35" s="35">
        <v>64</v>
      </c>
      <c r="M35" s="51">
        <v>1.5E-6</v>
      </c>
      <c r="N35" s="47">
        <f t="shared" si="3"/>
        <v>42666666.666666664</v>
      </c>
    </row>
    <row r="36" spans="1:14" x14ac:dyDescent="0.25">
      <c r="A36" s="13">
        <v>39</v>
      </c>
      <c r="B36" s="20" t="s">
        <v>100</v>
      </c>
      <c r="C36" s="18">
        <v>19.01311174040621</v>
      </c>
      <c r="D36" s="20" t="s">
        <v>240</v>
      </c>
      <c r="E36" s="25">
        <v>44260</v>
      </c>
      <c r="F36" s="11">
        <v>511000000</v>
      </c>
      <c r="G36" s="11"/>
      <c r="H36" s="13">
        <v>51</v>
      </c>
      <c r="I36" s="11">
        <v>1.9999999999999999E-7</v>
      </c>
      <c r="J36" s="49">
        <f t="shared" si="2"/>
        <v>255000000</v>
      </c>
      <c r="K36" s="35" t="s">
        <v>280</v>
      </c>
      <c r="L36" s="35">
        <v>53</v>
      </c>
      <c r="M36" s="51">
        <v>1.75E-6</v>
      </c>
      <c r="N36" s="47">
        <f t="shared" si="3"/>
        <v>30285714.285714287</v>
      </c>
    </row>
    <row r="37" spans="1:14" x14ac:dyDescent="0.25">
      <c r="A37" s="13">
        <v>40</v>
      </c>
      <c r="B37" s="20" t="s">
        <v>101</v>
      </c>
      <c r="C37" s="18">
        <v>18.970680560710264</v>
      </c>
      <c r="D37" s="20" t="s">
        <v>241</v>
      </c>
      <c r="E37" s="25">
        <v>44260</v>
      </c>
      <c r="F37" s="11">
        <v>373000000</v>
      </c>
      <c r="G37" s="54">
        <v>44273</v>
      </c>
      <c r="H37" s="13">
        <v>138</v>
      </c>
      <c r="I37" s="11">
        <v>1.1999999999999999E-6</v>
      </c>
      <c r="J37" s="49">
        <f t="shared" si="2"/>
        <v>115000000</v>
      </c>
      <c r="K37" s="35" t="s">
        <v>280</v>
      </c>
      <c r="L37" s="35">
        <v>74</v>
      </c>
      <c r="M37" s="51">
        <v>3.0000000000000001E-6</v>
      </c>
      <c r="N37" s="47">
        <f t="shared" si="3"/>
        <v>24666666.666666664</v>
      </c>
    </row>
    <row r="38" spans="1:14" x14ac:dyDescent="0.25">
      <c r="A38" s="13">
        <v>41</v>
      </c>
      <c r="B38" s="20" t="s">
        <v>102</v>
      </c>
      <c r="C38" s="18">
        <v>16.617512690466945</v>
      </c>
      <c r="D38" s="20" t="s">
        <v>242</v>
      </c>
      <c r="E38" s="25">
        <v>44260</v>
      </c>
      <c r="F38" s="11">
        <v>498000000</v>
      </c>
      <c r="G38" s="54">
        <v>44273</v>
      </c>
      <c r="H38" s="13">
        <v>87</v>
      </c>
      <c r="I38" s="11">
        <v>3.9999999999999998E-7</v>
      </c>
      <c r="J38" s="49">
        <f t="shared" si="2"/>
        <v>217500000</v>
      </c>
      <c r="K38" s="35" t="s">
        <v>280</v>
      </c>
      <c r="L38" s="35">
        <v>55</v>
      </c>
      <c r="M38" s="51">
        <v>1.9999999999999999E-6</v>
      </c>
      <c r="N38" s="47">
        <f t="shared" si="3"/>
        <v>27500000</v>
      </c>
    </row>
    <row r="39" spans="1:14" x14ac:dyDescent="0.25">
      <c r="A39" s="13">
        <v>42</v>
      </c>
      <c r="B39" s="20" t="s">
        <v>103</v>
      </c>
      <c r="C39" s="18">
        <v>16.988203393741081</v>
      </c>
      <c r="D39" s="20" t="s">
        <v>243</v>
      </c>
      <c r="E39" s="25">
        <v>44260</v>
      </c>
      <c r="F39" s="11">
        <v>431000000</v>
      </c>
      <c r="G39" s="54">
        <v>44273</v>
      </c>
      <c r="H39" s="13">
        <v>119</v>
      </c>
      <c r="I39" s="11">
        <v>6.9999999999999997E-7</v>
      </c>
      <c r="J39" s="49">
        <f t="shared" si="2"/>
        <v>170000000</v>
      </c>
      <c r="K39" s="35" t="s">
        <v>282</v>
      </c>
      <c r="L39" s="35">
        <v>111</v>
      </c>
      <c r="M39" s="51">
        <v>7.9999999999999996E-6</v>
      </c>
      <c r="N39" s="47">
        <f t="shared" si="3"/>
        <v>13875000</v>
      </c>
    </row>
    <row r="40" spans="1:14" x14ac:dyDescent="0.25">
      <c r="A40" s="13">
        <v>43</v>
      </c>
      <c r="B40" s="20" t="s">
        <v>104</v>
      </c>
      <c r="C40" s="18">
        <v>9.9763869188268135</v>
      </c>
      <c r="D40" s="20" t="s">
        <v>244</v>
      </c>
      <c r="E40" s="25">
        <v>44260</v>
      </c>
      <c r="F40" s="11">
        <v>254000000</v>
      </c>
      <c r="G40" s="54">
        <v>44273</v>
      </c>
      <c r="H40" s="13">
        <v>76</v>
      </c>
      <c r="I40" s="11">
        <v>9.9999999999999995E-7</v>
      </c>
      <c r="J40" s="49">
        <f t="shared" si="2"/>
        <v>76000000</v>
      </c>
      <c r="K40" s="35" t="s">
        <v>281</v>
      </c>
      <c r="L40" s="35">
        <v>100</v>
      </c>
      <c r="M40" s="51">
        <v>1.5E-5</v>
      </c>
      <c r="N40" s="47">
        <f t="shared" si="3"/>
        <v>6666666.666666666</v>
      </c>
    </row>
    <row r="41" spans="1:14" x14ac:dyDescent="0.25">
      <c r="A41" s="13">
        <v>44</v>
      </c>
      <c r="B41" s="20" t="s">
        <v>105</v>
      </c>
      <c r="C41" s="18">
        <v>9.9668996667189518</v>
      </c>
      <c r="D41" s="20" t="s">
        <v>245</v>
      </c>
      <c r="E41" s="25">
        <v>44260</v>
      </c>
      <c r="F41" s="11">
        <v>164000000</v>
      </c>
      <c r="G41" s="54">
        <v>44273</v>
      </c>
      <c r="H41" s="13">
        <v>104</v>
      </c>
      <c r="I41" s="11">
        <v>1.9999999999999999E-6</v>
      </c>
      <c r="J41" s="49">
        <f t="shared" si="2"/>
        <v>52000000</v>
      </c>
      <c r="K41" s="35" t="s">
        <v>280</v>
      </c>
      <c r="L41" s="35">
        <v>46</v>
      </c>
      <c r="M41" s="51">
        <v>7.9999999999999996E-6</v>
      </c>
      <c r="N41" s="47">
        <f t="shared" si="3"/>
        <v>5750000</v>
      </c>
    </row>
    <row r="42" spans="1:14" x14ac:dyDescent="0.25">
      <c r="A42" s="13">
        <v>45</v>
      </c>
      <c r="B42" s="20" t="s">
        <v>106</v>
      </c>
      <c r="C42" s="18">
        <v>13.657485089355466</v>
      </c>
      <c r="D42" s="20" t="s">
        <v>246</v>
      </c>
      <c r="E42" s="25">
        <v>44260</v>
      </c>
      <c r="F42" s="11">
        <v>342000000</v>
      </c>
      <c r="G42" s="54">
        <v>44273</v>
      </c>
      <c r="H42" s="13">
        <v>108</v>
      </c>
      <c r="I42" s="11">
        <v>7.9999999999999996E-7</v>
      </c>
      <c r="J42" s="49">
        <f t="shared" si="2"/>
        <v>135000000</v>
      </c>
      <c r="K42" s="35" t="s">
        <v>280</v>
      </c>
      <c r="L42" s="35">
        <v>47</v>
      </c>
      <c r="M42" s="51">
        <v>6.9999999999999999E-6</v>
      </c>
      <c r="N42" s="47">
        <f t="shared" si="3"/>
        <v>6714285.7142857146</v>
      </c>
    </row>
    <row r="43" spans="1:14" x14ac:dyDescent="0.25">
      <c r="A43" s="13">
        <v>46</v>
      </c>
      <c r="B43" s="20" t="s">
        <v>107</v>
      </c>
      <c r="C43" s="18">
        <v>7.7222071673317858</v>
      </c>
      <c r="D43" s="20" t="s">
        <v>247</v>
      </c>
      <c r="E43" s="25">
        <v>44260</v>
      </c>
      <c r="F43" s="11">
        <v>75000000</v>
      </c>
      <c r="G43" s="54">
        <v>44273</v>
      </c>
      <c r="H43" s="13">
        <v>111</v>
      </c>
      <c r="I43" s="11">
        <v>5.0000000000000004E-6</v>
      </c>
      <c r="J43" s="49">
        <f t="shared" si="2"/>
        <v>22200000</v>
      </c>
      <c r="K43" s="35" t="s">
        <v>280</v>
      </c>
      <c r="L43" s="35">
        <v>138</v>
      </c>
      <c r="M43" s="51">
        <v>2.5000000000000001E-5</v>
      </c>
      <c r="N43" s="47">
        <f t="shared" si="3"/>
        <v>5520000</v>
      </c>
    </row>
    <row r="44" spans="1:14" x14ac:dyDescent="0.25">
      <c r="A44" s="13">
        <v>47</v>
      </c>
      <c r="B44" s="20" t="s">
        <v>108</v>
      </c>
      <c r="C44" s="18">
        <v>18.938457049065104</v>
      </c>
      <c r="D44" s="20" t="s">
        <v>248</v>
      </c>
      <c r="E44" s="25">
        <v>44260</v>
      </c>
      <c r="F44" s="11">
        <v>380000000</v>
      </c>
      <c r="G44" s="54">
        <v>44273</v>
      </c>
      <c r="H44" s="13">
        <v>105</v>
      </c>
      <c r="I44" s="11">
        <v>7.9999999999999996E-7</v>
      </c>
      <c r="J44" s="49">
        <f t="shared" si="2"/>
        <v>131250000</v>
      </c>
      <c r="K44" s="35" t="s">
        <v>280</v>
      </c>
      <c r="L44" s="35">
        <v>52</v>
      </c>
      <c r="M44" s="51">
        <v>1.9999999999999999E-6</v>
      </c>
      <c r="N44" s="47">
        <f t="shared" si="3"/>
        <v>26000000</v>
      </c>
    </row>
    <row r="45" spans="1:14" x14ac:dyDescent="0.25">
      <c r="A45" s="13">
        <v>48</v>
      </c>
      <c r="B45" s="20" t="s">
        <v>109</v>
      </c>
      <c r="C45" s="18">
        <v>17.966152446602326</v>
      </c>
      <c r="D45" s="20" t="s">
        <v>249</v>
      </c>
      <c r="E45" s="25">
        <v>44260</v>
      </c>
      <c r="F45" s="11">
        <v>404000000</v>
      </c>
      <c r="G45" s="54">
        <v>44273</v>
      </c>
      <c r="H45" s="13">
        <v>133</v>
      </c>
      <c r="I45" s="11">
        <v>5.9999999999999997E-7</v>
      </c>
      <c r="J45" s="49">
        <f t="shared" si="2"/>
        <v>221666666.66666669</v>
      </c>
      <c r="K45" s="35" t="s">
        <v>280</v>
      </c>
      <c r="L45" s="35">
        <v>90</v>
      </c>
      <c r="M45" s="51">
        <v>1.9999999999999999E-6</v>
      </c>
      <c r="N45" s="47">
        <f t="shared" si="3"/>
        <v>45000000</v>
      </c>
    </row>
    <row r="46" spans="1:14" x14ac:dyDescent="0.25">
      <c r="A46" s="13">
        <v>49</v>
      </c>
      <c r="B46" s="20" t="s">
        <v>110</v>
      </c>
      <c r="C46" s="18">
        <v>19.222951747219316</v>
      </c>
      <c r="D46" s="20" t="s">
        <v>250</v>
      </c>
      <c r="E46" s="25">
        <v>44260</v>
      </c>
      <c r="F46" s="11">
        <v>124000000</v>
      </c>
      <c r="G46" s="54">
        <v>44273</v>
      </c>
      <c r="H46" s="13">
        <v>187</v>
      </c>
      <c r="I46" s="11">
        <v>3.0000000000000001E-6</v>
      </c>
      <c r="J46" s="49">
        <f>H46/I46</f>
        <v>62333333.333333328</v>
      </c>
      <c r="K46" s="35" t="s">
        <v>280</v>
      </c>
      <c r="L46" s="35">
        <v>68</v>
      </c>
      <c r="M46" s="51">
        <v>3.9999999999999998E-6</v>
      </c>
      <c r="N46" s="47">
        <f t="shared" si="3"/>
        <v>17000000</v>
      </c>
    </row>
    <row r="47" spans="1:14" x14ac:dyDescent="0.25">
      <c r="A47" s="13">
        <v>50</v>
      </c>
      <c r="B47" s="20" t="s">
        <v>111</v>
      </c>
      <c r="C47" s="18">
        <v>19.857056925428008</v>
      </c>
      <c r="D47" s="20" t="s">
        <v>251</v>
      </c>
      <c r="E47" s="25">
        <v>44260</v>
      </c>
      <c r="F47" s="11">
        <v>222000000</v>
      </c>
      <c r="G47" s="54">
        <v>44273</v>
      </c>
      <c r="H47" s="13">
        <v>117</v>
      </c>
      <c r="I47" s="11">
        <v>1.9999999999999999E-6</v>
      </c>
      <c r="J47" s="49">
        <f t="shared" si="2"/>
        <v>58500000</v>
      </c>
      <c r="K47" s="35" t="s">
        <v>281</v>
      </c>
      <c r="L47" s="35">
        <v>98</v>
      </c>
      <c r="M47" s="51">
        <v>3.9999999999999998E-6</v>
      </c>
      <c r="N47" s="47">
        <f t="shared" si="3"/>
        <v>24500000</v>
      </c>
    </row>
    <row r="48" spans="1:14" x14ac:dyDescent="0.25">
      <c r="A48" s="13">
        <v>51</v>
      </c>
      <c r="B48" s="20" t="s">
        <v>112</v>
      </c>
      <c r="C48" s="18">
        <v>14.473459592236644</v>
      </c>
      <c r="D48" s="20" t="s">
        <v>252</v>
      </c>
      <c r="E48" s="25">
        <v>44260</v>
      </c>
      <c r="F48" s="11">
        <v>398000000</v>
      </c>
      <c r="G48" s="54">
        <v>44273</v>
      </c>
      <c r="H48" s="13">
        <v>118</v>
      </c>
      <c r="I48" s="11">
        <v>7.9999999999999996E-7</v>
      </c>
      <c r="J48" s="49">
        <f t="shared" si="2"/>
        <v>147500000</v>
      </c>
      <c r="K48" s="35" t="s">
        <v>280</v>
      </c>
      <c r="L48" s="35">
        <v>232</v>
      </c>
      <c r="M48" s="51">
        <v>1.0000000000000001E-5</v>
      </c>
      <c r="N48" s="47">
        <f t="shared" si="3"/>
        <v>23199999.999999996</v>
      </c>
    </row>
    <row r="49" spans="1:14" x14ac:dyDescent="0.25">
      <c r="A49" s="13">
        <v>52</v>
      </c>
      <c r="B49" s="20" t="s">
        <v>113</v>
      </c>
      <c r="C49" s="18">
        <v>15.636156353144647</v>
      </c>
      <c r="D49" s="20" t="s">
        <v>253</v>
      </c>
      <c r="E49" s="25">
        <v>44260</v>
      </c>
      <c r="F49" s="11">
        <v>150000000</v>
      </c>
      <c r="G49" s="54">
        <v>44273</v>
      </c>
      <c r="H49" s="13">
        <v>186</v>
      </c>
      <c r="I49" s="11">
        <v>2.5000000000000002E-6</v>
      </c>
      <c r="J49" s="49">
        <f t="shared" si="2"/>
        <v>74400000</v>
      </c>
      <c r="K49" s="35" t="s">
        <v>280</v>
      </c>
      <c r="L49" s="35">
        <v>63</v>
      </c>
      <c r="M49" s="51">
        <v>3.9999999999999998E-6</v>
      </c>
      <c r="N49" s="47">
        <f t="shared" si="3"/>
        <v>15750000</v>
      </c>
    </row>
    <row r="50" spans="1:14" x14ac:dyDescent="0.25">
      <c r="A50" s="13">
        <v>53</v>
      </c>
      <c r="B50" s="20" t="s">
        <v>114</v>
      </c>
      <c r="C50" s="18">
        <v>11.349034315624804</v>
      </c>
      <c r="D50" s="20" t="s">
        <v>254</v>
      </c>
      <c r="E50" s="25">
        <v>44260</v>
      </c>
      <c r="F50" s="11">
        <v>228000000</v>
      </c>
      <c r="G50" s="11"/>
      <c r="H50" s="13">
        <v>76</v>
      </c>
      <c r="I50" s="11">
        <v>4.9999999999999998E-7</v>
      </c>
      <c r="J50" s="49">
        <f t="shared" si="2"/>
        <v>152000000</v>
      </c>
      <c r="K50" s="35" t="s">
        <v>280</v>
      </c>
      <c r="L50" s="35">
        <v>88</v>
      </c>
      <c r="M50" s="51">
        <v>1.5E-5</v>
      </c>
      <c r="N50" s="47">
        <f t="shared" si="3"/>
        <v>5866666.666666667</v>
      </c>
    </row>
    <row r="51" spans="1:14" x14ac:dyDescent="0.25">
      <c r="A51" s="13">
        <v>54</v>
      </c>
      <c r="B51" s="20" t="s">
        <v>115</v>
      </c>
      <c r="C51" s="18">
        <v>6.4090694551357688</v>
      </c>
      <c r="D51" s="20" t="s">
        <v>255</v>
      </c>
      <c r="E51" s="25">
        <v>44260</v>
      </c>
      <c r="F51" s="11">
        <v>13800000</v>
      </c>
      <c r="G51" s="54">
        <v>44273</v>
      </c>
      <c r="H51" s="13">
        <v>122</v>
      </c>
      <c r="I51" s="11">
        <v>2.0000000000000002E-5</v>
      </c>
      <c r="J51" s="49">
        <f t="shared" si="2"/>
        <v>6099999.9999999991</v>
      </c>
      <c r="K51" s="35" t="s">
        <v>280</v>
      </c>
      <c r="L51" s="35">
        <v>63</v>
      </c>
      <c r="M51" s="51">
        <v>1.7E-5</v>
      </c>
      <c r="N51" s="47">
        <f t="shared" si="3"/>
        <v>3705882.3529411764</v>
      </c>
    </row>
    <row r="52" spans="1:14" x14ac:dyDescent="0.25">
      <c r="A52" s="13">
        <v>55</v>
      </c>
      <c r="B52" s="20" t="s">
        <v>116</v>
      </c>
      <c r="C52" s="18">
        <v>12.066949178254243</v>
      </c>
      <c r="D52" s="20" t="s">
        <v>256</v>
      </c>
      <c r="E52" s="25">
        <v>44260</v>
      </c>
      <c r="F52" s="11">
        <v>33000000</v>
      </c>
      <c r="G52" s="11"/>
      <c r="H52" s="13">
        <v>58</v>
      </c>
      <c r="I52" s="11">
        <v>5.0000000000000004E-6</v>
      </c>
      <c r="J52" s="49">
        <f t="shared" si="2"/>
        <v>11599999.999999998</v>
      </c>
      <c r="K52" s="35" t="s">
        <v>279</v>
      </c>
      <c r="L52" s="35">
        <v>65</v>
      </c>
      <c r="M52" s="51">
        <v>3.0000000000000001E-6</v>
      </c>
      <c r="N52" s="47">
        <f t="shared" si="3"/>
        <v>21666666.666666668</v>
      </c>
    </row>
    <row r="53" spans="1:14" x14ac:dyDescent="0.25">
      <c r="A53" s="13">
        <v>56</v>
      </c>
      <c r="B53" s="20" t="s">
        <v>117</v>
      </c>
      <c r="C53" s="18">
        <v>17.470658589118408</v>
      </c>
      <c r="D53" s="20" t="s">
        <v>257</v>
      </c>
      <c r="E53" s="25">
        <v>44260</v>
      </c>
      <c r="F53" s="11">
        <v>218000000</v>
      </c>
      <c r="G53" s="54">
        <v>44273</v>
      </c>
      <c r="H53" s="13">
        <v>109</v>
      </c>
      <c r="I53" s="11">
        <v>9.9999999999999995E-7</v>
      </c>
      <c r="J53" s="49">
        <f t="shared" si="2"/>
        <v>109000000</v>
      </c>
      <c r="K53" s="52">
        <v>44271</v>
      </c>
      <c r="L53" s="35">
        <v>86</v>
      </c>
      <c r="M53" s="51">
        <v>3.0000000000000001E-6</v>
      </c>
      <c r="N53" s="47">
        <f t="shared" si="3"/>
        <v>28666666.666666664</v>
      </c>
    </row>
    <row r="54" spans="1:14" x14ac:dyDescent="0.25">
      <c r="A54" s="13">
        <v>58</v>
      </c>
      <c r="B54" s="20" t="s">
        <v>118</v>
      </c>
      <c r="C54" s="18">
        <v>20.998346287837439</v>
      </c>
      <c r="D54" s="20" t="s">
        <v>258</v>
      </c>
      <c r="E54" s="25">
        <v>44260</v>
      </c>
      <c r="F54" s="11">
        <v>56000000</v>
      </c>
      <c r="G54" s="54">
        <v>44273</v>
      </c>
      <c r="H54" s="13">
        <v>129</v>
      </c>
      <c r="I54" s="11">
        <v>1.0000000000000001E-5</v>
      </c>
      <c r="J54" s="49">
        <f t="shared" si="2"/>
        <v>12899999.999999998</v>
      </c>
      <c r="K54" s="35" t="s">
        <v>279</v>
      </c>
      <c r="L54" s="35">
        <v>94</v>
      </c>
      <c r="M54" s="51">
        <v>1.9999999999999999E-6</v>
      </c>
      <c r="N54" s="47">
        <f t="shared" si="3"/>
        <v>47000000</v>
      </c>
    </row>
    <row r="55" spans="1:14" x14ac:dyDescent="0.25">
      <c r="A55" s="13">
        <v>60</v>
      </c>
      <c r="B55" s="20" t="s">
        <v>119</v>
      </c>
      <c r="C55" s="18">
        <v>16.434984953461999</v>
      </c>
      <c r="D55" s="20" t="s">
        <v>259</v>
      </c>
      <c r="E55" s="25">
        <v>44263</v>
      </c>
      <c r="F55" s="11">
        <v>2910000</v>
      </c>
      <c r="G55" s="54">
        <v>44273</v>
      </c>
      <c r="H55" s="13">
        <v>11</v>
      </c>
      <c r="I55" s="11">
        <v>0.01</v>
      </c>
      <c r="J55" s="49">
        <f t="shared" si="2"/>
        <v>1100</v>
      </c>
      <c r="K55" s="35" t="s">
        <v>280</v>
      </c>
      <c r="L55" s="35">
        <v>159</v>
      </c>
      <c r="M55" s="51">
        <v>1E-4</v>
      </c>
      <c r="N55" s="47">
        <f t="shared" si="3"/>
        <v>1590000</v>
      </c>
    </row>
    <row r="56" spans="1:14" x14ac:dyDescent="0.25">
      <c r="A56" s="13">
        <v>61</v>
      </c>
      <c r="B56" s="20" t="s">
        <v>120</v>
      </c>
      <c r="C56" s="18">
        <v>20.019276606995621</v>
      </c>
      <c r="D56" s="20" t="s">
        <v>260</v>
      </c>
      <c r="E56" s="25">
        <v>44260</v>
      </c>
      <c r="F56" s="11">
        <v>5600000</v>
      </c>
      <c r="G56" s="54">
        <v>44273</v>
      </c>
      <c r="H56" s="13">
        <v>129</v>
      </c>
      <c r="I56" s="11">
        <v>1E-4</v>
      </c>
      <c r="J56" s="49">
        <f t="shared" si="2"/>
        <v>1290000</v>
      </c>
      <c r="K56" s="35" t="s">
        <v>281</v>
      </c>
      <c r="L56" s="35">
        <v>91</v>
      </c>
      <c r="M56" s="51">
        <v>5.0000000000000004E-6</v>
      </c>
      <c r="N56" s="47">
        <f t="shared" si="3"/>
        <v>18200000</v>
      </c>
    </row>
    <row r="57" spans="1:14" x14ac:dyDescent="0.25">
      <c r="A57" s="13">
        <v>62</v>
      </c>
      <c r="B57" s="20" t="s">
        <v>121</v>
      </c>
      <c r="C57" s="18">
        <v>19.65827979432682</v>
      </c>
      <c r="D57" s="20" t="s">
        <v>261</v>
      </c>
      <c r="E57" s="25">
        <v>44260</v>
      </c>
      <c r="F57" s="11">
        <v>1240000</v>
      </c>
      <c r="G57" s="11"/>
      <c r="H57" s="32">
        <v>77</v>
      </c>
      <c r="I57" s="33">
        <v>1E-4</v>
      </c>
      <c r="J57" s="48">
        <f t="shared" si="2"/>
        <v>770000</v>
      </c>
      <c r="K57" s="13" t="s">
        <v>280</v>
      </c>
      <c r="L57" s="13">
        <v>211</v>
      </c>
      <c r="M57" s="11">
        <v>2.5000000000000001E-5</v>
      </c>
      <c r="N57" s="47">
        <f t="shared" si="3"/>
        <v>8440000</v>
      </c>
    </row>
    <row r="58" spans="1:14" x14ac:dyDescent="0.25">
      <c r="A58" s="13">
        <v>63</v>
      </c>
      <c r="B58" s="20" t="s">
        <v>122</v>
      </c>
      <c r="C58" s="18">
        <v>16.698528908130172</v>
      </c>
      <c r="D58" s="20" t="s">
        <v>262</v>
      </c>
      <c r="E58" s="25">
        <v>44260</v>
      </c>
      <c r="F58" s="11">
        <v>18400000</v>
      </c>
      <c r="G58" s="54">
        <v>44273</v>
      </c>
      <c r="H58" s="13">
        <v>98</v>
      </c>
      <c r="I58" s="11">
        <v>3.0000000000000001E-5</v>
      </c>
      <c r="J58" s="6">
        <f t="shared" si="2"/>
        <v>3266666.6666666665</v>
      </c>
      <c r="K58" s="13" t="s">
        <v>280</v>
      </c>
      <c r="L58" s="13">
        <v>56</v>
      </c>
      <c r="M58" s="11">
        <v>1.5E-5</v>
      </c>
      <c r="N58" s="47">
        <f t="shared" si="3"/>
        <v>3733333.333333333</v>
      </c>
    </row>
    <row r="59" spans="1:14" x14ac:dyDescent="0.25">
      <c r="A59" s="13">
        <v>64</v>
      </c>
      <c r="B59" s="20" t="s">
        <v>123</v>
      </c>
      <c r="C59" s="18">
        <v>20.900179336673407</v>
      </c>
      <c r="D59" s="20" t="s">
        <v>263</v>
      </c>
      <c r="E59" s="25">
        <v>44260</v>
      </c>
      <c r="F59" s="11">
        <v>34000000</v>
      </c>
      <c r="G59" s="54">
        <v>44273</v>
      </c>
      <c r="H59" s="13">
        <v>229</v>
      </c>
      <c r="I59" s="11">
        <v>5.0000000000000002E-5</v>
      </c>
      <c r="J59" s="6">
        <f t="shared" si="2"/>
        <v>4580000</v>
      </c>
      <c r="K59" s="13" t="s">
        <v>280</v>
      </c>
      <c r="L59" s="13">
        <v>60</v>
      </c>
      <c r="M59" s="11">
        <v>9.0000000000000002E-6</v>
      </c>
      <c r="N59" s="47">
        <f t="shared" si="3"/>
        <v>6666666.666666666</v>
      </c>
    </row>
    <row r="60" spans="1:14" x14ac:dyDescent="0.25">
      <c r="A60" s="13">
        <v>65</v>
      </c>
      <c r="B60" s="20" t="s">
        <v>124</v>
      </c>
      <c r="C60" s="18">
        <v>19.31874005939039</v>
      </c>
      <c r="D60" s="20" t="s">
        <v>264</v>
      </c>
      <c r="E60" s="25">
        <v>44260</v>
      </c>
      <c r="F60" s="11">
        <v>77000000</v>
      </c>
      <c r="G60" s="54">
        <v>44273</v>
      </c>
      <c r="H60" s="13">
        <v>64</v>
      </c>
      <c r="I60" s="11">
        <v>5.0000000000000004E-6</v>
      </c>
      <c r="J60" s="49">
        <f t="shared" si="2"/>
        <v>12799999.999999998</v>
      </c>
      <c r="K60" s="13" t="s">
        <v>280</v>
      </c>
      <c r="L60" s="13">
        <v>81</v>
      </c>
      <c r="M60" s="11">
        <v>1.0000000000000001E-5</v>
      </c>
      <c r="N60" s="47">
        <f t="shared" si="3"/>
        <v>8099999.9999999991</v>
      </c>
    </row>
    <row r="61" spans="1:14" x14ac:dyDescent="0.25">
      <c r="A61" s="13">
        <v>66</v>
      </c>
      <c r="B61" s="20" t="s">
        <v>125</v>
      </c>
      <c r="C61" s="18">
        <v>18.17495851462046</v>
      </c>
      <c r="D61" s="20" t="s">
        <v>265</v>
      </c>
      <c r="E61" s="25">
        <v>44260</v>
      </c>
      <c r="F61" s="11">
        <v>90000000</v>
      </c>
      <c r="G61" s="54">
        <v>44273</v>
      </c>
      <c r="H61" s="13">
        <v>72</v>
      </c>
      <c r="I61" s="11">
        <v>6.0000000000000002E-6</v>
      </c>
      <c r="J61" s="49">
        <f t="shared" si="2"/>
        <v>12000000</v>
      </c>
      <c r="K61" s="13" t="s">
        <v>280</v>
      </c>
      <c r="L61" s="13">
        <v>148</v>
      </c>
      <c r="M61" s="11">
        <v>6.9999999999999994E-5</v>
      </c>
      <c r="N61" s="47">
        <f t="shared" si="3"/>
        <v>2114285.7142857146</v>
      </c>
    </row>
    <row r="62" spans="1:14" x14ac:dyDescent="0.25">
      <c r="A62" s="8">
        <v>101</v>
      </c>
      <c r="B62" s="8" t="s">
        <v>1</v>
      </c>
      <c r="C62" s="9">
        <v>20.619178346268122</v>
      </c>
      <c r="D62" s="8" t="s">
        <v>141</v>
      </c>
      <c r="E62" s="25">
        <v>44260</v>
      </c>
      <c r="F62" s="11">
        <v>32500000</v>
      </c>
      <c r="G62" s="11"/>
      <c r="H62" s="32">
        <v>35</v>
      </c>
      <c r="I62" s="33">
        <v>1E-4</v>
      </c>
      <c r="J62" s="48">
        <f t="shared" si="2"/>
        <v>350000</v>
      </c>
      <c r="K62" s="26">
        <v>44264</v>
      </c>
      <c r="L62" s="13">
        <v>94</v>
      </c>
      <c r="M62" s="11">
        <v>3.0000000000000001E-6</v>
      </c>
      <c r="N62" s="47">
        <f t="shared" si="3"/>
        <v>31333333.333333332</v>
      </c>
    </row>
    <row r="63" spans="1:14" x14ac:dyDescent="0.25">
      <c r="A63" s="8">
        <v>102</v>
      </c>
      <c r="B63" s="8" t="s">
        <v>2</v>
      </c>
      <c r="C63" s="9">
        <v>20.405983910923702</v>
      </c>
      <c r="D63" s="8" t="s">
        <v>142</v>
      </c>
      <c r="E63" s="25">
        <v>44260</v>
      </c>
      <c r="F63" s="11">
        <v>93000000</v>
      </c>
      <c r="G63" s="11"/>
      <c r="H63" s="32">
        <v>48</v>
      </c>
      <c r="I63" s="33">
        <v>5.0000000000000002E-5</v>
      </c>
      <c r="J63" s="48">
        <f t="shared" si="2"/>
        <v>960000</v>
      </c>
      <c r="K63" s="13" t="s">
        <v>281</v>
      </c>
      <c r="L63" s="13">
        <v>130</v>
      </c>
      <c r="M63" s="11">
        <v>5.0000000000000004E-6</v>
      </c>
      <c r="N63" s="47">
        <f t="shared" si="3"/>
        <v>25999999.999999996</v>
      </c>
    </row>
    <row r="64" spans="1:14" x14ac:dyDescent="0.25">
      <c r="A64" s="8">
        <v>103</v>
      </c>
      <c r="B64" s="8" t="s">
        <v>3</v>
      </c>
      <c r="C64" s="9">
        <v>20.242722782621101</v>
      </c>
      <c r="D64" s="8" t="s">
        <v>143</v>
      </c>
      <c r="E64" s="25">
        <v>44260</v>
      </c>
      <c r="F64" s="11">
        <v>36500000</v>
      </c>
      <c r="G64" s="11"/>
      <c r="H64" s="32">
        <v>87</v>
      </c>
      <c r="I64" s="33">
        <v>1E-4</v>
      </c>
      <c r="J64" s="48">
        <f t="shared" si="2"/>
        <v>870000</v>
      </c>
      <c r="K64" s="26">
        <v>44264</v>
      </c>
      <c r="L64" s="13">
        <v>128</v>
      </c>
      <c r="M64" s="11">
        <v>3.0000000000000001E-6</v>
      </c>
      <c r="N64" s="47">
        <f t="shared" si="3"/>
        <v>42666666.666666664</v>
      </c>
    </row>
    <row r="65" spans="1:14" x14ac:dyDescent="0.25">
      <c r="A65" s="8">
        <v>104</v>
      </c>
      <c r="B65" s="8" t="s">
        <v>4</v>
      </c>
      <c r="C65" s="9">
        <v>19.949246172281907</v>
      </c>
      <c r="D65" s="8" t="s">
        <v>144</v>
      </c>
      <c r="E65" s="25">
        <v>44260</v>
      </c>
      <c r="F65" s="11">
        <v>90000000</v>
      </c>
      <c r="G65" s="11"/>
      <c r="H65" s="32">
        <v>62</v>
      </c>
      <c r="I65" s="33">
        <v>5.0000000000000002E-5</v>
      </c>
      <c r="J65" s="48">
        <f t="shared" si="2"/>
        <v>1240000</v>
      </c>
      <c r="K65" s="13" t="s">
        <v>275</v>
      </c>
      <c r="L65" s="13">
        <v>79</v>
      </c>
      <c r="M65" s="11">
        <v>3.4999999999999999E-6</v>
      </c>
      <c r="N65" s="47">
        <f t="shared" si="3"/>
        <v>22571428.571428571</v>
      </c>
    </row>
    <row r="66" spans="1:14" x14ac:dyDescent="0.25">
      <c r="A66" s="8">
        <v>105</v>
      </c>
      <c r="B66" s="8" t="s">
        <v>5</v>
      </c>
      <c r="C66" s="9">
        <v>19.048200838994649</v>
      </c>
      <c r="D66" s="8" t="s">
        <v>145</v>
      </c>
      <c r="E66" s="25">
        <v>44260</v>
      </c>
      <c r="F66" s="11">
        <v>16500000</v>
      </c>
      <c r="G66" s="11"/>
      <c r="H66" s="32">
        <v>184</v>
      </c>
      <c r="I66" s="33">
        <v>5.0000000000000001E-4</v>
      </c>
      <c r="J66" s="48">
        <f t="shared" ref="J66:J97" si="4">H66/I66</f>
        <v>368000</v>
      </c>
      <c r="K66" s="26">
        <v>44264</v>
      </c>
      <c r="L66" s="13">
        <v>142</v>
      </c>
      <c r="M66" s="11">
        <v>6.0000000000000002E-6</v>
      </c>
      <c r="N66" s="47">
        <f t="shared" ref="N66:N97" si="5">L66/M66</f>
        <v>23666666.666666668</v>
      </c>
    </row>
    <row r="67" spans="1:14" x14ac:dyDescent="0.25">
      <c r="A67" s="8">
        <v>106</v>
      </c>
      <c r="B67" s="8" t="s">
        <v>6</v>
      </c>
      <c r="C67" s="9">
        <v>19.959269357374637</v>
      </c>
      <c r="D67" s="8" t="s">
        <v>146</v>
      </c>
      <c r="E67" s="25">
        <v>44260</v>
      </c>
      <c r="F67" s="11">
        <v>166000000</v>
      </c>
      <c r="G67" s="11"/>
      <c r="H67" s="32">
        <v>97</v>
      </c>
      <c r="I67" s="33">
        <v>4.9999999999999998E-7</v>
      </c>
      <c r="J67" s="48">
        <f t="shared" si="4"/>
        <v>194000000</v>
      </c>
      <c r="K67" s="13" t="s">
        <v>281</v>
      </c>
      <c r="L67" s="13">
        <v>142</v>
      </c>
      <c r="M67" s="11">
        <v>9.0000000000000002E-6</v>
      </c>
      <c r="N67" s="47">
        <f t="shared" si="5"/>
        <v>15777777.777777778</v>
      </c>
    </row>
    <row r="68" spans="1:14" x14ac:dyDescent="0.25">
      <c r="A68" s="8">
        <v>107</v>
      </c>
      <c r="B68" s="8" t="s">
        <v>7</v>
      </c>
      <c r="C68" s="9">
        <v>15.257184073987796</v>
      </c>
      <c r="D68" s="8" t="s">
        <v>147</v>
      </c>
      <c r="E68" s="25">
        <v>44260</v>
      </c>
      <c r="F68" s="11">
        <v>13800000</v>
      </c>
      <c r="G68" s="11"/>
      <c r="H68" s="32">
        <v>168</v>
      </c>
      <c r="I68" s="33">
        <v>5.0000000000000001E-4</v>
      </c>
      <c r="J68" s="48">
        <f t="shared" si="4"/>
        <v>336000</v>
      </c>
      <c r="K68" s="13" t="s">
        <v>275</v>
      </c>
      <c r="L68" s="13">
        <v>138</v>
      </c>
      <c r="M68" s="11">
        <v>1.5E-5</v>
      </c>
      <c r="N68" s="47">
        <f t="shared" si="5"/>
        <v>9200000</v>
      </c>
    </row>
    <row r="69" spans="1:14" x14ac:dyDescent="0.25">
      <c r="A69" s="8">
        <v>108</v>
      </c>
      <c r="B69" s="8" t="s">
        <v>8</v>
      </c>
      <c r="C69" s="9">
        <v>18.20203438581521</v>
      </c>
      <c r="D69" s="8" t="s">
        <v>148</v>
      </c>
      <c r="E69" s="25">
        <v>44260</v>
      </c>
      <c r="F69" s="11">
        <v>14000000</v>
      </c>
      <c r="G69" s="11"/>
      <c r="H69" s="32">
        <v>202</v>
      </c>
      <c r="I69" s="33">
        <v>5.0000000000000001E-4</v>
      </c>
      <c r="J69" s="48">
        <f t="shared" si="4"/>
        <v>404000</v>
      </c>
      <c r="K69" s="26">
        <v>44264</v>
      </c>
      <c r="L69" s="13">
        <v>148</v>
      </c>
      <c r="M69" s="11">
        <v>6.9999999999999999E-6</v>
      </c>
      <c r="N69" s="47">
        <f t="shared" si="5"/>
        <v>21142857.142857142</v>
      </c>
    </row>
    <row r="70" spans="1:14" x14ac:dyDescent="0.25">
      <c r="A70" s="8">
        <v>109</v>
      </c>
      <c r="B70" s="8" t="s">
        <v>9</v>
      </c>
      <c r="C70" s="9">
        <v>10.166666666666666</v>
      </c>
      <c r="D70" s="8" t="s">
        <v>149</v>
      </c>
      <c r="E70" s="25">
        <v>44260</v>
      </c>
      <c r="F70" s="11">
        <v>5600000</v>
      </c>
      <c r="G70" s="11"/>
      <c r="H70" s="32">
        <v>46</v>
      </c>
      <c r="I70" s="33">
        <v>1.0000000000000001E-5</v>
      </c>
      <c r="J70" s="48">
        <f t="shared" si="4"/>
        <v>4600000</v>
      </c>
      <c r="K70" s="26">
        <v>44264</v>
      </c>
      <c r="L70" s="13">
        <v>71</v>
      </c>
      <c r="M70" s="11">
        <v>2.0000000000000002E-5</v>
      </c>
      <c r="N70" s="47">
        <f t="shared" si="5"/>
        <v>3549999.9999999995</v>
      </c>
    </row>
    <row r="71" spans="1:14" x14ac:dyDescent="0.25">
      <c r="A71" s="8">
        <v>110</v>
      </c>
      <c r="B71" s="8" t="s">
        <v>10</v>
      </c>
      <c r="C71" s="9">
        <v>14.695075756768505</v>
      </c>
      <c r="D71" s="8" t="s">
        <v>150</v>
      </c>
      <c r="E71" s="25">
        <v>44260</v>
      </c>
      <c r="F71" s="11">
        <v>14700000</v>
      </c>
      <c r="G71" s="11"/>
      <c r="H71" s="32">
        <v>137</v>
      </c>
      <c r="I71" s="33">
        <v>5.0000000000000001E-4</v>
      </c>
      <c r="J71" s="48">
        <f t="shared" si="4"/>
        <v>274000</v>
      </c>
      <c r="K71" s="26">
        <v>44264</v>
      </c>
      <c r="L71" s="13">
        <v>83</v>
      </c>
      <c r="M71" s="11">
        <v>6.9999999999999999E-6</v>
      </c>
      <c r="N71" s="47">
        <f t="shared" si="5"/>
        <v>11857142.857142858</v>
      </c>
    </row>
    <row r="72" spans="1:14" x14ac:dyDescent="0.25">
      <c r="A72" s="8">
        <v>111</v>
      </c>
      <c r="B72" s="8" t="s">
        <v>11</v>
      </c>
      <c r="C72" s="9">
        <v>6.1233333333333322</v>
      </c>
      <c r="D72" s="8" t="s">
        <v>151</v>
      </c>
      <c r="E72" s="25">
        <v>44260</v>
      </c>
      <c r="F72" s="11">
        <v>1580000</v>
      </c>
      <c r="G72" s="11"/>
      <c r="H72" s="32">
        <v>65</v>
      </c>
      <c r="I72" s="33">
        <v>5.0000000000000001E-3</v>
      </c>
      <c r="J72" s="48">
        <f t="shared" si="4"/>
        <v>13000</v>
      </c>
      <c r="K72" s="26">
        <v>44264</v>
      </c>
      <c r="L72" s="13">
        <v>271</v>
      </c>
      <c r="M72" s="11">
        <v>6.0000000000000002E-5</v>
      </c>
      <c r="N72" s="47">
        <f t="shared" si="5"/>
        <v>4516666.666666667</v>
      </c>
    </row>
    <row r="73" spans="1:14" x14ac:dyDescent="0.25">
      <c r="A73" s="8">
        <v>112</v>
      </c>
      <c r="B73" s="8" t="s">
        <v>12</v>
      </c>
      <c r="C73" s="9">
        <v>15.978881919827577</v>
      </c>
      <c r="D73" s="8" t="s">
        <v>152</v>
      </c>
      <c r="E73" s="25">
        <v>44260</v>
      </c>
      <c r="F73" s="11">
        <v>3850000</v>
      </c>
      <c r="G73" s="11"/>
      <c r="H73" s="32">
        <v>195</v>
      </c>
      <c r="I73" s="33">
        <v>1E-3</v>
      </c>
      <c r="J73" s="48">
        <f t="shared" si="4"/>
        <v>195000</v>
      </c>
      <c r="K73" s="13" t="s">
        <v>275</v>
      </c>
      <c r="L73" s="13">
        <v>134</v>
      </c>
      <c r="M73" s="11">
        <v>1.0000000000000001E-5</v>
      </c>
      <c r="N73" s="47">
        <f t="shared" si="5"/>
        <v>13399999.999999998</v>
      </c>
    </row>
    <row r="74" spans="1:14" x14ac:dyDescent="0.25">
      <c r="A74" s="8">
        <v>113</v>
      </c>
      <c r="B74" s="8" t="s">
        <v>13</v>
      </c>
      <c r="C74" s="9">
        <v>15.833224997008275</v>
      </c>
      <c r="D74" s="8" t="s">
        <v>153</v>
      </c>
      <c r="E74" s="25">
        <v>44260</v>
      </c>
      <c r="F74" s="11">
        <v>10600000</v>
      </c>
      <c r="G74" s="11"/>
      <c r="H74" s="32">
        <v>69</v>
      </c>
      <c r="I74" s="33">
        <v>5.0000000000000004E-6</v>
      </c>
      <c r="J74" s="48">
        <f t="shared" si="4"/>
        <v>13799999.999999998</v>
      </c>
      <c r="K74" s="13" t="s">
        <v>276</v>
      </c>
      <c r="L74" s="13">
        <v>57</v>
      </c>
      <c r="M74" s="11">
        <v>6.9999999999999994E-5</v>
      </c>
      <c r="N74" s="47">
        <f t="shared" si="5"/>
        <v>814285.71428571432</v>
      </c>
    </row>
    <row r="75" spans="1:14" x14ac:dyDescent="0.25">
      <c r="A75" s="8">
        <v>114</v>
      </c>
      <c r="B75" s="8" t="s">
        <v>14</v>
      </c>
      <c r="C75" s="9">
        <v>13.056666666666667</v>
      </c>
      <c r="D75" s="8" t="s">
        <v>154</v>
      </c>
      <c r="E75" s="25">
        <v>44260</v>
      </c>
      <c r="F75" s="11">
        <v>7800000</v>
      </c>
      <c r="G75" s="11"/>
      <c r="H75" s="32">
        <v>151</v>
      </c>
      <c r="I75" s="33">
        <v>5.0000000000000001E-4</v>
      </c>
      <c r="J75" s="48">
        <f t="shared" si="4"/>
        <v>302000</v>
      </c>
      <c r="K75" s="26" t="s">
        <v>281</v>
      </c>
      <c r="L75" s="13">
        <v>67</v>
      </c>
      <c r="M75" s="11">
        <v>2.0000000000000002E-5</v>
      </c>
      <c r="N75" s="47">
        <f t="shared" si="5"/>
        <v>3349999.9999999995</v>
      </c>
    </row>
    <row r="76" spans="1:14" x14ac:dyDescent="0.25">
      <c r="A76" s="8">
        <v>115</v>
      </c>
      <c r="B76" s="8" t="s">
        <v>15</v>
      </c>
      <c r="C76" s="9">
        <v>10.816666666666668</v>
      </c>
      <c r="D76" s="8" t="s">
        <v>155</v>
      </c>
      <c r="E76" s="25">
        <v>44260</v>
      </c>
      <c r="F76" s="11">
        <v>11400000</v>
      </c>
      <c r="G76" s="54">
        <v>44273</v>
      </c>
      <c r="H76" s="35">
        <v>75</v>
      </c>
      <c r="I76" s="51">
        <v>1.0000000000000001E-5</v>
      </c>
      <c r="J76" s="49">
        <f t="shared" si="4"/>
        <v>7499999.9999999991</v>
      </c>
      <c r="K76" s="13" t="s">
        <v>275</v>
      </c>
      <c r="L76" s="13">
        <v>63</v>
      </c>
      <c r="M76" s="11">
        <v>3.4999999999999997E-5</v>
      </c>
      <c r="N76" s="47">
        <f t="shared" si="5"/>
        <v>1800000.0000000002</v>
      </c>
    </row>
    <row r="77" spans="1:14" x14ac:dyDescent="0.25">
      <c r="A77" s="8">
        <v>116</v>
      </c>
      <c r="B77" s="8" t="s">
        <v>16</v>
      </c>
      <c r="C77" s="9">
        <v>20.46665275436844</v>
      </c>
      <c r="D77" s="8" t="s">
        <v>156</v>
      </c>
      <c r="E77" s="25">
        <v>44260</v>
      </c>
      <c r="F77" s="11">
        <v>77000000</v>
      </c>
      <c r="G77" s="11"/>
      <c r="H77" s="32">
        <v>28</v>
      </c>
      <c r="I77" s="33">
        <v>4.9999999999999998E-7</v>
      </c>
      <c r="J77" s="48">
        <f t="shared" si="4"/>
        <v>56000000</v>
      </c>
      <c r="K77" s="19">
        <v>44278</v>
      </c>
      <c r="L77" s="13">
        <v>124</v>
      </c>
      <c r="M77" s="11">
        <v>2.9999999999999997E-4</v>
      </c>
      <c r="N77" s="47">
        <f t="shared" si="5"/>
        <v>413333.33333333337</v>
      </c>
    </row>
    <row r="78" spans="1:14" x14ac:dyDescent="0.25">
      <c r="A78" s="8">
        <v>117</v>
      </c>
      <c r="B78" s="8" t="s">
        <v>17</v>
      </c>
      <c r="C78" s="9">
        <v>20.915149859725734</v>
      </c>
      <c r="D78" s="8" t="s">
        <v>157</v>
      </c>
      <c r="E78" s="25">
        <v>44260</v>
      </c>
      <c r="F78" s="11">
        <v>258000000</v>
      </c>
      <c r="G78" s="11"/>
      <c r="H78" s="32">
        <v>21</v>
      </c>
      <c r="I78" s="33">
        <v>1.0000000000000001E-5</v>
      </c>
      <c r="J78" s="48">
        <f t="shared" si="4"/>
        <v>2100000</v>
      </c>
      <c r="K78" s="13" t="s">
        <v>275</v>
      </c>
      <c r="L78" s="13">
        <v>47</v>
      </c>
      <c r="M78" s="11">
        <v>1.9999999999999999E-6</v>
      </c>
      <c r="N78" s="47">
        <f t="shared" si="5"/>
        <v>23500000</v>
      </c>
    </row>
    <row r="79" spans="1:14" x14ac:dyDescent="0.25">
      <c r="A79" s="8">
        <v>118</v>
      </c>
      <c r="B79" s="8" t="s">
        <v>18</v>
      </c>
      <c r="C79" s="9">
        <v>18.463726865313266</v>
      </c>
      <c r="D79" s="8" t="s">
        <v>158</v>
      </c>
      <c r="E79" s="25">
        <v>44260</v>
      </c>
      <c r="F79" s="11">
        <v>11600000</v>
      </c>
      <c r="G79" s="54">
        <v>44273</v>
      </c>
      <c r="H79" s="13">
        <v>95</v>
      </c>
      <c r="I79" s="11">
        <v>1.0000000000000001E-5</v>
      </c>
      <c r="J79" s="6">
        <f t="shared" si="4"/>
        <v>9500000</v>
      </c>
      <c r="K79" s="26">
        <v>44264</v>
      </c>
      <c r="L79" s="13">
        <v>145</v>
      </c>
      <c r="M79" s="11">
        <v>9.0000000000000002E-6</v>
      </c>
      <c r="N79" s="47">
        <f t="shared" si="5"/>
        <v>16111111.11111111</v>
      </c>
    </row>
    <row r="80" spans="1:14" x14ac:dyDescent="0.25">
      <c r="A80" s="8">
        <v>119</v>
      </c>
      <c r="B80" s="8" t="s">
        <v>19</v>
      </c>
      <c r="C80" s="9">
        <v>19.686666666666667</v>
      </c>
      <c r="D80" s="8" t="s">
        <v>159</v>
      </c>
      <c r="E80" s="25">
        <v>44260</v>
      </c>
      <c r="F80" s="11">
        <v>128000000</v>
      </c>
      <c r="G80" s="11"/>
      <c r="H80" s="32">
        <v>63</v>
      </c>
      <c r="I80" s="33">
        <v>4.9999999999999998E-7</v>
      </c>
      <c r="J80" s="48">
        <f t="shared" si="4"/>
        <v>126000000</v>
      </c>
      <c r="K80" s="13" t="s">
        <v>275</v>
      </c>
      <c r="L80" s="13">
        <v>72</v>
      </c>
      <c r="M80" s="11">
        <v>4.5000000000000003E-5</v>
      </c>
      <c r="N80" s="47">
        <f t="shared" si="5"/>
        <v>1600000</v>
      </c>
    </row>
    <row r="81" spans="1:14" x14ac:dyDescent="0.25">
      <c r="A81" s="8">
        <v>120</v>
      </c>
      <c r="B81" s="8" t="s">
        <v>20</v>
      </c>
      <c r="C81" s="9">
        <v>7.4466666666666663</v>
      </c>
      <c r="D81" s="8" t="s">
        <v>160</v>
      </c>
      <c r="E81" s="25">
        <v>44260</v>
      </c>
      <c r="F81" s="11">
        <v>5300000</v>
      </c>
      <c r="G81" s="11"/>
      <c r="H81" s="32">
        <v>265</v>
      </c>
      <c r="I81" s="33">
        <v>1E-4</v>
      </c>
      <c r="J81" s="48">
        <f t="shared" si="4"/>
        <v>2650000</v>
      </c>
      <c r="K81" s="26">
        <v>44264</v>
      </c>
      <c r="L81" s="13">
        <v>54</v>
      </c>
      <c r="M81" s="11">
        <v>2.0000000000000002E-5</v>
      </c>
      <c r="N81" s="47">
        <f t="shared" si="5"/>
        <v>2700000</v>
      </c>
    </row>
    <row r="82" spans="1:14" x14ac:dyDescent="0.25">
      <c r="A82" s="8">
        <v>121</v>
      </c>
      <c r="B82" s="8" t="s">
        <v>21</v>
      </c>
      <c r="C82" s="9">
        <v>18.436666666666667</v>
      </c>
      <c r="D82" s="8" t="s">
        <v>161</v>
      </c>
      <c r="E82" s="25">
        <v>44260</v>
      </c>
      <c r="F82" s="11">
        <v>202000000</v>
      </c>
      <c r="G82" s="11"/>
      <c r="H82" s="32">
        <v>50</v>
      </c>
      <c r="I82" s="33">
        <v>1.0000000000000001E-5</v>
      </c>
      <c r="J82" s="48">
        <f t="shared" si="4"/>
        <v>5000000</v>
      </c>
      <c r="K82" s="13" t="s">
        <v>281</v>
      </c>
      <c r="L82" s="13">
        <v>115</v>
      </c>
      <c r="M82" s="11">
        <v>7.9999999999999996E-6</v>
      </c>
      <c r="N82" s="47">
        <f t="shared" si="5"/>
        <v>14375000</v>
      </c>
    </row>
    <row r="83" spans="1:14" x14ac:dyDescent="0.25">
      <c r="A83" s="8">
        <v>122</v>
      </c>
      <c r="B83" s="8" t="s">
        <v>22</v>
      </c>
      <c r="C83" s="9">
        <v>14.386666666666668</v>
      </c>
      <c r="D83" s="8" t="s">
        <v>162</v>
      </c>
      <c r="E83" s="25">
        <v>44260</v>
      </c>
      <c r="F83" s="11">
        <v>44000000</v>
      </c>
      <c r="G83" s="11"/>
      <c r="H83" s="32">
        <v>113</v>
      </c>
      <c r="I83" s="33">
        <v>1E-4</v>
      </c>
      <c r="J83" s="48">
        <f t="shared" si="4"/>
        <v>1130000</v>
      </c>
      <c r="K83" s="26" t="s">
        <v>281</v>
      </c>
      <c r="L83" s="13">
        <v>43</v>
      </c>
      <c r="M83" s="11">
        <v>3.9999999999999998E-6</v>
      </c>
      <c r="N83" s="47">
        <f t="shared" si="5"/>
        <v>10750000</v>
      </c>
    </row>
    <row r="84" spans="1:14" x14ac:dyDescent="0.25">
      <c r="A84" s="8">
        <v>123</v>
      </c>
      <c r="B84" s="8" t="s">
        <v>23</v>
      </c>
      <c r="C84" s="9">
        <v>12.37</v>
      </c>
      <c r="D84" s="8" t="s">
        <v>163</v>
      </c>
      <c r="E84" s="25">
        <v>44260</v>
      </c>
      <c r="F84" s="11">
        <v>36500000</v>
      </c>
      <c r="G84" s="54">
        <v>44273</v>
      </c>
      <c r="H84" s="35">
        <v>217</v>
      </c>
      <c r="I84" s="51">
        <v>6.0000000000000002E-6</v>
      </c>
      <c r="J84" s="49">
        <f t="shared" si="4"/>
        <v>36166666.666666664</v>
      </c>
      <c r="K84" s="19">
        <v>44278</v>
      </c>
      <c r="L84" s="13">
        <v>108</v>
      </c>
      <c r="M84" s="11">
        <v>8.0000000000000004E-4</v>
      </c>
      <c r="N84" s="47">
        <f t="shared" si="5"/>
        <v>135000</v>
      </c>
    </row>
    <row r="85" spans="1:14" x14ac:dyDescent="0.25">
      <c r="A85" s="8">
        <v>124</v>
      </c>
      <c r="B85" s="8" t="s">
        <v>24</v>
      </c>
      <c r="C85" s="9">
        <v>17.84</v>
      </c>
      <c r="D85" s="8" t="s">
        <v>164</v>
      </c>
      <c r="E85" s="25">
        <v>44260</v>
      </c>
      <c r="F85" s="11">
        <v>170000000</v>
      </c>
      <c r="G85" s="54">
        <v>44273</v>
      </c>
      <c r="H85" s="35">
        <v>135</v>
      </c>
      <c r="I85" s="51">
        <v>9.9999999999999995E-7</v>
      </c>
      <c r="J85" s="49">
        <f t="shared" si="4"/>
        <v>135000000</v>
      </c>
      <c r="K85" s="26" t="s">
        <v>281</v>
      </c>
      <c r="L85" s="13">
        <v>142</v>
      </c>
      <c r="M85" s="11">
        <v>5.0000000000000002E-5</v>
      </c>
      <c r="N85" s="47">
        <f t="shared" si="5"/>
        <v>2840000</v>
      </c>
    </row>
    <row r="86" spans="1:14" x14ac:dyDescent="0.25">
      <c r="A86" s="8">
        <v>125</v>
      </c>
      <c r="B86" s="8" t="s">
        <v>25</v>
      </c>
      <c r="C86" s="9">
        <v>15.713333333333333</v>
      </c>
      <c r="D86" s="8" t="s">
        <v>165</v>
      </c>
      <c r="E86" s="25">
        <v>44260</v>
      </c>
      <c r="F86" s="11">
        <v>112000000</v>
      </c>
      <c r="G86" s="11"/>
      <c r="H86" s="32">
        <v>31</v>
      </c>
      <c r="I86" s="33">
        <v>4.9999999999999998E-7</v>
      </c>
      <c r="J86" s="48">
        <f t="shared" si="4"/>
        <v>62000000</v>
      </c>
      <c r="K86" s="13" t="s">
        <v>275</v>
      </c>
      <c r="L86" s="13">
        <v>60</v>
      </c>
      <c r="M86" s="11">
        <v>1E-4</v>
      </c>
      <c r="N86" s="47">
        <f t="shared" si="5"/>
        <v>600000</v>
      </c>
    </row>
    <row r="87" spans="1:14" x14ac:dyDescent="0.25">
      <c r="A87" s="8">
        <v>126</v>
      </c>
      <c r="B87" s="8" t="s">
        <v>26</v>
      </c>
      <c r="C87" s="9">
        <v>1.74</v>
      </c>
      <c r="D87" s="8" t="s">
        <v>166</v>
      </c>
      <c r="E87" s="25">
        <v>44260</v>
      </c>
      <c r="F87" s="11">
        <v>24400</v>
      </c>
      <c r="G87" s="11"/>
      <c r="H87" s="32">
        <v>5</v>
      </c>
      <c r="I87" s="33">
        <v>0.1</v>
      </c>
      <c r="J87" s="48">
        <f t="shared" si="4"/>
        <v>50</v>
      </c>
      <c r="K87" s="32" t="s">
        <v>283</v>
      </c>
      <c r="L87" s="32">
        <v>7</v>
      </c>
      <c r="M87" s="33">
        <v>0.1</v>
      </c>
      <c r="N87" s="47">
        <f t="shared" si="5"/>
        <v>70</v>
      </c>
    </row>
    <row r="88" spans="1:14" x14ac:dyDescent="0.25">
      <c r="A88" s="8">
        <v>127</v>
      </c>
      <c r="B88" s="8" t="s">
        <v>27</v>
      </c>
      <c r="C88" s="9">
        <v>12.766666666666666</v>
      </c>
      <c r="D88" s="8" t="s">
        <v>167</v>
      </c>
      <c r="E88" s="25">
        <v>44260</v>
      </c>
      <c r="F88" s="11">
        <v>43500000</v>
      </c>
      <c r="G88" s="11"/>
      <c r="H88" s="32">
        <v>161</v>
      </c>
      <c r="I88" s="33">
        <v>1E-4</v>
      </c>
      <c r="J88" s="48">
        <f t="shared" si="4"/>
        <v>1610000</v>
      </c>
      <c r="K88" s="13" t="s">
        <v>275</v>
      </c>
      <c r="L88" s="13">
        <v>49</v>
      </c>
      <c r="M88" s="11">
        <v>6.9999999999999994E-5</v>
      </c>
      <c r="N88" s="47">
        <f t="shared" si="5"/>
        <v>700000.00000000012</v>
      </c>
    </row>
    <row r="89" spans="1:14" x14ac:dyDescent="0.25">
      <c r="A89" s="8">
        <v>128</v>
      </c>
      <c r="B89" s="8" t="s">
        <v>28</v>
      </c>
      <c r="C89" s="9">
        <v>11.236666666666666</v>
      </c>
      <c r="D89" s="8" t="s">
        <v>168</v>
      </c>
      <c r="E89" s="25">
        <v>44260</v>
      </c>
      <c r="F89" s="11">
        <v>68000000</v>
      </c>
      <c r="G89" s="11"/>
      <c r="H89" s="32">
        <v>64</v>
      </c>
      <c r="I89" s="33">
        <v>5.0000000000000002E-5</v>
      </c>
      <c r="J89" s="48">
        <f t="shared" si="4"/>
        <v>1280000</v>
      </c>
      <c r="K89" s="13" t="s">
        <v>276</v>
      </c>
      <c r="L89" s="13">
        <v>53</v>
      </c>
      <c r="M89" s="11">
        <v>1.0000000000000001E-5</v>
      </c>
      <c r="N89" s="47">
        <f t="shared" si="5"/>
        <v>5300000</v>
      </c>
    </row>
    <row r="90" spans="1:14" x14ac:dyDescent="0.25">
      <c r="A90" s="8">
        <v>129</v>
      </c>
      <c r="B90" s="8" t="s">
        <v>29</v>
      </c>
      <c r="C90" s="9">
        <v>16.923333333333336</v>
      </c>
      <c r="D90" s="8" t="s">
        <v>169</v>
      </c>
      <c r="E90" s="25">
        <v>44260</v>
      </c>
      <c r="F90" s="11">
        <v>21800000</v>
      </c>
      <c r="G90" s="11"/>
      <c r="H90" s="13">
        <v>75</v>
      </c>
      <c r="I90" s="11">
        <v>5.0000000000000004E-6</v>
      </c>
      <c r="J90" s="6">
        <f t="shared" si="4"/>
        <v>14999999.999999998</v>
      </c>
      <c r="K90" s="13" t="s">
        <v>276</v>
      </c>
      <c r="L90" s="13">
        <v>82</v>
      </c>
      <c r="M90" s="11">
        <v>1.9999999999999999E-6</v>
      </c>
      <c r="N90" s="47">
        <f t="shared" si="5"/>
        <v>41000000</v>
      </c>
    </row>
    <row r="91" spans="1:14" x14ac:dyDescent="0.25">
      <c r="A91" s="8">
        <v>130</v>
      </c>
      <c r="B91" s="8" t="s">
        <v>30</v>
      </c>
      <c r="C91" s="9">
        <v>12.020000000000001</v>
      </c>
      <c r="D91" s="8" t="s">
        <v>170</v>
      </c>
      <c r="E91" s="25">
        <v>44260</v>
      </c>
      <c r="F91" s="11">
        <v>53000000</v>
      </c>
      <c r="G91" s="11"/>
      <c r="H91" s="32">
        <v>112</v>
      </c>
      <c r="I91" s="33">
        <v>1E-4</v>
      </c>
      <c r="J91" s="48">
        <f t="shared" si="4"/>
        <v>1120000</v>
      </c>
      <c r="K91" s="13" t="s">
        <v>276</v>
      </c>
      <c r="L91" s="13">
        <v>97</v>
      </c>
      <c r="M91" s="11">
        <v>1E-4</v>
      </c>
      <c r="N91" s="47">
        <f t="shared" si="5"/>
        <v>970000</v>
      </c>
    </row>
    <row r="92" spans="1:14" x14ac:dyDescent="0.25">
      <c r="A92" s="8">
        <v>131</v>
      </c>
      <c r="B92" s="8" t="s">
        <v>31</v>
      </c>
      <c r="C92" s="9">
        <v>21.38</v>
      </c>
      <c r="D92" s="8" t="s">
        <v>171</v>
      </c>
      <c r="E92" s="25">
        <v>44260</v>
      </c>
      <c r="F92" s="11">
        <v>12900000</v>
      </c>
      <c r="G92" s="54">
        <v>44273</v>
      </c>
      <c r="H92" s="13">
        <v>119</v>
      </c>
      <c r="I92" s="11">
        <v>1.5E-5</v>
      </c>
      <c r="J92" s="6">
        <f t="shared" si="4"/>
        <v>7933333.333333333</v>
      </c>
      <c r="K92" s="26">
        <v>44264</v>
      </c>
      <c r="L92" s="13">
        <v>101</v>
      </c>
      <c r="M92" s="11">
        <v>7.9999999999999996E-6</v>
      </c>
      <c r="N92" s="47">
        <f t="shared" si="5"/>
        <v>12625000</v>
      </c>
    </row>
    <row r="93" spans="1:14" x14ac:dyDescent="0.25">
      <c r="A93" s="8">
        <v>132</v>
      </c>
      <c r="B93" s="8" t="s">
        <v>32</v>
      </c>
      <c r="C93" s="9">
        <v>21.043333333333333</v>
      </c>
      <c r="D93" s="8" t="s">
        <v>172</v>
      </c>
      <c r="E93" s="25">
        <v>44260</v>
      </c>
      <c r="F93" s="11">
        <v>15300000</v>
      </c>
      <c r="G93" s="11"/>
      <c r="H93" s="32">
        <v>138</v>
      </c>
      <c r="I93" s="33">
        <v>5.0000000000000004E-6</v>
      </c>
      <c r="J93" s="48">
        <f t="shared" si="4"/>
        <v>27599999.999999996</v>
      </c>
      <c r="K93" s="26">
        <v>44264</v>
      </c>
      <c r="L93" s="13">
        <v>130</v>
      </c>
      <c r="M93" s="11">
        <v>6.9999999999999999E-6</v>
      </c>
      <c r="N93" s="47">
        <f t="shared" si="5"/>
        <v>18571428.571428571</v>
      </c>
    </row>
    <row r="94" spans="1:14" x14ac:dyDescent="0.25">
      <c r="A94" s="8">
        <v>133</v>
      </c>
      <c r="B94" s="8" t="s">
        <v>33</v>
      </c>
      <c r="C94" s="9">
        <v>20.673333333333332</v>
      </c>
      <c r="D94" s="8" t="s">
        <v>173</v>
      </c>
      <c r="E94" s="25">
        <v>44260</v>
      </c>
      <c r="F94" s="11">
        <v>34000000</v>
      </c>
      <c r="G94" s="54">
        <v>44273</v>
      </c>
      <c r="H94" s="13">
        <v>64</v>
      </c>
      <c r="I94" s="11">
        <v>6.0000000000000002E-6</v>
      </c>
      <c r="J94" s="6">
        <f t="shared" si="4"/>
        <v>10666666.666666666</v>
      </c>
      <c r="K94" s="26">
        <v>44264</v>
      </c>
      <c r="L94" s="13">
        <v>58</v>
      </c>
      <c r="M94" s="11">
        <v>3.0000000000000001E-6</v>
      </c>
      <c r="N94" s="47">
        <f t="shared" si="5"/>
        <v>19333333.333333332</v>
      </c>
    </row>
    <row r="95" spans="1:14" x14ac:dyDescent="0.25">
      <c r="A95" s="8">
        <v>135</v>
      </c>
      <c r="B95" s="8" t="s">
        <v>34</v>
      </c>
      <c r="C95" s="9">
        <v>20.39</v>
      </c>
      <c r="D95" s="8" t="s">
        <v>174</v>
      </c>
      <c r="E95" s="25">
        <v>44260</v>
      </c>
      <c r="F95" s="11">
        <v>11700000</v>
      </c>
      <c r="G95" s="54"/>
      <c r="H95" s="13">
        <v>50</v>
      </c>
      <c r="I95" s="11">
        <v>5.0000000000000004E-6</v>
      </c>
      <c r="J95" s="6">
        <f t="shared" si="4"/>
        <v>10000000</v>
      </c>
      <c r="K95" s="26">
        <v>44264</v>
      </c>
      <c r="L95" s="13">
        <v>206</v>
      </c>
      <c r="M95" s="11">
        <v>9.0000000000000002E-6</v>
      </c>
      <c r="N95" s="47">
        <f t="shared" si="5"/>
        <v>22888888.888888888</v>
      </c>
    </row>
    <row r="96" spans="1:14" x14ac:dyDescent="0.25">
      <c r="A96" s="8">
        <v>137</v>
      </c>
      <c r="B96" s="8" t="s">
        <v>35</v>
      </c>
      <c r="C96" s="9">
        <v>19.926666666666666</v>
      </c>
      <c r="D96" s="8" t="s">
        <v>175</v>
      </c>
      <c r="E96" s="25">
        <v>44260</v>
      </c>
      <c r="F96" s="11">
        <v>5800000</v>
      </c>
      <c r="G96" s="54">
        <v>44273</v>
      </c>
      <c r="H96" s="13">
        <v>84</v>
      </c>
      <c r="I96" s="11">
        <v>3.0000000000000001E-5</v>
      </c>
      <c r="J96" s="6">
        <f t="shared" si="4"/>
        <v>2800000</v>
      </c>
      <c r="K96" s="26">
        <v>44264</v>
      </c>
      <c r="L96" s="13">
        <v>151</v>
      </c>
      <c r="M96" s="11">
        <v>2.0000000000000002E-5</v>
      </c>
      <c r="N96" s="47">
        <f t="shared" si="5"/>
        <v>7549999.9999999991</v>
      </c>
    </row>
    <row r="97" spans="1:14" x14ac:dyDescent="0.25">
      <c r="A97" s="8">
        <v>139</v>
      </c>
      <c r="B97" s="8" t="s">
        <v>36</v>
      </c>
      <c r="C97" s="9">
        <v>18.113333333333333</v>
      </c>
      <c r="D97" s="8" t="s">
        <v>176</v>
      </c>
      <c r="E97" s="25">
        <v>44260</v>
      </c>
      <c r="F97" s="11">
        <v>3200000</v>
      </c>
      <c r="G97" s="11"/>
      <c r="H97" s="32">
        <v>218</v>
      </c>
      <c r="I97" s="33">
        <v>1E-3</v>
      </c>
      <c r="J97" s="48">
        <f t="shared" si="4"/>
        <v>218000</v>
      </c>
      <c r="K97" s="26">
        <v>44264</v>
      </c>
      <c r="L97" s="13">
        <v>156</v>
      </c>
      <c r="M97" s="11">
        <v>3.0000000000000001E-5</v>
      </c>
      <c r="N97" s="47">
        <f t="shared" si="5"/>
        <v>5200000</v>
      </c>
    </row>
    <row r="98" spans="1:14" x14ac:dyDescent="0.25">
      <c r="A98" s="8">
        <v>140</v>
      </c>
      <c r="B98" s="8" t="s">
        <v>37</v>
      </c>
      <c r="C98" s="9">
        <v>17.033333333333335</v>
      </c>
      <c r="D98" s="8" t="s">
        <v>177</v>
      </c>
      <c r="E98" s="25">
        <v>44260</v>
      </c>
      <c r="F98" s="11">
        <v>3000000</v>
      </c>
      <c r="G98" s="11"/>
      <c r="H98" s="32">
        <v>184</v>
      </c>
      <c r="I98" s="33">
        <v>1E-3</v>
      </c>
      <c r="J98" s="48">
        <f t="shared" ref="J98:J126" si="6">H98/I98</f>
        <v>184000</v>
      </c>
      <c r="K98" s="13" t="s">
        <v>275</v>
      </c>
      <c r="L98" s="13">
        <v>46</v>
      </c>
      <c r="M98" s="11">
        <v>1E-4</v>
      </c>
      <c r="N98" s="47">
        <f t="shared" ref="N98:N129" si="7">L98/M98</f>
        <v>460000</v>
      </c>
    </row>
    <row r="99" spans="1:14" x14ac:dyDescent="0.25">
      <c r="A99" s="8">
        <v>142</v>
      </c>
      <c r="B99" s="8" t="s">
        <v>38</v>
      </c>
      <c r="C99" s="9">
        <v>16.223333333333333</v>
      </c>
      <c r="D99" s="8" t="s">
        <v>178</v>
      </c>
      <c r="E99" s="25">
        <v>44260</v>
      </c>
      <c r="F99" s="11">
        <v>300000</v>
      </c>
      <c r="G99" s="11"/>
      <c r="H99" s="32">
        <v>20</v>
      </c>
      <c r="I99" s="33">
        <v>0.01</v>
      </c>
      <c r="J99" s="48">
        <f t="shared" si="6"/>
        <v>2000</v>
      </c>
      <c r="K99" s="19">
        <v>44278</v>
      </c>
      <c r="L99" s="13">
        <v>78</v>
      </c>
      <c r="M99" s="11">
        <v>1.5E-3</v>
      </c>
      <c r="N99" s="47">
        <f t="shared" si="7"/>
        <v>52000</v>
      </c>
    </row>
    <row r="100" spans="1:14" x14ac:dyDescent="0.25">
      <c r="A100" s="8">
        <v>143</v>
      </c>
      <c r="B100" s="8" t="s">
        <v>39</v>
      </c>
      <c r="C100" s="9">
        <v>15.836666666666668</v>
      </c>
      <c r="D100" s="8" t="s">
        <v>179</v>
      </c>
      <c r="E100" s="25">
        <v>44260</v>
      </c>
      <c r="F100" s="11">
        <v>300000</v>
      </c>
      <c r="G100" s="11"/>
      <c r="H100" s="32">
        <v>103</v>
      </c>
      <c r="I100" s="33">
        <v>5.0000000000000001E-4</v>
      </c>
      <c r="J100" s="48">
        <f t="shared" si="6"/>
        <v>206000</v>
      </c>
      <c r="K100" s="13" t="s">
        <v>276</v>
      </c>
      <c r="L100" s="13">
        <v>168</v>
      </c>
      <c r="M100" s="11">
        <v>4.0000000000000003E-5</v>
      </c>
      <c r="N100" s="47">
        <f t="shared" si="7"/>
        <v>4200000</v>
      </c>
    </row>
    <row r="101" spans="1:14" x14ac:dyDescent="0.25">
      <c r="A101" s="8">
        <v>144</v>
      </c>
      <c r="B101" s="8" t="s">
        <v>40</v>
      </c>
      <c r="C101" s="9">
        <v>16.136666666666667</v>
      </c>
      <c r="D101" s="8" t="s">
        <v>180</v>
      </c>
      <c r="E101" s="25">
        <v>44260</v>
      </c>
      <c r="F101" s="11">
        <v>1200000</v>
      </c>
      <c r="G101" s="11"/>
      <c r="H101" s="32">
        <v>27</v>
      </c>
      <c r="I101" s="33">
        <v>5.0000000000000002E-5</v>
      </c>
      <c r="J101" s="48">
        <f t="shared" si="6"/>
        <v>540000</v>
      </c>
      <c r="K101" s="13" t="s">
        <v>276</v>
      </c>
      <c r="L101" s="13">
        <v>50</v>
      </c>
      <c r="M101" s="11">
        <v>2E-3</v>
      </c>
      <c r="N101" s="47">
        <f t="shared" si="7"/>
        <v>25000</v>
      </c>
    </row>
    <row r="102" spans="1:14" x14ac:dyDescent="0.25">
      <c r="A102" s="15">
        <v>146</v>
      </c>
      <c r="B102" s="8" t="s">
        <v>41</v>
      </c>
      <c r="C102" s="16">
        <v>21.26</v>
      </c>
      <c r="D102" s="8" t="s">
        <v>181</v>
      </c>
      <c r="E102" s="25">
        <v>44260</v>
      </c>
      <c r="F102" s="11">
        <v>19100000</v>
      </c>
      <c r="G102" s="11"/>
      <c r="H102" s="32">
        <v>128</v>
      </c>
      <c r="I102" s="33">
        <v>5.0000000000000004E-6</v>
      </c>
      <c r="J102" s="48">
        <f t="shared" si="6"/>
        <v>25599999.999999996</v>
      </c>
      <c r="K102" s="26">
        <v>44264</v>
      </c>
      <c r="L102" s="13">
        <v>55</v>
      </c>
      <c r="M102" s="11">
        <v>5.0000000000000004E-6</v>
      </c>
      <c r="N102" s="47">
        <f t="shared" si="7"/>
        <v>11000000</v>
      </c>
    </row>
    <row r="103" spans="1:14" x14ac:dyDescent="0.25">
      <c r="A103" s="15">
        <v>147</v>
      </c>
      <c r="B103" s="8" t="s">
        <v>42</v>
      </c>
      <c r="C103" s="9">
        <v>19.503333333333334</v>
      </c>
      <c r="D103" s="8" t="s">
        <v>182</v>
      </c>
      <c r="E103" s="25">
        <v>44260</v>
      </c>
      <c r="F103" s="11">
        <v>13200000</v>
      </c>
      <c r="G103" s="11"/>
      <c r="H103" s="35">
        <v>62</v>
      </c>
      <c r="I103" s="51">
        <v>5.0000000000000004E-6</v>
      </c>
      <c r="J103" s="49">
        <f t="shared" si="6"/>
        <v>12399999.999999998</v>
      </c>
      <c r="K103" s="26">
        <v>44264</v>
      </c>
      <c r="L103" s="13">
        <v>64</v>
      </c>
      <c r="M103" s="11">
        <v>7.9999999999999996E-6</v>
      </c>
      <c r="N103" s="47">
        <f t="shared" si="7"/>
        <v>8000000</v>
      </c>
    </row>
    <row r="104" spans="1:14" x14ac:dyDescent="0.25">
      <c r="A104" s="15">
        <v>148</v>
      </c>
      <c r="B104" s="8" t="s">
        <v>43</v>
      </c>
      <c r="C104" s="9">
        <v>20.633333333333336</v>
      </c>
      <c r="D104" s="8" t="s">
        <v>183</v>
      </c>
      <c r="E104" s="25">
        <v>44260</v>
      </c>
      <c r="F104" s="11">
        <v>32300000</v>
      </c>
      <c r="G104" s="54">
        <v>44273</v>
      </c>
      <c r="H104" s="13">
        <v>82</v>
      </c>
      <c r="I104" s="11">
        <v>3.0000000000000001E-6</v>
      </c>
      <c r="J104" s="49">
        <f t="shared" si="6"/>
        <v>27333333.333333332</v>
      </c>
      <c r="K104" s="13" t="s">
        <v>276</v>
      </c>
      <c r="L104" s="13">
        <v>77</v>
      </c>
      <c r="M104" s="11">
        <v>2.0000000000000002E-5</v>
      </c>
      <c r="N104" s="47">
        <f t="shared" si="7"/>
        <v>3849999.9999999995</v>
      </c>
    </row>
    <row r="105" spans="1:14" x14ac:dyDescent="0.25">
      <c r="A105" s="15">
        <v>152</v>
      </c>
      <c r="B105" s="8" t="s">
        <v>44</v>
      </c>
      <c r="C105" s="9">
        <v>17.856666666666666</v>
      </c>
      <c r="D105" s="8" t="s">
        <v>184</v>
      </c>
      <c r="E105" s="25">
        <v>44260</v>
      </c>
      <c r="F105" s="11">
        <v>36100000</v>
      </c>
      <c r="G105" s="11"/>
      <c r="H105" s="32">
        <v>77</v>
      </c>
      <c r="I105" s="33">
        <v>9.9999999999999995E-7</v>
      </c>
      <c r="J105" s="48">
        <f t="shared" si="6"/>
        <v>77000000</v>
      </c>
      <c r="K105" s="13" t="s">
        <v>275</v>
      </c>
      <c r="L105" s="13">
        <v>55</v>
      </c>
      <c r="M105" s="11">
        <v>1.5E-5</v>
      </c>
      <c r="N105" s="47">
        <f t="shared" si="7"/>
        <v>3666666.6666666665</v>
      </c>
    </row>
    <row r="106" spans="1:14" x14ac:dyDescent="0.25">
      <c r="A106" s="15">
        <v>153</v>
      </c>
      <c r="B106" s="8" t="s">
        <v>45</v>
      </c>
      <c r="C106" s="9">
        <v>15.216666666666667</v>
      </c>
      <c r="D106" s="8" t="s">
        <v>185</v>
      </c>
      <c r="E106" s="25">
        <v>44260</v>
      </c>
      <c r="F106" s="11">
        <v>27400000</v>
      </c>
      <c r="G106" s="11"/>
      <c r="H106" s="35">
        <v>54</v>
      </c>
      <c r="I106" s="51">
        <v>9.9999999999999995E-7</v>
      </c>
      <c r="J106" s="49">
        <f t="shared" si="6"/>
        <v>54000000</v>
      </c>
      <c r="K106" s="13" t="s">
        <v>275</v>
      </c>
      <c r="L106" s="13">
        <v>50</v>
      </c>
      <c r="M106" s="11">
        <v>2.0000000000000002E-5</v>
      </c>
      <c r="N106" s="47">
        <f t="shared" si="7"/>
        <v>2500000</v>
      </c>
    </row>
    <row r="107" spans="1:14" x14ac:dyDescent="0.25">
      <c r="A107" s="15">
        <v>154</v>
      </c>
      <c r="B107" s="8" t="s">
        <v>46</v>
      </c>
      <c r="C107" s="9">
        <v>19.676666666666666</v>
      </c>
      <c r="D107" s="8" t="s">
        <v>186</v>
      </c>
      <c r="E107" s="25">
        <v>44260</v>
      </c>
      <c r="F107" s="11">
        <v>62000000</v>
      </c>
      <c r="G107" s="11"/>
      <c r="H107" s="35">
        <v>121</v>
      </c>
      <c r="I107" s="51">
        <v>9.9999999999999995E-7</v>
      </c>
      <c r="J107" s="49">
        <f t="shared" si="6"/>
        <v>121000000</v>
      </c>
      <c r="K107" s="13" t="s">
        <v>276</v>
      </c>
      <c r="L107" s="13">
        <v>68</v>
      </c>
      <c r="M107" s="11">
        <v>1.5E-5</v>
      </c>
      <c r="N107" s="47">
        <f t="shared" si="7"/>
        <v>4533333.333333333</v>
      </c>
    </row>
    <row r="108" spans="1:14" x14ac:dyDescent="0.25">
      <c r="A108" s="15">
        <v>155</v>
      </c>
      <c r="B108" s="8" t="s">
        <v>47</v>
      </c>
      <c r="C108" s="9">
        <v>13.984120379945329</v>
      </c>
      <c r="D108" s="8" t="s">
        <v>187</v>
      </c>
      <c r="E108" s="25">
        <v>44260</v>
      </c>
      <c r="F108" s="11">
        <v>63000000</v>
      </c>
      <c r="G108" s="54">
        <v>44273</v>
      </c>
      <c r="H108" s="13">
        <v>81</v>
      </c>
      <c r="I108" s="11">
        <v>1.9999999999999999E-6</v>
      </c>
      <c r="J108" s="49">
        <f t="shared" si="6"/>
        <v>40500000</v>
      </c>
      <c r="K108" s="13" t="s">
        <v>276</v>
      </c>
      <c r="L108" s="13">
        <v>78</v>
      </c>
      <c r="M108" s="11">
        <v>5.0000000000000002E-5</v>
      </c>
      <c r="N108" s="47">
        <f t="shared" si="7"/>
        <v>1560000</v>
      </c>
    </row>
    <row r="109" spans="1:14" x14ac:dyDescent="0.25">
      <c r="A109" s="15">
        <v>156</v>
      </c>
      <c r="B109" s="8" t="s">
        <v>48</v>
      </c>
      <c r="C109" s="9">
        <v>16.296666666666667</v>
      </c>
      <c r="D109" s="8" t="s">
        <v>188</v>
      </c>
      <c r="E109" s="25">
        <v>44260</v>
      </c>
      <c r="F109" s="11">
        <v>17600000</v>
      </c>
      <c r="G109" s="11"/>
      <c r="H109" s="32">
        <v>208</v>
      </c>
      <c r="I109" s="33">
        <v>5.0000000000000004E-6</v>
      </c>
      <c r="J109" s="48">
        <f t="shared" si="6"/>
        <v>41600000</v>
      </c>
      <c r="K109" s="13" t="s">
        <v>276</v>
      </c>
      <c r="L109" s="13">
        <v>56</v>
      </c>
      <c r="M109" s="11">
        <v>2.0000000000000002E-5</v>
      </c>
      <c r="N109" s="47">
        <f t="shared" si="7"/>
        <v>2800000</v>
      </c>
    </row>
    <row r="110" spans="1:14" x14ac:dyDescent="0.25">
      <c r="A110" s="15">
        <v>157</v>
      </c>
      <c r="B110" s="8" t="s">
        <v>49</v>
      </c>
      <c r="C110" s="9">
        <v>14.143333333333333</v>
      </c>
      <c r="D110" s="8" t="s">
        <v>189</v>
      </c>
      <c r="E110" s="25">
        <v>44260</v>
      </c>
      <c r="F110" s="11">
        <v>90000000</v>
      </c>
      <c r="G110" s="11"/>
      <c r="H110" s="13">
        <v>89</v>
      </c>
      <c r="I110" s="11">
        <v>4.9999999999999998E-7</v>
      </c>
      <c r="J110" s="49">
        <f t="shared" si="6"/>
        <v>178000000</v>
      </c>
      <c r="K110" s="13" t="s">
        <v>276</v>
      </c>
      <c r="L110" s="13">
        <v>79</v>
      </c>
      <c r="M110" s="11">
        <v>2.0000000000000002E-5</v>
      </c>
      <c r="N110" s="47">
        <f t="shared" si="7"/>
        <v>3949999.9999999995</v>
      </c>
    </row>
    <row r="111" spans="1:14" x14ac:dyDescent="0.25">
      <c r="A111" s="15">
        <v>158</v>
      </c>
      <c r="B111" s="8" t="s">
        <v>50</v>
      </c>
      <c r="C111" s="9">
        <v>20.64</v>
      </c>
      <c r="D111" s="8" t="s">
        <v>190</v>
      </c>
      <c r="E111" s="25">
        <v>44260</v>
      </c>
      <c r="F111" s="11">
        <v>54000000</v>
      </c>
      <c r="G111" s="11"/>
      <c r="H111" s="32">
        <v>113</v>
      </c>
      <c r="I111" s="33">
        <v>1E-4</v>
      </c>
      <c r="J111" s="48">
        <f t="shared" si="6"/>
        <v>1130000</v>
      </c>
      <c r="K111" s="26">
        <v>44264</v>
      </c>
      <c r="L111" s="13">
        <v>92</v>
      </c>
      <c r="M111" s="11">
        <v>1.9999999999999999E-6</v>
      </c>
      <c r="N111" s="47">
        <f t="shared" si="7"/>
        <v>46000000</v>
      </c>
    </row>
    <row r="112" spans="1:14" x14ac:dyDescent="0.25">
      <c r="A112" s="15">
        <v>159</v>
      </c>
      <c r="B112" s="8" t="s">
        <v>51</v>
      </c>
      <c r="C112" s="9">
        <v>19.796666666666667</v>
      </c>
      <c r="D112" s="8" t="s">
        <v>191</v>
      </c>
      <c r="E112" s="25">
        <v>44260</v>
      </c>
      <c r="F112" s="11">
        <v>43000000</v>
      </c>
      <c r="G112" s="11"/>
      <c r="H112" s="32">
        <v>131</v>
      </c>
      <c r="I112" s="33">
        <v>1E-4</v>
      </c>
      <c r="J112" s="48">
        <f t="shared" si="6"/>
        <v>1310000</v>
      </c>
      <c r="K112" s="26">
        <v>44264</v>
      </c>
      <c r="L112" s="13">
        <v>71</v>
      </c>
      <c r="M112" s="11">
        <v>1.9999999999999999E-6</v>
      </c>
      <c r="N112" s="47">
        <f t="shared" si="7"/>
        <v>35500000</v>
      </c>
    </row>
    <row r="113" spans="1:14" x14ac:dyDescent="0.25">
      <c r="A113" s="15">
        <v>160</v>
      </c>
      <c r="B113" s="8" t="s">
        <v>52</v>
      </c>
      <c r="C113" s="9">
        <v>17.046666666666667</v>
      </c>
      <c r="D113" s="8" t="s">
        <v>192</v>
      </c>
      <c r="E113" s="25">
        <v>44260</v>
      </c>
      <c r="F113" s="11">
        <v>13700000</v>
      </c>
      <c r="G113" s="11"/>
      <c r="H113" s="32">
        <v>194</v>
      </c>
      <c r="I113" s="33">
        <v>5.0000000000000004E-6</v>
      </c>
      <c r="J113" s="48">
        <f t="shared" si="6"/>
        <v>38800000</v>
      </c>
      <c r="K113" s="13" t="s">
        <v>276</v>
      </c>
      <c r="L113" s="13">
        <v>82</v>
      </c>
      <c r="M113" s="11">
        <v>1.0000000000000001E-5</v>
      </c>
      <c r="N113" s="47">
        <f t="shared" si="7"/>
        <v>8199999.9999999991</v>
      </c>
    </row>
    <row r="114" spans="1:14" x14ac:dyDescent="0.25">
      <c r="A114" s="15">
        <v>164</v>
      </c>
      <c r="B114" s="8" t="s">
        <v>53</v>
      </c>
      <c r="C114" s="9">
        <v>9.7333333333333325</v>
      </c>
      <c r="D114" s="8" t="s">
        <v>193</v>
      </c>
      <c r="E114" s="25">
        <v>44260</v>
      </c>
      <c r="F114" s="11">
        <v>9800000</v>
      </c>
      <c r="G114" s="11"/>
      <c r="H114" s="32">
        <v>179</v>
      </c>
      <c r="I114" s="33">
        <v>5.0000000000000001E-4</v>
      </c>
      <c r="J114" s="48">
        <f t="shared" si="6"/>
        <v>358000</v>
      </c>
      <c r="K114" s="13" t="s">
        <v>276</v>
      </c>
      <c r="L114" s="13">
        <v>45</v>
      </c>
      <c r="M114" s="11">
        <v>2.0000000000000002E-5</v>
      </c>
      <c r="N114" s="47">
        <f t="shared" si="7"/>
        <v>2250000</v>
      </c>
    </row>
    <row r="115" spans="1:14" x14ac:dyDescent="0.25">
      <c r="A115" s="15">
        <v>165</v>
      </c>
      <c r="B115" s="8" t="s">
        <v>54</v>
      </c>
      <c r="C115" s="9">
        <v>5.5966666666666667</v>
      </c>
      <c r="D115" s="8" t="s">
        <v>194</v>
      </c>
      <c r="E115" s="25">
        <v>44260</v>
      </c>
      <c r="F115" s="11">
        <v>3180000</v>
      </c>
      <c r="G115" s="11"/>
      <c r="H115" s="13">
        <v>61</v>
      </c>
      <c r="I115" s="11">
        <v>1E-4</v>
      </c>
      <c r="J115" s="6">
        <f t="shared" si="6"/>
        <v>610000</v>
      </c>
      <c r="K115" s="26">
        <v>44264</v>
      </c>
      <c r="L115" s="13">
        <v>154</v>
      </c>
      <c r="M115" s="11">
        <v>3.0000000000000001E-5</v>
      </c>
      <c r="N115" s="47">
        <f t="shared" si="7"/>
        <v>5133333.333333333</v>
      </c>
    </row>
    <row r="116" spans="1:14" x14ac:dyDescent="0.25">
      <c r="A116" s="15">
        <v>167</v>
      </c>
      <c r="B116" s="8" t="s">
        <v>55</v>
      </c>
      <c r="C116" s="9">
        <v>11.846666666666666</v>
      </c>
      <c r="D116" s="8" t="s">
        <v>195</v>
      </c>
      <c r="E116" s="25">
        <v>44260</v>
      </c>
      <c r="F116" s="11">
        <v>13600000</v>
      </c>
      <c r="G116" s="54">
        <v>44273</v>
      </c>
      <c r="H116" s="35">
        <v>165</v>
      </c>
      <c r="I116" s="51">
        <v>2.0000000000000002E-5</v>
      </c>
      <c r="J116" s="49">
        <f t="shared" si="6"/>
        <v>8249999.9999999991</v>
      </c>
      <c r="K116" s="13" t="s">
        <v>276</v>
      </c>
      <c r="L116" s="13">
        <v>55</v>
      </c>
      <c r="M116" s="11">
        <v>4.0000000000000002E-4</v>
      </c>
      <c r="N116" s="47">
        <f t="shared" si="7"/>
        <v>137500</v>
      </c>
    </row>
    <row r="117" spans="1:14" x14ac:dyDescent="0.25">
      <c r="A117" s="15">
        <v>168</v>
      </c>
      <c r="B117" s="8" t="s">
        <v>56</v>
      </c>
      <c r="C117" s="9">
        <v>1.1433333333333333</v>
      </c>
      <c r="D117" s="8" t="s">
        <v>196</v>
      </c>
      <c r="E117" s="25">
        <v>44263</v>
      </c>
      <c r="F117" s="11">
        <v>20400</v>
      </c>
      <c r="G117" s="11"/>
      <c r="H117" s="32">
        <v>44</v>
      </c>
      <c r="I117" s="33">
        <v>0.2</v>
      </c>
      <c r="J117" s="48">
        <f t="shared" si="6"/>
        <v>220</v>
      </c>
      <c r="K117" s="13" t="s">
        <v>277</v>
      </c>
      <c r="L117" s="13">
        <v>74</v>
      </c>
      <c r="M117" s="11">
        <v>5.0000000000000001E-3</v>
      </c>
      <c r="N117" s="47">
        <f t="shared" si="7"/>
        <v>14800</v>
      </c>
    </row>
    <row r="118" spans="1:14" x14ac:dyDescent="0.25">
      <c r="A118" s="13">
        <v>170</v>
      </c>
      <c r="B118" s="8" t="s">
        <v>57</v>
      </c>
      <c r="C118" s="9">
        <v>20.806666666666668</v>
      </c>
      <c r="D118" s="8" t="s">
        <v>197</v>
      </c>
      <c r="E118" s="25">
        <v>44260</v>
      </c>
      <c r="F118" s="11">
        <v>17300000</v>
      </c>
      <c r="G118" s="11"/>
      <c r="H118" s="32">
        <v>248</v>
      </c>
      <c r="I118" s="33">
        <v>5.0000000000000001E-4</v>
      </c>
      <c r="J118" s="48">
        <f t="shared" si="6"/>
        <v>496000</v>
      </c>
      <c r="K118" s="26">
        <v>44264</v>
      </c>
      <c r="L118" s="13">
        <v>214</v>
      </c>
      <c r="M118" s="11">
        <v>6.0000000000000002E-6</v>
      </c>
      <c r="N118" s="47">
        <f t="shared" si="7"/>
        <v>35666666.666666664</v>
      </c>
    </row>
    <row r="119" spans="1:14" x14ac:dyDescent="0.25">
      <c r="A119" s="13">
        <v>171</v>
      </c>
      <c r="B119" s="8" t="s">
        <v>58</v>
      </c>
      <c r="C119" s="9">
        <v>20.643333333333334</v>
      </c>
      <c r="D119" s="8" t="s">
        <v>198</v>
      </c>
      <c r="E119" s="25">
        <v>44260</v>
      </c>
      <c r="F119" s="11">
        <v>69000000</v>
      </c>
      <c r="G119" s="11"/>
      <c r="H119" s="32">
        <v>129</v>
      </c>
      <c r="I119" s="33">
        <v>5.0000000000000002E-5</v>
      </c>
      <c r="J119" s="48">
        <f t="shared" si="6"/>
        <v>2580000</v>
      </c>
      <c r="K119" s="13" t="s">
        <v>276</v>
      </c>
      <c r="L119" s="13">
        <v>47</v>
      </c>
      <c r="M119" s="11">
        <v>2.5000000000000002E-6</v>
      </c>
      <c r="N119" s="47">
        <f t="shared" si="7"/>
        <v>18800000</v>
      </c>
    </row>
    <row r="120" spans="1:14" x14ac:dyDescent="0.25">
      <c r="A120" s="13">
        <v>172</v>
      </c>
      <c r="B120" s="8" t="s">
        <v>59</v>
      </c>
      <c r="C120" s="9">
        <v>19.91333333333333</v>
      </c>
      <c r="D120" s="8" t="s">
        <v>199</v>
      </c>
      <c r="E120" s="25">
        <v>44260</v>
      </c>
      <c r="F120" s="11">
        <v>4200000</v>
      </c>
      <c r="G120" s="11"/>
      <c r="H120" s="32">
        <v>181</v>
      </c>
      <c r="I120" s="33">
        <v>1E-3</v>
      </c>
      <c r="J120" s="48">
        <f t="shared" si="6"/>
        <v>181000</v>
      </c>
      <c r="K120" s="13" t="s">
        <v>276</v>
      </c>
      <c r="L120" s="13">
        <v>70</v>
      </c>
      <c r="M120" s="11">
        <v>6.0000000000000002E-5</v>
      </c>
      <c r="N120" s="47">
        <f t="shared" si="7"/>
        <v>1166666.6666666667</v>
      </c>
    </row>
    <row r="121" spans="1:14" x14ac:dyDescent="0.25">
      <c r="A121" s="13">
        <v>176</v>
      </c>
      <c r="B121" s="8" t="s">
        <v>60</v>
      </c>
      <c r="C121" s="9">
        <v>21.02333333333333</v>
      </c>
      <c r="D121" s="8" t="s">
        <v>200</v>
      </c>
      <c r="E121" s="25">
        <v>44260</v>
      </c>
      <c r="F121" s="11">
        <v>55000000</v>
      </c>
      <c r="G121" s="11"/>
      <c r="H121" s="32">
        <v>106</v>
      </c>
      <c r="I121" s="33">
        <v>1E-4</v>
      </c>
      <c r="J121" s="48">
        <f t="shared" si="6"/>
        <v>1060000</v>
      </c>
      <c r="K121" s="13" t="s">
        <v>276</v>
      </c>
      <c r="L121" s="13">
        <v>70</v>
      </c>
      <c r="M121" s="11">
        <v>5.0000000000000004E-6</v>
      </c>
      <c r="N121" s="47">
        <f t="shared" si="7"/>
        <v>13999999.999999998</v>
      </c>
    </row>
    <row r="122" spans="1:14" x14ac:dyDescent="0.25">
      <c r="A122" s="13">
        <v>177</v>
      </c>
      <c r="B122" s="8" t="s">
        <v>61</v>
      </c>
      <c r="C122" s="9">
        <v>20.303333333333331</v>
      </c>
      <c r="D122" s="8" t="s">
        <v>201</v>
      </c>
      <c r="E122" s="25">
        <v>44260</v>
      </c>
      <c r="F122" s="11">
        <v>53000000</v>
      </c>
      <c r="G122" s="11"/>
      <c r="H122" s="32">
        <v>35</v>
      </c>
      <c r="I122" s="33">
        <v>5.0000000000000001E-4</v>
      </c>
      <c r="J122" s="48">
        <f t="shared" si="6"/>
        <v>70000</v>
      </c>
      <c r="K122" s="13" t="s">
        <v>275</v>
      </c>
      <c r="L122" s="13">
        <v>58</v>
      </c>
      <c r="M122" s="11">
        <v>7.9999999999999996E-6</v>
      </c>
      <c r="N122" s="47">
        <f t="shared" si="7"/>
        <v>7250000</v>
      </c>
    </row>
    <row r="123" spans="1:14" x14ac:dyDescent="0.25">
      <c r="A123" s="13">
        <v>178</v>
      </c>
      <c r="B123" s="8" t="s">
        <v>62</v>
      </c>
      <c r="C123" s="9">
        <v>20.03</v>
      </c>
      <c r="D123" s="8" t="s">
        <v>202</v>
      </c>
      <c r="E123" s="25">
        <v>44260</v>
      </c>
      <c r="F123" s="11">
        <v>60000000</v>
      </c>
      <c r="G123" s="11"/>
      <c r="H123" s="32">
        <v>62</v>
      </c>
      <c r="I123" s="33">
        <v>5.0000000000000001E-4</v>
      </c>
      <c r="J123" s="48">
        <f t="shared" si="6"/>
        <v>124000</v>
      </c>
      <c r="K123" s="26">
        <v>44264</v>
      </c>
      <c r="L123" s="13">
        <v>47</v>
      </c>
      <c r="M123" s="11">
        <v>1.9999999999999999E-6</v>
      </c>
      <c r="N123" s="47">
        <f t="shared" si="7"/>
        <v>23500000</v>
      </c>
    </row>
    <row r="124" spans="1:14" x14ac:dyDescent="0.25">
      <c r="A124" s="13">
        <v>179</v>
      </c>
      <c r="B124" s="8" t="s">
        <v>63</v>
      </c>
      <c r="C124" s="9">
        <v>19.89</v>
      </c>
      <c r="D124" s="8" t="s">
        <v>203</v>
      </c>
      <c r="E124" s="25">
        <v>44260</v>
      </c>
      <c r="F124" s="11">
        <v>81000000</v>
      </c>
      <c r="G124" s="54">
        <v>44273</v>
      </c>
      <c r="H124" s="35">
        <v>49</v>
      </c>
      <c r="I124" s="51">
        <v>4.9999999999999998E-7</v>
      </c>
      <c r="J124" s="49">
        <f t="shared" si="6"/>
        <v>98000000</v>
      </c>
      <c r="K124" s="13" t="s">
        <v>276</v>
      </c>
      <c r="L124" s="13">
        <v>76</v>
      </c>
      <c r="M124" s="11">
        <v>2.0000000000000002E-5</v>
      </c>
      <c r="N124" s="47">
        <f t="shared" si="7"/>
        <v>3799999.9999999995</v>
      </c>
    </row>
    <row r="125" spans="1:14" x14ac:dyDescent="0.25">
      <c r="A125" s="13">
        <v>180</v>
      </c>
      <c r="B125" s="8" t="s">
        <v>64</v>
      </c>
      <c r="C125" s="9">
        <v>20.2</v>
      </c>
      <c r="D125" s="8" t="s">
        <v>204</v>
      </c>
      <c r="E125" s="25">
        <v>44260</v>
      </c>
      <c r="F125" s="11">
        <v>19400000</v>
      </c>
      <c r="G125" s="11"/>
      <c r="H125" s="32">
        <v>158</v>
      </c>
      <c r="I125" s="33">
        <v>5.0000000000000004E-6</v>
      </c>
      <c r="J125" s="48">
        <f t="shared" si="6"/>
        <v>31599999.999999996</v>
      </c>
      <c r="K125" s="13" t="s">
        <v>276</v>
      </c>
      <c r="L125" s="13">
        <v>58</v>
      </c>
      <c r="M125" s="11">
        <v>1.0000000000000001E-5</v>
      </c>
      <c r="N125" s="47">
        <f t="shared" si="7"/>
        <v>5799999.9999999991</v>
      </c>
    </row>
    <row r="126" spans="1:14" x14ac:dyDescent="0.25">
      <c r="A126" s="13">
        <v>181</v>
      </c>
      <c r="B126" s="8" t="s">
        <v>65</v>
      </c>
      <c r="C126" s="9">
        <v>17.733333333333334</v>
      </c>
      <c r="D126" s="8" t="s">
        <v>205</v>
      </c>
      <c r="E126" s="25">
        <v>44260</v>
      </c>
      <c r="F126" s="11">
        <v>232000000</v>
      </c>
      <c r="G126" s="11"/>
      <c r="H126" s="32">
        <v>33</v>
      </c>
      <c r="I126" s="33">
        <v>1.0000000000000001E-5</v>
      </c>
      <c r="J126" s="48">
        <f t="shared" si="6"/>
        <v>3299999.9999999995</v>
      </c>
      <c r="K126" s="13" t="s">
        <v>276</v>
      </c>
      <c r="L126" s="13">
        <v>80</v>
      </c>
      <c r="M126" s="11">
        <v>2.0000000000000002E-5</v>
      </c>
      <c r="N126" s="47">
        <f t="shared" si="7"/>
        <v>3999999.9999999995</v>
      </c>
    </row>
    <row r="127" spans="1:14" x14ac:dyDescent="0.25">
      <c r="A127" s="13"/>
      <c r="B127" s="27" t="s">
        <v>278</v>
      </c>
      <c r="C127" s="13"/>
      <c r="D127" s="13"/>
      <c r="E127" s="5"/>
      <c r="F127" s="13"/>
      <c r="G127" s="1"/>
      <c r="K127" s="26">
        <v>44264</v>
      </c>
      <c r="L127" s="13">
        <v>76</v>
      </c>
      <c r="M127" s="11">
        <v>9.9999999999999995E-7</v>
      </c>
      <c r="N127" s="47">
        <f t="shared" si="7"/>
        <v>76000000</v>
      </c>
    </row>
    <row r="128" spans="1:14" x14ac:dyDescent="0.25">
      <c r="B128" s="36" t="s">
        <v>278</v>
      </c>
      <c r="C128" s="1"/>
      <c r="D128" s="1"/>
      <c r="E128" s="1"/>
      <c r="F128" s="1"/>
      <c r="G128" s="1"/>
      <c r="K128" s="1" t="s">
        <v>279</v>
      </c>
      <c r="L128" s="1">
        <v>80</v>
      </c>
      <c r="M128" s="34">
        <v>8.9999999999999996E-7</v>
      </c>
      <c r="N128" s="47">
        <f t="shared" si="7"/>
        <v>88888888.888888896</v>
      </c>
    </row>
    <row r="129" spans="1:14" x14ac:dyDescent="0.25">
      <c r="A129" s="13"/>
      <c r="B129" s="27" t="s">
        <v>278</v>
      </c>
      <c r="C129" s="13"/>
      <c r="D129" s="13"/>
      <c r="E129" s="13"/>
      <c r="F129" s="13"/>
      <c r="G129" s="1"/>
      <c r="K129" s="13" t="s">
        <v>276</v>
      </c>
      <c r="L129" s="13">
        <v>72</v>
      </c>
      <c r="M129" s="11">
        <v>8.9999999999999996E-7</v>
      </c>
      <c r="N129" s="47">
        <f t="shared" si="7"/>
        <v>80000000</v>
      </c>
    </row>
    <row r="130" spans="1:14" x14ac:dyDescent="0.25">
      <c r="A130" s="13"/>
      <c r="B130" s="27" t="s">
        <v>278</v>
      </c>
      <c r="C130" s="13"/>
      <c r="D130" s="13"/>
      <c r="E130" s="13"/>
      <c r="F130" s="13"/>
      <c r="G130" s="1"/>
      <c r="K130" s="13" t="s">
        <v>275</v>
      </c>
      <c r="L130" s="13">
        <v>48</v>
      </c>
      <c r="M130" s="11">
        <v>9.9999999999999995E-7</v>
      </c>
      <c r="N130" s="47">
        <f t="shared" ref="N130:N140" si="8">L130/M130</f>
        <v>48000000</v>
      </c>
    </row>
    <row r="131" spans="1:14" x14ac:dyDescent="0.25">
      <c r="A131" s="13"/>
      <c r="B131" s="27" t="s">
        <v>278</v>
      </c>
      <c r="C131" s="13"/>
      <c r="D131" s="13"/>
      <c r="E131" s="13"/>
      <c r="F131" s="13"/>
      <c r="G131" s="1"/>
      <c r="K131" s="13" t="s">
        <v>280</v>
      </c>
      <c r="L131" s="35">
        <v>57</v>
      </c>
      <c r="M131" s="11">
        <v>8.9999999999999996E-7</v>
      </c>
      <c r="N131" s="47">
        <f t="shared" si="8"/>
        <v>63333333.333333336</v>
      </c>
    </row>
    <row r="132" spans="1:14" x14ac:dyDescent="0.25">
      <c r="A132" s="13"/>
      <c r="B132" s="27" t="s">
        <v>278</v>
      </c>
      <c r="C132" s="13"/>
      <c r="D132" s="13"/>
      <c r="E132" s="13"/>
      <c r="F132" s="13"/>
      <c r="G132" s="1"/>
      <c r="K132" s="13" t="s">
        <v>277</v>
      </c>
      <c r="L132" s="13">
        <v>75</v>
      </c>
      <c r="M132" s="11">
        <v>9.9999999999999995E-7</v>
      </c>
      <c r="N132" s="30">
        <f t="shared" si="8"/>
        <v>75000000</v>
      </c>
    </row>
    <row r="133" spans="1:14" x14ac:dyDescent="0.25">
      <c r="A133" s="13"/>
      <c r="B133" s="8" t="s">
        <v>278</v>
      </c>
      <c r="C133" s="16"/>
      <c r="D133" s="8"/>
      <c r="E133" s="10"/>
      <c r="F133" s="8"/>
      <c r="G133" s="53"/>
      <c r="K133" s="13" t="s">
        <v>281</v>
      </c>
      <c r="L133" s="28">
        <v>116</v>
      </c>
      <c r="M133" s="34">
        <v>1.5E-6</v>
      </c>
      <c r="N133" s="30">
        <f t="shared" si="8"/>
        <v>77333333.333333328</v>
      </c>
    </row>
    <row r="134" spans="1:14" x14ac:dyDescent="0.25">
      <c r="A134" s="13"/>
      <c r="B134" s="8" t="s">
        <v>278</v>
      </c>
      <c r="C134" s="13"/>
      <c r="D134" s="13"/>
      <c r="E134" s="13"/>
      <c r="F134" s="13"/>
      <c r="G134" s="1"/>
      <c r="K134" s="13" t="s">
        <v>283</v>
      </c>
      <c r="L134" s="13">
        <v>74</v>
      </c>
      <c r="M134" s="11">
        <v>9.9999999999999995E-7</v>
      </c>
      <c r="N134" s="30">
        <f t="shared" si="8"/>
        <v>74000000</v>
      </c>
    </row>
    <row r="135" spans="1:14" x14ac:dyDescent="0.25">
      <c r="A135" s="13"/>
      <c r="B135" s="8" t="s">
        <v>278</v>
      </c>
      <c r="C135" s="16"/>
      <c r="D135" s="8"/>
      <c r="E135" s="10"/>
      <c r="F135" s="8"/>
      <c r="G135" s="53"/>
      <c r="K135" s="13" t="s">
        <v>282</v>
      </c>
      <c r="L135" s="35">
        <v>81</v>
      </c>
      <c r="M135" s="11">
        <v>1.5E-6</v>
      </c>
      <c r="N135" s="30">
        <f t="shared" si="8"/>
        <v>54000000</v>
      </c>
    </row>
    <row r="136" spans="1:14" x14ac:dyDescent="0.25">
      <c r="A136" s="13"/>
      <c r="B136" s="8" t="s">
        <v>278</v>
      </c>
      <c r="C136" s="16"/>
      <c r="D136" s="8"/>
      <c r="E136" s="10"/>
      <c r="F136" s="8"/>
      <c r="G136" s="53"/>
      <c r="K136" s="26">
        <v>44271</v>
      </c>
      <c r="L136" s="28">
        <v>102</v>
      </c>
      <c r="M136" s="34">
        <v>1.5E-6</v>
      </c>
      <c r="N136" s="30">
        <f t="shared" si="8"/>
        <v>68000000</v>
      </c>
    </row>
    <row r="137" spans="1:14" x14ac:dyDescent="0.25">
      <c r="A137" s="13"/>
      <c r="B137" s="13" t="s">
        <v>278</v>
      </c>
      <c r="C137" s="13"/>
      <c r="D137" s="13"/>
      <c r="E137" s="13"/>
      <c r="F137" s="13"/>
      <c r="G137" s="1"/>
      <c r="K137" s="19">
        <v>44273</v>
      </c>
      <c r="L137" s="13">
        <v>104</v>
      </c>
      <c r="M137" s="11">
        <v>1.5E-6</v>
      </c>
      <c r="N137" s="30">
        <f t="shared" si="8"/>
        <v>69333333.333333328</v>
      </c>
    </row>
    <row r="138" spans="1:14" x14ac:dyDescent="0.25">
      <c r="A138" s="5" t="s">
        <v>295</v>
      </c>
      <c r="B138" s="8" t="s">
        <v>297</v>
      </c>
      <c r="C138" s="5"/>
      <c r="D138" s="5"/>
      <c r="E138" s="5"/>
      <c r="F138" s="5"/>
      <c r="G138" s="5"/>
      <c r="H138" s="5"/>
      <c r="I138" s="5"/>
      <c r="J138" s="5"/>
      <c r="K138" s="54">
        <v>44278</v>
      </c>
      <c r="L138" s="50">
        <v>105</v>
      </c>
      <c r="M138" s="6">
        <v>4.0000000000000003E-5</v>
      </c>
      <c r="N138" s="47">
        <f t="shared" si="8"/>
        <v>2625000</v>
      </c>
    </row>
    <row r="139" spans="1:14" x14ac:dyDescent="0.25">
      <c r="A139" s="13" t="s">
        <v>294</v>
      </c>
      <c r="B139" s="8" t="s">
        <v>298</v>
      </c>
      <c r="C139" s="13"/>
      <c r="D139" s="13"/>
      <c r="E139" s="13"/>
      <c r="F139" s="13"/>
      <c r="G139" s="13"/>
      <c r="H139" s="13"/>
      <c r="I139" s="13"/>
      <c r="J139" s="13"/>
      <c r="K139" s="19">
        <v>44278</v>
      </c>
      <c r="L139" s="35">
        <v>104</v>
      </c>
      <c r="M139" s="11">
        <v>1E-4</v>
      </c>
      <c r="N139" s="63">
        <f t="shared" si="8"/>
        <v>1040000</v>
      </c>
    </row>
    <row r="140" spans="1:14" x14ac:dyDescent="0.25">
      <c r="A140" s="13" t="s">
        <v>296</v>
      </c>
      <c r="B140" s="8" t="s">
        <v>299</v>
      </c>
      <c r="C140" s="13"/>
      <c r="D140" s="13"/>
      <c r="E140" s="13"/>
      <c r="F140" s="13"/>
      <c r="G140" s="13"/>
      <c r="H140" s="13"/>
      <c r="I140" s="13"/>
      <c r="J140" s="13"/>
      <c r="K140" s="19">
        <v>44278</v>
      </c>
      <c r="L140" s="35">
        <v>110</v>
      </c>
      <c r="M140" s="11">
        <v>2.9999999999999997E-4</v>
      </c>
      <c r="N140" s="63">
        <f t="shared" si="8"/>
        <v>366666.66666666669</v>
      </c>
    </row>
  </sheetData>
  <autoFilter ref="F1:F137" xr:uid="{35DD4FB9-87FE-4CC5-9475-41F02DF124DA}"/>
  <sortState xmlns:xlrd2="http://schemas.microsoft.com/office/spreadsheetml/2017/richdata2" ref="A2:N138">
    <sortCondition ref="A1"/>
  </sortState>
  <pageMargins left="0.25" right="0.25" top="0.75" bottom="0.75" header="0.3" footer="0.3"/>
  <pageSetup scale="6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A41D-A550-4302-A62D-AC2C019D1A12}">
  <sheetPr>
    <pageSetUpPr fitToPage="1"/>
  </sheetPr>
  <dimension ref="A1:F137"/>
  <sheetViews>
    <sheetView tabSelected="1" topLeftCell="A105" workbookViewId="0">
      <selection activeCell="D116" sqref="D116"/>
    </sheetView>
  </sheetViews>
  <sheetFormatPr defaultRowHeight="15" x14ac:dyDescent="0.25"/>
  <cols>
    <col min="1" max="1" width="8" style="55" bestFit="1" customWidth="1"/>
    <col min="2" max="2" width="8.5703125" style="55" bestFit="1" customWidth="1"/>
    <col min="3" max="3" width="10.85546875" style="56" bestFit="1" customWidth="1"/>
    <col min="4" max="4" width="13.140625" style="57" bestFit="1" customWidth="1"/>
    <col min="5" max="5" width="18.7109375" style="58" bestFit="1" customWidth="1"/>
    <col min="6" max="6" width="12.85546875" style="55" bestFit="1" customWidth="1"/>
  </cols>
  <sheetData>
    <row r="1" spans="1:6" x14ac:dyDescent="0.25">
      <c r="A1" s="55" t="s">
        <v>268</v>
      </c>
      <c r="B1" s="55" t="s">
        <v>289</v>
      </c>
      <c r="C1" s="56" t="s">
        <v>290</v>
      </c>
      <c r="D1" s="57" t="s">
        <v>291</v>
      </c>
      <c r="E1" s="58" t="s">
        <v>292</v>
      </c>
      <c r="F1" s="55" t="s">
        <v>293</v>
      </c>
    </row>
    <row r="2" spans="1:6" x14ac:dyDescent="0.25">
      <c r="A2" s="55">
        <v>2</v>
      </c>
      <c r="B2" s="49">
        <v>7714285.7142857146</v>
      </c>
      <c r="C2" s="56">
        <v>15000000</v>
      </c>
      <c r="D2" s="57" t="s">
        <v>206</v>
      </c>
      <c r="E2" s="59">
        <v>15000000</v>
      </c>
      <c r="F2" s="60">
        <f>75/E2</f>
        <v>5.0000000000000004E-6</v>
      </c>
    </row>
    <row r="3" spans="1:6" x14ac:dyDescent="0.25">
      <c r="A3" s="55">
        <v>3</v>
      </c>
      <c r="B3" s="49">
        <v>4066666.6666666665</v>
      </c>
      <c r="C3" s="56">
        <v>8142857.1428571427</v>
      </c>
      <c r="D3" s="57" t="s">
        <v>207</v>
      </c>
      <c r="E3" s="59">
        <v>8142857.1428571427</v>
      </c>
      <c r="F3" s="60">
        <f>75/E3</f>
        <v>9.2105263157894737E-6</v>
      </c>
    </row>
    <row r="4" spans="1:6" x14ac:dyDescent="0.25">
      <c r="A4" s="55">
        <v>4</v>
      </c>
      <c r="B4" s="49">
        <v>3066666.6666666665</v>
      </c>
      <c r="C4" s="56">
        <v>5050000</v>
      </c>
      <c r="D4" s="57" t="s">
        <v>208</v>
      </c>
      <c r="E4" s="59">
        <v>5050000</v>
      </c>
      <c r="F4" s="60">
        <f>75/E4</f>
        <v>1.4851485148514851E-5</v>
      </c>
    </row>
    <row r="5" spans="1:6" x14ac:dyDescent="0.25">
      <c r="A5" s="55">
        <v>5</v>
      </c>
      <c r="B5" s="49">
        <v>5000000</v>
      </c>
      <c r="C5" s="56">
        <v>11333333.333333334</v>
      </c>
      <c r="D5" s="57" t="s">
        <v>209</v>
      </c>
      <c r="E5" s="59">
        <v>11333333.333333334</v>
      </c>
      <c r="F5" s="60">
        <f>75/E5</f>
        <v>6.6176470588235288E-6</v>
      </c>
    </row>
    <row r="6" spans="1:6" x14ac:dyDescent="0.25">
      <c r="A6" s="55">
        <v>6</v>
      </c>
      <c r="B6" s="49">
        <v>9142857.1428571437</v>
      </c>
      <c r="C6" s="56">
        <v>5799999.9999999991</v>
      </c>
      <c r="D6" s="57">
        <v>6</v>
      </c>
      <c r="E6" s="59">
        <v>9142857.1428571437</v>
      </c>
      <c r="F6" s="60">
        <f>75/E6</f>
        <v>8.2031249999999995E-6</v>
      </c>
    </row>
    <row r="7" spans="1:6" x14ac:dyDescent="0.25">
      <c r="A7" s="55">
        <v>7</v>
      </c>
      <c r="B7" s="49">
        <v>5200000</v>
      </c>
      <c r="C7" s="56">
        <v>9800000</v>
      </c>
      <c r="D7" s="57" t="s">
        <v>211</v>
      </c>
      <c r="E7" s="59">
        <v>9800000</v>
      </c>
      <c r="F7" s="60">
        <f>75/E7</f>
        <v>7.6530612244897955E-6</v>
      </c>
    </row>
    <row r="8" spans="1:6" x14ac:dyDescent="0.25">
      <c r="A8" s="55">
        <v>8</v>
      </c>
      <c r="B8" s="49">
        <v>9800000</v>
      </c>
      <c r="C8" s="56">
        <v>9700000</v>
      </c>
      <c r="D8" s="57">
        <v>8</v>
      </c>
      <c r="E8" s="59">
        <v>9800000</v>
      </c>
      <c r="F8" s="60">
        <f>75/E8</f>
        <v>7.6530612244897955E-6</v>
      </c>
    </row>
    <row r="9" spans="1:6" x14ac:dyDescent="0.25">
      <c r="A9" s="55">
        <v>9</v>
      </c>
      <c r="B9" s="49">
        <v>4000000</v>
      </c>
      <c r="C9" s="56">
        <v>2000000</v>
      </c>
      <c r="D9" s="57">
        <v>9</v>
      </c>
      <c r="E9" s="59">
        <v>4000000</v>
      </c>
      <c r="F9" s="60">
        <f>75/E9</f>
        <v>1.8749999999999998E-5</v>
      </c>
    </row>
    <row r="10" spans="1:6" x14ac:dyDescent="0.25">
      <c r="A10" s="55">
        <v>10</v>
      </c>
      <c r="B10" s="49"/>
      <c r="C10" s="56">
        <v>5000000</v>
      </c>
      <c r="D10" s="57" t="s">
        <v>214</v>
      </c>
      <c r="E10" s="59">
        <v>5000000</v>
      </c>
      <c r="F10" s="60">
        <f>75/E10</f>
        <v>1.5E-5</v>
      </c>
    </row>
    <row r="11" spans="1:6" x14ac:dyDescent="0.25">
      <c r="A11" s="55">
        <v>12</v>
      </c>
      <c r="B11" s="49">
        <v>2800000</v>
      </c>
      <c r="C11" s="56">
        <v>4900000</v>
      </c>
      <c r="D11" s="57" t="s">
        <v>215</v>
      </c>
      <c r="E11" s="59">
        <v>4900000</v>
      </c>
      <c r="F11" s="60">
        <f>75/E11</f>
        <v>1.5306122448979591E-5</v>
      </c>
    </row>
    <row r="12" spans="1:6" x14ac:dyDescent="0.25">
      <c r="A12" s="55">
        <v>14</v>
      </c>
      <c r="B12" s="49">
        <v>16285714.285714285</v>
      </c>
      <c r="C12" s="56">
        <v>566666.66666666663</v>
      </c>
      <c r="D12" s="57">
        <v>14</v>
      </c>
      <c r="E12" s="59">
        <v>16285714.285714285</v>
      </c>
      <c r="F12" s="60">
        <f>75/E12</f>
        <v>4.6052631578947368E-6</v>
      </c>
    </row>
    <row r="13" spans="1:6" x14ac:dyDescent="0.25">
      <c r="A13" s="55">
        <v>15</v>
      </c>
      <c r="B13" s="49">
        <v>10333333.333333334</v>
      </c>
      <c r="C13" s="56">
        <v>930000</v>
      </c>
      <c r="D13" s="57">
        <v>15</v>
      </c>
      <c r="E13" s="59">
        <v>10333333.333333334</v>
      </c>
      <c r="F13" s="60">
        <f>75/E13</f>
        <v>7.2580645161290315E-6</v>
      </c>
    </row>
    <row r="14" spans="1:6" x14ac:dyDescent="0.25">
      <c r="A14" s="55">
        <v>16</v>
      </c>
      <c r="B14" s="49">
        <v>2700000</v>
      </c>
      <c r="C14" s="56">
        <v>1210000</v>
      </c>
      <c r="D14" s="57">
        <v>16</v>
      </c>
      <c r="E14" s="59">
        <v>2700000</v>
      </c>
      <c r="F14" s="60">
        <f>75/E14</f>
        <v>2.7777777777777779E-5</v>
      </c>
    </row>
    <row r="15" spans="1:6" x14ac:dyDescent="0.25">
      <c r="A15" s="55">
        <v>17</v>
      </c>
      <c r="B15" s="49">
        <v>5799999.9999999991</v>
      </c>
      <c r="C15" s="56">
        <v>2020000</v>
      </c>
      <c r="D15" s="57">
        <v>17</v>
      </c>
      <c r="E15" s="59">
        <v>5799999.9999999991</v>
      </c>
      <c r="F15" s="60">
        <f>75/E15</f>
        <v>1.2931034482758622E-5</v>
      </c>
    </row>
    <row r="16" spans="1:6" x14ac:dyDescent="0.25">
      <c r="A16" s="55">
        <v>18</v>
      </c>
      <c r="B16" s="49">
        <v>6299999.9999999991</v>
      </c>
      <c r="C16" s="56">
        <v>520000.00000000006</v>
      </c>
      <c r="D16" s="57">
        <v>18</v>
      </c>
      <c r="E16" s="59">
        <v>6299999.9999999991</v>
      </c>
      <c r="F16" s="60">
        <f>75/E16</f>
        <v>1.1904761904761907E-5</v>
      </c>
    </row>
    <row r="17" spans="1:6" x14ac:dyDescent="0.25">
      <c r="A17" s="55">
        <v>19</v>
      </c>
      <c r="B17" s="49">
        <v>40666666.666666664</v>
      </c>
      <c r="C17" s="56">
        <v>1440000</v>
      </c>
      <c r="D17" s="57">
        <v>19</v>
      </c>
      <c r="E17" s="59">
        <v>40666666.666666664</v>
      </c>
      <c r="F17" s="60">
        <f>75/E17</f>
        <v>1.8442622950819674E-6</v>
      </c>
    </row>
    <row r="18" spans="1:6" x14ac:dyDescent="0.25">
      <c r="A18" s="55">
        <v>20</v>
      </c>
      <c r="B18" s="49"/>
      <c r="C18" s="56">
        <v>1400</v>
      </c>
      <c r="D18" s="57" t="s">
        <v>222</v>
      </c>
      <c r="E18" s="59">
        <v>1400</v>
      </c>
      <c r="F18" s="60">
        <f>75/E18</f>
        <v>5.3571428571428568E-2</v>
      </c>
    </row>
    <row r="19" spans="1:6" x14ac:dyDescent="0.25">
      <c r="A19" s="55">
        <v>22</v>
      </c>
      <c r="B19" s="49"/>
      <c r="C19" s="56">
        <v>21250000</v>
      </c>
      <c r="D19" s="57" t="s">
        <v>223</v>
      </c>
      <c r="E19" s="59">
        <v>21250000</v>
      </c>
      <c r="F19" s="60">
        <f>75/E19</f>
        <v>3.5294117647058825E-6</v>
      </c>
    </row>
    <row r="20" spans="1:6" x14ac:dyDescent="0.25">
      <c r="A20" s="55">
        <v>23</v>
      </c>
      <c r="B20" s="49"/>
      <c r="C20" s="56">
        <v>15500000</v>
      </c>
      <c r="D20" s="57" t="s">
        <v>224</v>
      </c>
      <c r="E20" s="59">
        <v>15500000</v>
      </c>
      <c r="F20" s="60">
        <f>75/E20</f>
        <v>4.8387096774193552E-6</v>
      </c>
    </row>
    <row r="21" spans="1:6" x14ac:dyDescent="0.25">
      <c r="A21" s="55">
        <v>24</v>
      </c>
      <c r="B21" s="49">
        <v>240000000</v>
      </c>
      <c r="C21" s="56">
        <v>22000000</v>
      </c>
      <c r="D21" s="57">
        <v>24</v>
      </c>
      <c r="E21" s="59">
        <v>240000000</v>
      </c>
      <c r="F21" s="60">
        <f>75/E21</f>
        <v>3.1250000000000003E-7</v>
      </c>
    </row>
    <row r="22" spans="1:6" x14ac:dyDescent="0.25">
      <c r="A22" s="55">
        <v>25</v>
      </c>
      <c r="B22" s="49">
        <v>105000000</v>
      </c>
      <c r="C22" s="56">
        <v>11833333.333333334</v>
      </c>
      <c r="D22" s="57">
        <v>25</v>
      </c>
      <c r="E22" s="59">
        <v>105000000</v>
      </c>
      <c r="F22" s="60">
        <f>75/E22</f>
        <v>7.1428571428571431E-7</v>
      </c>
    </row>
    <row r="23" spans="1:6" x14ac:dyDescent="0.25">
      <c r="A23" s="55">
        <v>26</v>
      </c>
      <c r="B23" s="49">
        <v>113333333.33333334</v>
      </c>
      <c r="C23" s="56">
        <v>11200000</v>
      </c>
      <c r="D23" s="57">
        <v>26</v>
      </c>
      <c r="E23" s="59">
        <v>113333333.33333334</v>
      </c>
      <c r="F23" s="60">
        <f>75/E23</f>
        <v>6.6176470588235288E-7</v>
      </c>
    </row>
    <row r="24" spans="1:6" x14ac:dyDescent="0.25">
      <c r="A24" s="55">
        <v>27</v>
      </c>
      <c r="B24" s="49">
        <v>118333333.33333334</v>
      </c>
      <c r="C24" s="56">
        <v>17285714.285714287</v>
      </c>
      <c r="D24" s="57">
        <v>27</v>
      </c>
      <c r="E24" s="59">
        <v>118333333.33333334</v>
      </c>
      <c r="F24" s="60">
        <f>75/E24</f>
        <v>6.3380281690140835E-7</v>
      </c>
    </row>
    <row r="25" spans="1:6" x14ac:dyDescent="0.25">
      <c r="A25" s="55">
        <v>28</v>
      </c>
      <c r="B25" s="49">
        <v>40666666.666666664</v>
      </c>
      <c r="C25" s="56">
        <v>18857142.857142858</v>
      </c>
      <c r="D25" s="57">
        <v>28</v>
      </c>
      <c r="E25" s="59">
        <v>40666666.666666664</v>
      </c>
      <c r="F25" s="60">
        <f>75/E25</f>
        <v>1.8442622950819674E-6</v>
      </c>
    </row>
    <row r="26" spans="1:6" x14ac:dyDescent="0.25">
      <c r="A26" s="55">
        <v>29</v>
      </c>
      <c r="B26" s="49">
        <v>315000000</v>
      </c>
      <c r="C26" s="56">
        <v>14571428.571428571</v>
      </c>
      <c r="D26" s="57">
        <v>29</v>
      </c>
      <c r="E26" s="59">
        <v>315000000</v>
      </c>
      <c r="F26" s="60">
        <f>75/E26</f>
        <v>2.3809523809523809E-7</v>
      </c>
    </row>
    <row r="27" spans="1:6" x14ac:dyDescent="0.25">
      <c r="A27" s="55">
        <v>30</v>
      </c>
      <c r="B27" s="49">
        <v>36000000</v>
      </c>
      <c r="C27" s="56">
        <v>40000000</v>
      </c>
      <c r="D27" s="57" t="s">
        <v>231</v>
      </c>
      <c r="E27" s="59">
        <v>40000000</v>
      </c>
      <c r="F27" s="60">
        <f>75/E27</f>
        <v>1.875E-6</v>
      </c>
    </row>
    <row r="28" spans="1:6" x14ac:dyDescent="0.25">
      <c r="A28" s="55">
        <v>31</v>
      </c>
      <c r="B28" s="49">
        <v>120000000</v>
      </c>
      <c r="C28" s="56">
        <v>17066666.666666668</v>
      </c>
      <c r="D28" s="57">
        <v>31</v>
      </c>
      <c r="E28" s="59">
        <v>120000000</v>
      </c>
      <c r="F28" s="60">
        <f>75/E28</f>
        <v>6.2500000000000005E-7</v>
      </c>
    </row>
    <row r="29" spans="1:6" x14ac:dyDescent="0.25">
      <c r="A29" s="55">
        <v>32</v>
      </c>
      <c r="B29" s="49">
        <v>46000000</v>
      </c>
      <c r="C29" s="56">
        <v>6699999.9999999991</v>
      </c>
      <c r="D29" s="57">
        <v>32</v>
      </c>
      <c r="E29" s="59">
        <v>46000000</v>
      </c>
      <c r="F29" s="60">
        <f>75/E29</f>
        <v>1.6304347826086957E-6</v>
      </c>
    </row>
    <row r="30" spans="1:6" x14ac:dyDescent="0.25">
      <c r="A30" s="55">
        <v>33</v>
      </c>
      <c r="B30" s="49">
        <v>12499999.999999998</v>
      </c>
      <c r="C30" s="56">
        <v>36000000</v>
      </c>
      <c r="D30" s="57" t="s">
        <v>234</v>
      </c>
      <c r="E30" s="59">
        <v>36000000</v>
      </c>
      <c r="F30" s="60">
        <f>75/E30</f>
        <v>2.0833333333333334E-6</v>
      </c>
    </row>
    <row r="31" spans="1:6" x14ac:dyDescent="0.25">
      <c r="A31" s="55">
        <v>34</v>
      </c>
      <c r="B31" s="49"/>
      <c r="C31" s="56">
        <v>18800000</v>
      </c>
      <c r="D31" s="57" t="s">
        <v>235</v>
      </c>
      <c r="E31" s="59">
        <v>18800000</v>
      </c>
      <c r="F31" s="60">
        <f>75/E31</f>
        <v>3.9893617021276594E-6</v>
      </c>
    </row>
    <row r="32" spans="1:6" x14ac:dyDescent="0.25">
      <c r="A32" s="55">
        <v>35</v>
      </c>
      <c r="B32" s="6">
        <v>12599999.999999998</v>
      </c>
      <c r="C32" s="56">
        <v>18800000</v>
      </c>
      <c r="D32" s="57" t="s">
        <v>236</v>
      </c>
      <c r="E32" s="59">
        <v>18800000</v>
      </c>
      <c r="F32" s="60">
        <f>75/E32</f>
        <v>3.9893617021276594E-6</v>
      </c>
    </row>
    <row r="33" spans="1:6" x14ac:dyDescent="0.25">
      <c r="A33" s="55">
        <v>36</v>
      </c>
      <c r="B33" s="49">
        <v>168000000</v>
      </c>
      <c r="C33" s="56">
        <v>3520000</v>
      </c>
      <c r="D33" s="57">
        <v>36</v>
      </c>
      <c r="E33" s="59">
        <v>168000000</v>
      </c>
      <c r="F33" s="60">
        <f>75/E33</f>
        <v>4.4642857142857142E-7</v>
      </c>
    </row>
    <row r="34" spans="1:6" x14ac:dyDescent="0.25">
      <c r="A34" s="55">
        <v>37</v>
      </c>
      <c r="B34" s="49">
        <v>250000000</v>
      </c>
      <c r="C34" s="56">
        <v>19428571.428571429</v>
      </c>
      <c r="D34" s="57">
        <v>37</v>
      </c>
      <c r="E34" s="59">
        <v>250000000</v>
      </c>
      <c r="F34" s="60">
        <f>75/E34</f>
        <v>2.9999999999999999E-7</v>
      </c>
    </row>
    <row r="35" spans="1:6" x14ac:dyDescent="0.25">
      <c r="A35" s="55">
        <v>38</v>
      </c>
      <c r="B35" s="49">
        <v>92500000</v>
      </c>
      <c r="C35" s="56">
        <v>42666666.666666664</v>
      </c>
      <c r="D35" s="57">
        <v>38</v>
      </c>
      <c r="E35" s="59">
        <v>92500000</v>
      </c>
      <c r="F35" s="60">
        <f>75/E35</f>
        <v>8.1081081081081082E-7</v>
      </c>
    </row>
    <row r="36" spans="1:6" x14ac:dyDescent="0.25">
      <c r="A36" s="55">
        <v>39</v>
      </c>
      <c r="B36" s="49">
        <v>255000000</v>
      </c>
      <c r="C36" s="56">
        <v>30285714.285714287</v>
      </c>
      <c r="D36" s="57">
        <v>39</v>
      </c>
      <c r="E36" s="59">
        <v>255000000</v>
      </c>
      <c r="F36" s="60">
        <f>75/E36</f>
        <v>2.941176470588235E-7</v>
      </c>
    </row>
    <row r="37" spans="1:6" x14ac:dyDescent="0.25">
      <c r="A37" s="55">
        <v>40</v>
      </c>
      <c r="B37" s="49">
        <v>115000000</v>
      </c>
      <c r="C37" s="56">
        <v>24666666.666666664</v>
      </c>
      <c r="D37" s="57">
        <v>40</v>
      </c>
      <c r="E37" s="59">
        <v>115000000</v>
      </c>
      <c r="F37" s="60">
        <f>75/E37</f>
        <v>6.5217391304347831E-7</v>
      </c>
    </row>
    <row r="38" spans="1:6" x14ac:dyDescent="0.25">
      <c r="A38" s="55">
        <v>41</v>
      </c>
      <c r="B38" s="49">
        <v>217500000</v>
      </c>
      <c r="C38" s="56">
        <v>27500000</v>
      </c>
      <c r="D38" s="57">
        <v>41</v>
      </c>
      <c r="E38" s="59">
        <v>217500000</v>
      </c>
      <c r="F38" s="60">
        <f>75/E38</f>
        <v>3.4482758620689656E-7</v>
      </c>
    </row>
    <row r="39" spans="1:6" x14ac:dyDescent="0.25">
      <c r="A39" s="55">
        <v>42</v>
      </c>
      <c r="B39" s="49">
        <v>170000000</v>
      </c>
      <c r="C39" s="56">
        <v>13875000</v>
      </c>
      <c r="D39" s="57">
        <v>42</v>
      </c>
      <c r="E39" s="59">
        <v>170000000</v>
      </c>
      <c r="F39" s="60">
        <f>75/E39</f>
        <v>4.4117647058823531E-7</v>
      </c>
    </row>
    <row r="40" spans="1:6" x14ac:dyDescent="0.25">
      <c r="A40" s="55">
        <v>43</v>
      </c>
      <c r="B40" s="49">
        <v>76000000</v>
      </c>
      <c r="C40" s="56">
        <v>6666666.666666666</v>
      </c>
      <c r="D40" s="57">
        <v>43</v>
      </c>
      <c r="E40" s="59">
        <v>76000000</v>
      </c>
      <c r="F40" s="60">
        <f>75/E40</f>
        <v>9.8684210526315786E-7</v>
      </c>
    </row>
    <row r="41" spans="1:6" x14ac:dyDescent="0.25">
      <c r="A41" s="55">
        <v>44</v>
      </c>
      <c r="B41" s="49">
        <v>52000000</v>
      </c>
      <c r="C41" s="56">
        <v>5750000</v>
      </c>
      <c r="D41" s="57">
        <v>44</v>
      </c>
      <c r="E41" s="59">
        <v>52000000</v>
      </c>
      <c r="F41" s="60">
        <f>75/E41</f>
        <v>1.4423076923076922E-6</v>
      </c>
    </row>
    <row r="42" spans="1:6" x14ac:dyDescent="0.25">
      <c r="A42" s="55">
        <v>45</v>
      </c>
      <c r="B42" s="49">
        <v>135000000</v>
      </c>
      <c r="C42" s="56">
        <v>6714285.7142857146</v>
      </c>
      <c r="D42" s="57">
        <v>45</v>
      </c>
      <c r="E42" s="59">
        <v>135000000</v>
      </c>
      <c r="F42" s="60">
        <f>75/E42</f>
        <v>5.5555555555555552E-7</v>
      </c>
    </row>
    <row r="43" spans="1:6" x14ac:dyDescent="0.25">
      <c r="A43" s="55">
        <v>46</v>
      </c>
      <c r="B43" s="49">
        <v>22200000</v>
      </c>
      <c r="C43" s="56">
        <v>5520000</v>
      </c>
      <c r="D43" s="57">
        <v>46</v>
      </c>
      <c r="E43" s="59">
        <v>22200000</v>
      </c>
      <c r="F43" s="60">
        <f>75/E43</f>
        <v>3.3783783783783783E-6</v>
      </c>
    </row>
    <row r="44" spans="1:6" x14ac:dyDescent="0.25">
      <c r="A44" s="55">
        <v>47</v>
      </c>
      <c r="B44" s="49">
        <v>131250000</v>
      </c>
      <c r="C44" s="56">
        <v>26000000</v>
      </c>
      <c r="D44" s="57">
        <v>47</v>
      </c>
      <c r="E44" s="59">
        <v>131250000</v>
      </c>
      <c r="F44" s="60">
        <f>75/E44</f>
        <v>5.7142857142857139E-7</v>
      </c>
    </row>
    <row r="45" spans="1:6" x14ac:dyDescent="0.25">
      <c r="A45" s="55">
        <v>48</v>
      </c>
      <c r="B45" s="49">
        <v>221666666.66666669</v>
      </c>
      <c r="C45" s="56">
        <v>45000000</v>
      </c>
      <c r="D45" s="57">
        <v>48</v>
      </c>
      <c r="E45" s="59">
        <v>221666666.66666669</v>
      </c>
      <c r="F45" s="60">
        <f>75/E45</f>
        <v>3.3834586466165411E-7</v>
      </c>
    </row>
    <row r="46" spans="1:6" x14ac:dyDescent="0.25">
      <c r="A46" s="55">
        <v>49</v>
      </c>
      <c r="B46" s="49">
        <v>62333333.333333328</v>
      </c>
      <c r="C46" s="56">
        <v>17000000</v>
      </c>
      <c r="D46" s="57">
        <v>49</v>
      </c>
      <c r="E46" s="59">
        <v>62333333.333333328</v>
      </c>
      <c r="F46" s="60">
        <f>75/E46</f>
        <v>1.2032085561497326E-6</v>
      </c>
    </row>
    <row r="47" spans="1:6" x14ac:dyDescent="0.25">
      <c r="A47" s="55">
        <v>50</v>
      </c>
      <c r="B47" s="49">
        <v>58500000</v>
      </c>
      <c r="C47" s="56">
        <v>24500000</v>
      </c>
      <c r="D47" s="57">
        <v>50</v>
      </c>
      <c r="E47" s="59">
        <v>58500000</v>
      </c>
      <c r="F47" s="60">
        <f>75/E47</f>
        <v>1.282051282051282E-6</v>
      </c>
    </row>
    <row r="48" spans="1:6" x14ac:dyDescent="0.25">
      <c r="A48" s="55">
        <v>51</v>
      </c>
      <c r="B48" s="49">
        <v>147500000</v>
      </c>
      <c r="C48" s="56">
        <v>23199999.999999996</v>
      </c>
      <c r="D48" s="57">
        <v>51</v>
      </c>
      <c r="E48" s="59">
        <v>147500000</v>
      </c>
      <c r="F48" s="60">
        <f>75/E48</f>
        <v>5.0847457627118647E-7</v>
      </c>
    </row>
    <row r="49" spans="1:6" x14ac:dyDescent="0.25">
      <c r="A49" s="55">
        <v>52</v>
      </c>
      <c r="B49" s="49">
        <v>74400000</v>
      </c>
      <c r="C49" s="56">
        <v>15750000</v>
      </c>
      <c r="D49" s="57">
        <v>52</v>
      </c>
      <c r="E49" s="59">
        <v>74400000</v>
      </c>
      <c r="F49" s="60">
        <f>75/E49</f>
        <v>1.0080645161290323E-6</v>
      </c>
    </row>
    <row r="50" spans="1:6" x14ac:dyDescent="0.25">
      <c r="A50" s="55">
        <v>53</v>
      </c>
      <c r="B50" s="49">
        <v>152000000</v>
      </c>
      <c r="C50" s="56">
        <v>5866666.666666667</v>
      </c>
      <c r="D50" s="57">
        <v>53</v>
      </c>
      <c r="E50" s="59">
        <v>152000000</v>
      </c>
      <c r="F50" s="60">
        <f>75/E50</f>
        <v>4.9342105263157893E-7</v>
      </c>
    </row>
    <row r="51" spans="1:6" x14ac:dyDescent="0.25">
      <c r="A51" s="55">
        <v>54</v>
      </c>
      <c r="B51" s="49">
        <v>6099999.9999999991</v>
      </c>
      <c r="C51" s="56">
        <v>3705882.3529411764</v>
      </c>
      <c r="D51" s="57">
        <v>54</v>
      </c>
      <c r="E51" s="59">
        <v>6099999.9999999991</v>
      </c>
      <c r="F51" s="60">
        <f>75/E51</f>
        <v>1.2295081967213117E-5</v>
      </c>
    </row>
    <row r="52" spans="1:6" x14ac:dyDescent="0.25">
      <c r="A52" s="55">
        <v>55</v>
      </c>
      <c r="B52" s="49">
        <v>11599999.999999998</v>
      </c>
      <c r="C52" s="56">
        <v>21666666.666666668</v>
      </c>
      <c r="D52" s="57" t="s">
        <v>256</v>
      </c>
      <c r="E52" s="59">
        <v>21666666.666666668</v>
      </c>
      <c r="F52" s="60">
        <f>75/E52</f>
        <v>3.4615384615384613E-6</v>
      </c>
    </row>
    <row r="53" spans="1:6" x14ac:dyDescent="0.25">
      <c r="A53" s="55">
        <v>56</v>
      </c>
      <c r="B53" s="49">
        <v>109000000</v>
      </c>
      <c r="C53" s="56">
        <v>28666666.666666664</v>
      </c>
      <c r="D53" s="57">
        <v>56</v>
      </c>
      <c r="E53" s="59">
        <v>109000000</v>
      </c>
      <c r="F53" s="60">
        <f>75/E53</f>
        <v>6.8807339449541281E-7</v>
      </c>
    </row>
    <row r="54" spans="1:6" x14ac:dyDescent="0.25">
      <c r="A54" s="55">
        <v>58</v>
      </c>
      <c r="B54" s="49">
        <v>12899999.999999998</v>
      </c>
      <c r="C54" s="56">
        <v>47000000</v>
      </c>
      <c r="D54" s="57" t="s">
        <v>258</v>
      </c>
      <c r="E54" s="59">
        <v>47000000</v>
      </c>
      <c r="F54" s="60">
        <f>75/E54</f>
        <v>1.5957446808510639E-6</v>
      </c>
    </row>
    <row r="55" spans="1:6" x14ac:dyDescent="0.25">
      <c r="A55" s="55">
        <v>60</v>
      </c>
      <c r="B55" s="49">
        <v>1100</v>
      </c>
      <c r="C55" s="56">
        <v>1590000</v>
      </c>
      <c r="D55" s="57" t="s">
        <v>259</v>
      </c>
      <c r="E55" s="59">
        <v>1590000</v>
      </c>
      <c r="F55" s="60">
        <f>75/E55</f>
        <v>4.7169811320754715E-5</v>
      </c>
    </row>
    <row r="56" spans="1:6" x14ac:dyDescent="0.25">
      <c r="A56" s="55">
        <v>61</v>
      </c>
      <c r="B56" s="49">
        <v>1290000</v>
      </c>
      <c r="C56" s="56">
        <v>18200000</v>
      </c>
      <c r="D56" s="57" t="s">
        <v>260</v>
      </c>
      <c r="E56" s="59">
        <v>18200000</v>
      </c>
      <c r="F56" s="60">
        <f>75/E56</f>
        <v>4.1208791208791205E-6</v>
      </c>
    </row>
    <row r="57" spans="1:6" x14ac:dyDescent="0.25">
      <c r="A57" s="55">
        <v>62</v>
      </c>
      <c r="B57" s="49"/>
      <c r="C57" s="56">
        <v>8440000</v>
      </c>
      <c r="D57" s="57" t="s">
        <v>261</v>
      </c>
      <c r="E57" s="59">
        <v>8440000</v>
      </c>
      <c r="F57" s="60">
        <f>75/E57</f>
        <v>8.8862559241706167E-6</v>
      </c>
    </row>
    <row r="58" spans="1:6" x14ac:dyDescent="0.25">
      <c r="A58" s="55">
        <v>63</v>
      </c>
      <c r="B58" s="6">
        <v>3266666.6666666665</v>
      </c>
      <c r="C58" s="56">
        <v>3733333.333333333</v>
      </c>
      <c r="D58" s="57" t="s">
        <v>262</v>
      </c>
      <c r="E58" s="59">
        <v>3733333.333333333</v>
      </c>
      <c r="F58" s="60">
        <f>75/E58</f>
        <v>2.0089285714285717E-5</v>
      </c>
    </row>
    <row r="59" spans="1:6" x14ac:dyDescent="0.25">
      <c r="A59" s="55">
        <v>64</v>
      </c>
      <c r="B59" s="6">
        <v>4580000</v>
      </c>
      <c r="C59" s="56">
        <v>6666666.666666666</v>
      </c>
      <c r="D59" s="57" t="s">
        <v>263</v>
      </c>
      <c r="E59" s="59">
        <v>6666666.666666666</v>
      </c>
      <c r="F59" s="60">
        <f>75/E59</f>
        <v>1.1250000000000001E-5</v>
      </c>
    </row>
    <row r="60" spans="1:6" x14ac:dyDescent="0.25">
      <c r="A60" s="55">
        <v>65</v>
      </c>
      <c r="B60" s="49">
        <v>12799999.999999998</v>
      </c>
      <c r="C60" s="56">
        <v>8099999.9999999991</v>
      </c>
      <c r="D60" s="57">
        <v>65</v>
      </c>
      <c r="E60" s="59">
        <v>12799999.999999998</v>
      </c>
      <c r="F60" s="60">
        <f>75/E60</f>
        <v>5.859375000000001E-6</v>
      </c>
    </row>
    <row r="61" spans="1:6" x14ac:dyDescent="0.25">
      <c r="A61" s="55">
        <v>66</v>
      </c>
      <c r="B61" s="49">
        <v>12000000</v>
      </c>
      <c r="C61" s="56">
        <v>2114285.7142857146</v>
      </c>
      <c r="D61" s="57">
        <v>66</v>
      </c>
      <c r="E61" s="59">
        <v>12000000</v>
      </c>
      <c r="F61" s="60">
        <f>75/E61</f>
        <v>6.2500000000000003E-6</v>
      </c>
    </row>
    <row r="62" spans="1:6" x14ac:dyDescent="0.25">
      <c r="A62" s="61">
        <v>101</v>
      </c>
      <c r="B62" s="49"/>
      <c r="C62" s="56">
        <v>31333333.333333332</v>
      </c>
      <c r="D62" s="57" t="s">
        <v>141</v>
      </c>
      <c r="E62" s="59">
        <v>31333333.333333332</v>
      </c>
      <c r="F62" s="60">
        <f>75/E62</f>
        <v>2.3936170212765957E-6</v>
      </c>
    </row>
    <row r="63" spans="1:6" x14ac:dyDescent="0.25">
      <c r="A63" s="61">
        <v>102</v>
      </c>
      <c r="B63" s="49"/>
      <c r="C63" s="56">
        <v>25999999.999999996</v>
      </c>
      <c r="D63" s="57" t="s">
        <v>142</v>
      </c>
      <c r="E63" s="59">
        <v>25999999.999999996</v>
      </c>
      <c r="F63" s="60">
        <f>75/E63</f>
        <v>2.8846153846153849E-6</v>
      </c>
    </row>
    <row r="64" spans="1:6" x14ac:dyDescent="0.25">
      <c r="A64" s="61">
        <v>103</v>
      </c>
      <c r="B64" s="49"/>
      <c r="C64" s="56">
        <v>42666666.666666664</v>
      </c>
      <c r="D64" s="57" t="s">
        <v>143</v>
      </c>
      <c r="E64" s="59">
        <v>42666666.666666664</v>
      </c>
      <c r="F64" s="60">
        <f>75/E64</f>
        <v>1.7578125000000002E-6</v>
      </c>
    </row>
    <row r="65" spans="1:6" x14ac:dyDescent="0.25">
      <c r="A65" s="61">
        <v>104</v>
      </c>
      <c r="B65" s="49"/>
      <c r="C65" s="56">
        <v>22571428.571428571</v>
      </c>
      <c r="D65" s="57" t="s">
        <v>144</v>
      </c>
      <c r="E65" s="59">
        <v>22571428.571428571</v>
      </c>
      <c r="F65" s="60">
        <f>75/E65</f>
        <v>3.3227848101265822E-6</v>
      </c>
    </row>
    <row r="66" spans="1:6" x14ac:dyDescent="0.25">
      <c r="A66" s="61">
        <v>105</v>
      </c>
      <c r="B66" s="49"/>
      <c r="C66" s="56">
        <v>23666666.666666668</v>
      </c>
      <c r="D66" s="57" t="s">
        <v>145</v>
      </c>
      <c r="E66" s="59">
        <v>23666666.666666668</v>
      </c>
      <c r="F66" s="60">
        <f>75/E66</f>
        <v>3.1690140845070419E-6</v>
      </c>
    </row>
    <row r="67" spans="1:6" x14ac:dyDescent="0.25">
      <c r="A67" s="61">
        <v>106</v>
      </c>
      <c r="B67" s="49"/>
      <c r="C67" s="56">
        <v>15777777.777777778</v>
      </c>
      <c r="D67" s="57" t="s">
        <v>146</v>
      </c>
      <c r="E67" s="59">
        <v>15777777.777777778</v>
      </c>
      <c r="F67" s="60">
        <f>75/E67</f>
        <v>4.7535211267605637E-6</v>
      </c>
    </row>
    <row r="68" spans="1:6" x14ac:dyDescent="0.25">
      <c r="A68" s="61">
        <v>107</v>
      </c>
      <c r="B68" s="49"/>
      <c r="C68" s="56">
        <v>9200000</v>
      </c>
      <c r="D68" s="57" t="s">
        <v>147</v>
      </c>
      <c r="E68" s="59">
        <v>9200000</v>
      </c>
      <c r="F68" s="60">
        <f>75/E68</f>
        <v>8.1521739130434775E-6</v>
      </c>
    </row>
    <row r="69" spans="1:6" x14ac:dyDescent="0.25">
      <c r="A69" s="61">
        <v>108</v>
      </c>
      <c r="B69" s="49"/>
      <c r="C69" s="56">
        <v>21142857.142857142</v>
      </c>
      <c r="D69" s="57" t="s">
        <v>148</v>
      </c>
      <c r="E69" s="59">
        <v>21142857.142857142</v>
      </c>
      <c r="F69" s="60">
        <f>75/E69</f>
        <v>3.5472972972972973E-6</v>
      </c>
    </row>
    <row r="70" spans="1:6" x14ac:dyDescent="0.25">
      <c r="A70" s="61">
        <v>109</v>
      </c>
      <c r="B70" s="49"/>
      <c r="C70" s="56">
        <v>3549999.9999999995</v>
      </c>
      <c r="D70" s="57" t="s">
        <v>149</v>
      </c>
      <c r="E70" s="59">
        <v>3549999.9999999995</v>
      </c>
      <c r="F70" s="60">
        <f>75/E70</f>
        <v>2.1126760563380285E-5</v>
      </c>
    </row>
    <row r="71" spans="1:6" x14ac:dyDescent="0.25">
      <c r="A71" s="61">
        <v>110</v>
      </c>
      <c r="B71" s="49"/>
      <c r="C71" s="56">
        <v>11857142.857142858</v>
      </c>
      <c r="D71" s="57" t="s">
        <v>150</v>
      </c>
      <c r="E71" s="59">
        <v>11857142.857142858</v>
      </c>
      <c r="F71" s="60">
        <f>75/E71</f>
        <v>6.3253012048192765E-6</v>
      </c>
    </row>
    <row r="72" spans="1:6" x14ac:dyDescent="0.25">
      <c r="A72" s="61">
        <v>111</v>
      </c>
      <c r="B72" s="49"/>
      <c r="C72" s="56">
        <v>4516666.666666667</v>
      </c>
      <c r="D72" s="57" t="s">
        <v>151</v>
      </c>
      <c r="E72" s="59">
        <v>4516666.666666667</v>
      </c>
      <c r="F72" s="60">
        <f>75/E72</f>
        <v>1.6605166051660514E-5</v>
      </c>
    </row>
    <row r="73" spans="1:6" x14ac:dyDescent="0.25">
      <c r="A73" s="61">
        <v>112</v>
      </c>
      <c r="B73" s="49"/>
      <c r="C73" s="56">
        <v>13399999.999999998</v>
      </c>
      <c r="D73" s="57" t="s">
        <v>152</v>
      </c>
      <c r="E73" s="59">
        <v>13399999.999999998</v>
      </c>
      <c r="F73" s="60">
        <f>75/E73</f>
        <v>5.5970149253731347E-6</v>
      </c>
    </row>
    <row r="74" spans="1:6" x14ac:dyDescent="0.25">
      <c r="A74" s="61">
        <v>113</v>
      </c>
      <c r="B74" s="49"/>
      <c r="C74" s="56">
        <v>814285.71428571432</v>
      </c>
      <c r="D74" s="57" t="s">
        <v>153</v>
      </c>
      <c r="E74" s="59">
        <v>814285.71428571432</v>
      </c>
      <c r="F74" s="60">
        <f>75/E74</f>
        <v>9.2105263157894727E-5</v>
      </c>
    </row>
    <row r="75" spans="1:6" x14ac:dyDescent="0.25">
      <c r="A75" s="61">
        <v>114</v>
      </c>
      <c r="B75" s="49"/>
      <c r="C75" s="56">
        <v>3349999.9999999995</v>
      </c>
      <c r="D75" s="57" t="s">
        <v>154</v>
      </c>
      <c r="E75" s="59">
        <v>3349999.9999999995</v>
      </c>
      <c r="F75" s="60">
        <f>75/E75</f>
        <v>2.2388059701492539E-5</v>
      </c>
    </row>
    <row r="76" spans="1:6" x14ac:dyDescent="0.25">
      <c r="A76" s="61">
        <v>115</v>
      </c>
      <c r="B76" s="49">
        <v>7499999.9999999991</v>
      </c>
      <c r="C76" s="56">
        <v>1800000.0000000002</v>
      </c>
      <c r="D76" s="57">
        <v>115</v>
      </c>
      <c r="E76" s="59">
        <v>7499999.9999999991</v>
      </c>
      <c r="F76" s="60">
        <f>75/E76</f>
        <v>1.0000000000000001E-5</v>
      </c>
    </row>
    <row r="77" spans="1:6" x14ac:dyDescent="0.25">
      <c r="A77" s="61">
        <v>116</v>
      </c>
      <c r="B77" s="49"/>
      <c r="C77" s="56">
        <v>220000.00000000003</v>
      </c>
      <c r="D77" s="57" t="s">
        <v>156</v>
      </c>
      <c r="E77" s="59">
        <v>220000.00000000003</v>
      </c>
      <c r="F77" s="60">
        <f>75/E77</f>
        <v>3.4090909090909088E-4</v>
      </c>
    </row>
    <row r="78" spans="1:6" x14ac:dyDescent="0.25">
      <c r="A78" s="61">
        <v>117</v>
      </c>
      <c r="B78" s="49"/>
      <c r="C78" s="56">
        <v>23500000</v>
      </c>
      <c r="D78" s="57" t="s">
        <v>157</v>
      </c>
      <c r="E78" s="59">
        <v>23500000</v>
      </c>
      <c r="F78" s="60">
        <f>75/E78</f>
        <v>3.1914893617021277E-6</v>
      </c>
    </row>
    <row r="79" spans="1:6" x14ac:dyDescent="0.25">
      <c r="A79" s="61">
        <v>118</v>
      </c>
      <c r="B79" s="6">
        <v>9500000</v>
      </c>
      <c r="C79" s="56">
        <v>16111111.11111111</v>
      </c>
      <c r="D79" s="57" t="s">
        <v>158</v>
      </c>
      <c r="E79" s="59">
        <v>16111111.11111111</v>
      </c>
      <c r="F79" s="60">
        <f>75/E79</f>
        <v>4.6551724137931037E-6</v>
      </c>
    </row>
    <row r="80" spans="1:6" x14ac:dyDescent="0.25">
      <c r="A80" s="61">
        <v>119</v>
      </c>
      <c r="B80" s="49"/>
      <c r="C80" s="56">
        <v>1600000</v>
      </c>
      <c r="D80" s="57" t="s">
        <v>159</v>
      </c>
      <c r="E80" s="59">
        <v>1600000</v>
      </c>
      <c r="F80" s="60">
        <f>75/E80</f>
        <v>4.6875000000000001E-5</v>
      </c>
    </row>
    <row r="81" spans="1:6" x14ac:dyDescent="0.25">
      <c r="A81" s="61">
        <v>120</v>
      </c>
      <c r="B81" s="49"/>
      <c r="C81" s="56">
        <v>2700000</v>
      </c>
      <c r="D81" s="57" t="s">
        <v>160</v>
      </c>
      <c r="E81" s="59">
        <v>2700000</v>
      </c>
      <c r="F81" s="60">
        <f>75/E81</f>
        <v>2.7777777777777779E-5</v>
      </c>
    </row>
    <row r="82" spans="1:6" x14ac:dyDescent="0.25">
      <c r="A82" s="61">
        <v>121</v>
      </c>
      <c r="B82" s="49"/>
      <c r="C82" s="56">
        <v>14375000</v>
      </c>
      <c r="D82" s="57" t="s">
        <v>161</v>
      </c>
      <c r="E82" s="59">
        <v>14375000</v>
      </c>
      <c r="F82" s="60">
        <f>75/E82</f>
        <v>5.2173913043478265E-6</v>
      </c>
    </row>
    <row r="83" spans="1:6" x14ac:dyDescent="0.25">
      <c r="A83" s="61">
        <v>122</v>
      </c>
      <c r="B83" s="49"/>
      <c r="C83" s="56">
        <v>10750000</v>
      </c>
      <c r="D83" s="57" t="s">
        <v>162</v>
      </c>
      <c r="E83" s="59">
        <v>10750000</v>
      </c>
      <c r="F83" s="60">
        <f>75/E83</f>
        <v>6.9767441860465119E-6</v>
      </c>
    </row>
    <row r="84" spans="1:6" x14ac:dyDescent="0.25">
      <c r="A84" s="61">
        <v>123</v>
      </c>
      <c r="B84" s="49">
        <v>36166666.666666664</v>
      </c>
      <c r="C84" s="56">
        <v>121250</v>
      </c>
      <c r="D84" s="57">
        <v>123</v>
      </c>
      <c r="E84" s="59">
        <v>36166666.666666664</v>
      </c>
      <c r="F84" s="60">
        <f>75/E84</f>
        <v>2.0737327188940094E-6</v>
      </c>
    </row>
    <row r="85" spans="1:6" x14ac:dyDescent="0.25">
      <c r="A85" s="61">
        <v>124</v>
      </c>
      <c r="B85" s="49">
        <v>135000000</v>
      </c>
      <c r="C85" s="56">
        <v>2840000</v>
      </c>
      <c r="D85" s="57">
        <v>124</v>
      </c>
      <c r="E85" s="59">
        <v>135000000</v>
      </c>
      <c r="F85" s="60">
        <f>75/E85</f>
        <v>5.5555555555555552E-7</v>
      </c>
    </row>
    <row r="86" spans="1:6" x14ac:dyDescent="0.25">
      <c r="A86" s="61">
        <v>125</v>
      </c>
      <c r="B86" s="49"/>
      <c r="C86" s="56">
        <v>600000</v>
      </c>
      <c r="D86" s="57" t="s">
        <v>165</v>
      </c>
      <c r="E86" s="59">
        <v>600000</v>
      </c>
      <c r="F86" s="60">
        <f>75/E86</f>
        <v>1.25E-4</v>
      </c>
    </row>
    <row r="87" spans="1:6" x14ac:dyDescent="0.25">
      <c r="A87" s="61">
        <v>126</v>
      </c>
      <c r="B87" s="49"/>
      <c r="C87" s="56">
        <v>70</v>
      </c>
      <c r="D87" s="57" t="s">
        <v>166</v>
      </c>
      <c r="E87" s="59">
        <v>70</v>
      </c>
      <c r="F87" s="60">
        <f>75/E87</f>
        <v>1.0714285714285714</v>
      </c>
    </row>
    <row r="88" spans="1:6" x14ac:dyDescent="0.25">
      <c r="A88" s="61">
        <v>127</v>
      </c>
      <c r="B88" s="49"/>
      <c r="C88" s="56">
        <v>700000.00000000012</v>
      </c>
      <c r="D88" s="57" t="s">
        <v>167</v>
      </c>
      <c r="E88" s="59">
        <v>700000.00000000012</v>
      </c>
      <c r="F88" s="60">
        <f>75/E88</f>
        <v>1.0714285714285712E-4</v>
      </c>
    </row>
    <row r="89" spans="1:6" x14ac:dyDescent="0.25">
      <c r="A89" s="61">
        <v>128</v>
      </c>
      <c r="B89" s="49"/>
      <c r="C89" s="56">
        <v>5300000</v>
      </c>
      <c r="D89" s="57" t="s">
        <v>168</v>
      </c>
      <c r="E89" s="59">
        <v>5300000</v>
      </c>
      <c r="F89" s="60">
        <f>75/E89</f>
        <v>1.4150943396226415E-5</v>
      </c>
    </row>
    <row r="90" spans="1:6" x14ac:dyDescent="0.25">
      <c r="A90" s="61">
        <v>129</v>
      </c>
      <c r="B90" s="6">
        <v>14999999.999999998</v>
      </c>
      <c r="C90" s="56">
        <v>41000000</v>
      </c>
      <c r="D90" s="57" t="s">
        <v>169</v>
      </c>
      <c r="E90" s="59">
        <v>41000000</v>
      </c>
      <c r="F90" s="60">
        <f>75/E90</f>
        <v>1.8292682926829268E-6</v>
      </c>
    </row>
    <row r="91" spans="1:6" x14ac:dyDescent="0.25">
      <c r="A91" s="61">
        <v>130</v>
      </c>
      <c r="B91" s="49"/>
      <c r="C91" s="56">
        <v>970000</v>
      </c>
      <c r="D91" s="57" t="s">
        <v>170</v>
      </c>
      <c r="E91" s="59">
        <v>970000</v>
      </c>
      <c r="F91" s="60">
        <f>75/E91</f>
        <v>7.7319587628865973E-5</v>
      </c>
    </row>
    <row r="92" spans="1:6" x14ac:dyDescent="0.25">
      <c r="A92" s="61">
        <v>131</v>
      </c>
      <c r="B92" s="6">
        <v>7933333.333333333</v>
      </c>
      <c r="C92" s="56">
        <v>12625000</v>
      </c>
      <c r="D92" s="57" t="s">
        <v>171</v>
      </c>
      <c r="E92" s="59">
        <v>12625000</v>
      </c>
      <c r="F92" s="60">
        <f>75/E92</f>
        <v>5.9405940594059406E-6</v>
      </c>
    </row>
    <row r="93" spans="1:6" x14ac:dyDescent="0.25">
      <c r="A93" s="61">
        <v>132</v>
      </c>
      <c r="B93" s="49"/>
      <c r="C93" s="56">
        <v>18571428.571428571</v>
      </c>
      <c r="D93" s="57" t="s">
        <v>172</v>
      </c>
      <c r="E93" s="59">
        <v>18571428.571428571</v>
      </c>
      <c r="F93" s="60">
        <f>75/E93</f>
        <v>4.0384615384615385E-6</v>
      </c>
    </row>
    <row r="94" spans="1:6" x14ac:dyDescent="0.25">
      <c r="A94" s="61">
        <v>133</v>
      </c>
      <c r="B94" s="6">
        <v>10666666.666666666</v>
      </c>
      <c r="C94" s="56">
        <v>19333333.333333332</v>
      </c>
      <c r="D94" s="57" t="s">
        <v>173</v>
      </c>
      <c r="E94" s="59">
        <v>19333333.333333332</v>
      </c>
      <c r="F94" s="60">
        <f>75/E94</f>
        <v>3.8793103448275865E-6</v>
      </c>
    </row>
    <row r="95" spans="1:6" x14ac:dyDescent="0.25">
      <c r="A95" s="61">
        <v>135</v>
      </c>
      <c r="B95" s="6">
        <v>10000000</v>
      </c>
      <c r="C95" s="56">
        <v>22888888.888888888</v>
      </c>
      <c r="D95" s="57" t="s">
        <v>174</v>
      </c>
      <c r="E95" s="59">
        <v>22888888.888888888</v>
      </c>
      <c r="F95" s="60">
        <f>75/E95</f>
        <v>3.2766990291262139E-6</v>
      </c>
    </row>
    <row r="96" spans="1:6" x14ac:dyDescent="0.25">
      <c r="A96" s="61">
        <v>137</v>
      </c>
      <c r="B96" s="6">
        <v>2800000</v>
      </c>
      <c r="C96" s="56">
        <v>7549999.9999999991</v>
      </c>
      <c r="D96" s="57" t="s">
        <v>175</v>
      </c>
      <c r="E96" s="59">
        <v>7549999.9999999991</v>
      </c>
      <c r="F96" s="60">
        <f>75/E96</f>
        <v>9.9337748344370881E-6</v>
      </c>
    </row>
    <row r="97" spans="1:6" x14ac:dyDescent="0.25">
      <c r="A97" s="61">
        <v>139</v>
      </c>
      <c r="B97" s="49"/>
      <c r="C97" s="56">
        <v>5200000</v>
      </c>
      <c r="D97" s="57" t="s">
        <v>176</v>
      </c>
      <c r="E97" s="59">
        <v>5200000</v>
      </c>
      <c r="F97" s="60">
        <f>75/E97</f>
        <v>1.4423076923076923E-5</v>
      </c>
    </row>
    <row r="98" spans="1:6" x14ac:dyDescent="0.25">
      <c r="A98" s="61">
        <v>140</v>
      </c>
      <c r="B98" s="49"/>
      <c r="C98" s="56">
        <v>460000</v>
      </c>
      <c r="D98" s="57" t="s">
        <v>177</v>
      </c>
      <c r="E98" s="59">
        <v>460000</v>
      </c>
      <c r="F98" s="60">
        <f>75/E98</f>
        <v>1.6304347826086958E-4</v>
      </c>
    </row>
    <row r="99" spans="1:6" x14ac:dyDescent="0.25">
      <c r="A99" s="61">
        <v>142</v>
      </c>
      <c r="B99" s="49"/>
      <c r="C99" s="56">
        <v>78500</v>
      </c>
      <c r="D99" s="57" t="s">
        <v>178</v>
      </c>
      <c r="E99" s="59">
        <v>78500</v>
      </c>
      <c r="F99" s="60">
        <f>75/E99</f>
        <v>9.5541401273885351E-4</v>
      </c>
    </row>
    <row r="100" spans="1:6" x14ac:dyDescent="0.25">
      <c r="A100" s="61">
        <v>143</v>
      </c>
      <c r="B100" s="49"/>
      <c r="C100" s="56">
        <v>4200000</v>
      </c>
      <c r="D100" s="57" t="s">
        <v>179</v>
      </c>
      <c r="E100" s="59">
        <v>4200000</v>
      </c>
      <c r="F100" s="60">
        <f>75/E100</f>
        <v>1.7857142857142858E-5</v>
      </c>
    </row>
    <row r="101" spans="1:6" x14ac:dyDescent="0.25">
      <c r="A101" s="61">
        <v>144</v>
      </c>
      <c r="B101" s="49"/>
      <c r="C101" s="56">
        <v>25000</v>
      </c>
      <c r="D101" s="57" t="s">
        <v>180</v>
      </c>
      <c r="E101" s="59">
        <v>25000</v>
      </c>
      <c r="F101" s="60">
        <f>75/E101</f>
        <v>3.0000000000000001E-3</v>
      </c>
    </row>
    <row r="102" spans="1:6" x14ac:dyDescent="0.25">
      <c r="A102" s="62">
        <v>146</v>
      </c>
      <c r="B102" s="49"/>
      <c r="C102" s="56">
        <v>11000000</v>
      </c>
      <c r="D102" s="57" t="s">
        <v>181</v>
      </c>
      <c r="E102" s="59">
        <v>11000000</v>
      </c>
      <c r="F102" s="60">
        <f>75/E102</f>
        <v>6.8181818181818183E-6</v>
      </c>
    </row>
    <row r="103" spans="1:6" x14ac:dyDescent="0.25">
      <c r="A103" s="62">
        <v>147</v>
      </c>
      <c r="B103" s="49">
        <v>12399999.999999998</v>
      </c>
      <c r="C103" s="56">
        <v>8000000</v>
      </c>
      <c r="D103" s="57">
        <v>147</v>
      </c>
      <c r="E103" s="59">
        <v>12399999.999999998</v>
      </c>
      <c r="F103" s="60">
        <f>75/E103</f>
        <v>6.0483870967741942E-6</v>
      </c>
    </row>
    <row r="104" spans="1:6" x14ac:dyDescent="0.25">
      <c r="A104" s="62">
        <v>148</v>
      </c>
      <c r="B104" s="49">
        <v>27333333.333333332</v>
      </c>
      <c r="C104" s="56">
        <v>3849999.9999999995</v>
      </c>
      <c r="D104" s="57">
        <v>148</v>
      </c>
      <c r="E104" s="59">
        <v>27333333.333333332</v>
      </c>
      <c r="F104" s="60">
        <f>75/E104</f>
        <v>2.7439024390243905E-6</v>
      </c>
    </row>
    <row r="105" spans="1:6" x14ac:dyDescent="0.25">
      <c r="A105" s="62">
        <v>152</v>
      </c>
      <c r="B105" s="49"/>
      <c r="C105" s="56">
        <v>3666666.6666666665</v>
      </c>
      <c r="D105" s="57" t="s">
        <v>184</v>
      </c>
      <c r="E105" s="59">
        <v>3666666.6666666665</v>
      </c>
      <c r="F105" s="60">
        <f>75/E105</f>
        <v>2.0454545454545454E-5</v>
      </c>
    </row>
    <row r="106" spans="1:6" x14ac:dyDescent="0.25">
      <c r="A106" s="62">
        <v>153</v>
      </c>
      <c r="B106" s="49">
        <v>54000000</v>
      </c>
      <c r="C106" s="56">
        <v>2500000</v>
      </c>
      <c r="D106" s="57">
        <v>153</v>
      </c>
      <c r="E106" s="59">
        <v>54000000</v>
      </c>
      <c r="F106" s="60">
        <f>75/E106</f>
        <v>1.388888888888889E-6</v>
      </c>
    </row>
    <row r="107" spans="1:6" x14ac:dyDescent="0.25">
      <c r="A107" s="62">
        <v>154</v>
      </c>
      <c r="B107" s="49">
        <v>121000000</v>
      </c>
      <c r="C107" s="56">
        <v>4533333.333333333</v>
      </c>
      <c r="D107" s="57">
        <v>154</v>
      </c>
      <c r="E107" s="59">
        <v>121000000</v>
      </c>
      <c r="F107" s="60">
        <f>75/E107</f>
        <v>6.1983471074380165E-7</v>
      </c>
    </row>
    <row r="108" spans="1:6" x14ac:dyDescent="0.25">
      <c r="A108" s="62">
        <v>155</v>
      </c>
      <c r="B108" s="49">
        <v>40500000</v>
      </c>
      <c r="C108" s="56">
        <v>1560000</v>
      </c>
      <c r="D108" s="57">
        <v>155</v>
      </c>
      <c r="E108" s="59">
        <v>40500000</v>
      </c>
      <c r="F108" s="60">
        <f>75/E108</f>
        <v>1.8518518518518519E-6</v>
      </c>
    </row>
    <row r="109" spans="1:6" x14ac:dyDescent="0.25">
      <c r="A109" s="62">
        <v>156</v>
      </c>
      <c r="B109" s="49"/>
      <c r="C109" s="56">
        <v>2800000</v>
      </c>
      <c r="D109" s="57" t="s">
        <v>188</v>
      </c>
      <c r="E109" s="59">
        <v>2800000</v>
      </c>
      <c r="F109" s="60">
        <f>75/E109</f>
        <v>2.6785714285714284E-5</v>
      </c>
    </row>
    <row r="110" spans="1:6" x14ac:dyDescent="0.25">
      <c r="A110" s="62">
        <v>157</v>
      </c>
      <c r="B110" s="49">
        <v>178000000</v>
      </c>
      <c r="C110" s="56">
        <v>3949999.9999999995</v>
      </c>
      <c r="D110" s="57">
        <v>157</v>
      </c>
      <c r="E110" s="59">
        <v>178000000</v>
      </c>
      <c r="F110" s="60">
        <f>75/E110</f>
        <v>4.2134831460674158E-7</v>
      </c>
    </row>
    <row r="111" spans="1:6" x14ac:dyDescent="0.25">
      <c r="A111" s="62">
        <v>158</v>
      </c>
      <c r="B111" s="49"/>
      <c r="C111" s="56">
        <v>46000000</v>
      </c>
      <c r="D111" s="57" t="s">
        <v>190</v>
      </c>
      <c r="E111" s="59">
        <v>46000000</v>
      </c>
      <c r="F111" s="60">
        <f>75/E111</f>
        <v>1.6304347826086957E-6</v>
      </c>
    </row>
    <row r="112" spans="1:6" x14ac:dyDescent="0.25">
      <c r="A112" s="62">
        <v>159</v>
      </c>
      <c r="B112" s="49"/>
      <c r="C112" s="56">
        <v>35500000</v>
      </c>
      <c r="D112" s="57" t="s">
        <v>191</v>
      </c>
      <c r="E112" s="59">
        <v>35500000</v>
      </c>
      <c r="F112" s="60">
        <f>75/E112</f>
        <v>2.1126760563380281E-6</v>
      </c>
    </row>
    <row r="113" spans="1:6" x14ac:dyDescent="0.25">
      <c r="A113" s="62">
        <v>160</v>
      </c>
      <c r="B113" s="49"/>
      <c r="C113" s="56">
        <v>8199999.9999999991</v>
      </c>
      <c r="D113" s="57" t="s">
        <v>192</v>
      </c>
      <c r="E113" s="59">
        <v>8199999.9999999991</v>
      </c>
      <c r="F113" s="60">
        <f>75/E113</f>
        <v>9.1463414634146355E-6</v>
      </c>
    </row>
    <row r="114" spans="1:6" x14ac:dyDescent="0.25">
      <c r="A114" s="62">
        <v>164</v>
      </c>
      <c r="B114" s="49"/>
      <c r="C114" s="56">
        <v>2250000</v>
      </c>
      <c r="D114" s="57" t="s">
        <v>193</v>
      </c>
      <c r="E114" s="59">
        <v>2250000</v>
      </c>
      <c r="F114" s="60">
        <f>75/E114</f>
        <v>3.3333333333333335E-5</v>
      </c>
    </row>
    <row r="115" spans="1:6" x14ac:dyDescent="0.25">
      <c r="A115" s="62">
        <v>165</v>
      </c>
      <c r="B115" s="6">
        <v>610000</v>
      </c>
      <c r="C115" s="56">
        <v>5133333.333333333</v>
      </c>
      <c r="D115" s="57" t="s">
        <v>194</v>
      </c>
      <c r="E115" s="59">
        <v>5133333.333333333</v>
      </c>
      <c r="F115" s="60">
        <f>75/E115</f>
        <v>1.4610389610389611E-5</v>
      </c>
    </row>
    <row r="116" spans="1:6" x14ac:dyDescent="0.25">
      <c r="A116" s="62">
        <v>167</v>
      </c>
      <c r="B116" s="49">
        <v>8249999.9999999991</v>
      </c>
      <c r="C116" s="56">
        <v>137500</v>
      </c>
      <c r="D116" s="57">
        <v>167</v>
      </c>
      <c r="E116" s="59">
        <v>8250000</v>
      </c>
      <c r="F116" s="60">
        <f>75/E116</f>
        <v>9.090909090909091E-6</v>
      </c>
    </row>
    <row r="117" spans="1:6" x14ac:dyDescent="0.25">
      <c r="A117" s="62">
        <v>168</v>
      </c>
      <c r="B117" s="49"/>
      <c r="C117" s="56">
        <v>14800</v>
      </c>
      <c r="D117" s="57" t="s">
        <v>196</v>
      </c>
      <c r="E117" s="59">
        <v>14800</v>
      </c>
      <c r="F117" s="60">
        <f>75/E117</f>
        <v>5.0675675675675678E-3</v>
      </c>
    </row>
    <row r="118" spans="1:6" x14ac:dyDescent="0.25">
      <c r="A118" s="55">
        <v>170</v>
      </c>
      <c r="B118" s="49"/>
      <c r="C118" s="56">
        <v>35666666.666666664</v>
      </c>
      <c r="D118" s="57" t="s">
        <v>197</v>
      </c>
      <c r="E118" s="59">
        <v>35666666.666666664</v>
      </c>
      <c r="F118" s="60">
        <f>75/E118</f>
        <v>2.102803738317757E-6</v>
      </c>
    </row>
    <row r="119" spans="1:6" x14ac:dyDescent="0.25">
      <c r="A119" s="55">
        <v>171</v>
      </c>
      <c r="B119" s="49"/>
      <c r="C119" s="56">
        <v>18800000</v>
      </c>
      <c r="D119" s="57" t="s">
        <v>198</v>
      </c>
      <c r="E119" s="59">
        <v>18800000</v>
      </c>
      <c r="F119" s="60">
        <f>75/E119</f>
        <v>3.9893617021276594E-6</v>
      </c>
    </row>
    <row r="120" spans="1:6" x14ac:dyDescent="0.25">
      <c r="A120" s="55">
        <v>172</v>
      </c>
      <c r="B120" s="49"/>
      <c r="C120" s="56">
        <v>1166666.6666666667</v>
      </c>
      <c r="D120" s="57" t="s">
        <v>199</v>
      </c>
      <c r="E120" s="59">
        <v>1166666.6666666667</v>
      </c>
      <c r="F120" s="60">
        <f>75/E120</f>
        <v>6.4285714285714288E-5</v>
      </c>
    </row>
    <row r="121" spans="1:6" x14ac:dyDescent="0.25">
      <c r="A121" s="55">
        <v>176</v>
      </c>
      <c r="B121" s="49"/>
      <c r="C121" s="56">
        <v>13999999.999999998</v>
      </c>
      <c r="D121" s="57" t="s">
        <v>200</v>
      </c>
      <c r="E121" s="59">
        <v>13999999.999999998</v>
      </c>
      <c r="F121" s="60">
        <f>75/E121</f>
        <v>5.3571428571428579E-6</v>
      </c>
    </row>
    <row r="122" spans="1:6" x14ac:dyDescent="0.25">
      <c r="A122" s="55">
        <v>177</v>
      </c>
      <c r="B122" s="49"/>
      <c r="C122" s="56">
        <v>7250000</v>
      </c>
      <c r="D122" s="57" t="s">
        <v>201</v>
      </c>
      <c r="E122" s="59">
        <v>7250000</v>
      </c>
      <c r="F122" s="60">
        <f>75/E122</f>
        <v>1.0344827586206897E-5</v>
      </c>
    </row>
    <row r="123" spans="1:6" x14ac:dyDescent="0.25">
      <c r="A123" s="55">
        <v>178</v>
      </c>
      <c r="B123" s="49"/>
      <c r="C123" s="56">
        <v>23500000</v>
      </c>
      <c r="D123" s="57" t="s">
        <v>202</v>
      </c>
      <c r="E123" s="59">
        <v>23500000</v>
      </c>
      <c r="F123" s="60">
        <f>75/E123</f>
        <v>3.1914893617021277E-6</v>
      </c>
    </row>
    <row r="124" spans="1:6" x14ac:dyDescent="0.25">
      <c r="A124" s="55">
        <v>179</v>
      </c>
      <c r="B124" s="49">
        <v>98000000</v>
      </c>
      <c r="C124" s="56">
        <v>3799999.9999999995</v>
      </c>
      <c r="D124" s="57">
        <v>179</v>
      </c>
      <c r="E124" s="59">
        <v>98000000</v>
      </c>
      <c r="F124" s="60">
        <f>75/E124</f>
        <v>7.6530612244897964E-7</v>
      </c>
    </row>
    <row r="125" spans="1:6" x14ac:dyDescent="0.25">
      <c r="A125" s="55">
        <v>180</v>
      </c>
      <c r="B125" s="49"/>
      <c r="C125" s="56">
        <v>5799999.9999999991</v>
      </c>
      <c r="D125" s="57" t="s">
        <v>204</v>
      </c>
      <c r="E125" s="59">
        <v>5799999.9999999991</v>
      </c>
      <c r="F125" s="60">
        <f>75/E125</f>
        <v>1.2931034482758622E-5</v>
      </c>
    </row>
    <row r="126" spans="1:6" x14ac:dyDescent="0.25">
      <c r="A126" s="55">
        <v>181</v>
      </c>
      <c r="B126" s="49"/>
      <c r="C126" s="56">
        <v>3999999.9999999995</v>
      </c>
      <c r="D126" s="57" t="s">
        <v>205</v>
      </c>
      <c r="E126" s="59">
        <v>3999999.9999999995</v>
      </c>
      <c r="F126" s="60">
        <f>75/E126</f>
        <v>1.8750000000000002E-5</v>
      </c>
    </row>
    <row r="127" spans="1:6" x14ac:dyDescent="0.25">
      <c r="A127" s="55" t="s">
        <v>295</v>
      </c>
      <c r="C127" s="56">
        <v>2630000</v>
      </c>
      <c r="D127" s="57" t="s">
        <v>300</v>
      </c>
      <c r="E127" s="59">
        <v>2630000</v>
      </c>
      <c r="F127" s="60">
        <f>75/E127</f>
        <v>2.8517110266159696E-5</v>
      </c>
    </row>
    <row r="128" spans="1:6" x14ac:dyDescent="0.25">
      <c r="A128" s="55" t="s">
        <v>294</v>
      </c>
      <c r="C128" s="56">
        <v>1040000</v>
      </c>
      <c r="D128" s="57" t="s">
        <v>301</v>
      </c>
      <c r="E128" s="59">
        <v>1040000</v>
      </c>
      <c r="F128" s="60">
        <f>75/E128</f>
        <v>7.2115384615384622E-5</v>
      </c>
    </row>
    <row r="129" spans="1:6" x14ac:dyDescent="0.25">
      <c r="A129" s="55" t="s">
        <v>296</v>
      </c>
      <c r="C129" s="56">
        <v>367000</v>
      </c>
      <c r="D129" s="57" t="s">
        <v>302</v>
      </c>
      <c r="E129" s="59">
        <v>367000</v>
      </c>
      <c r="F129" s="60">
        <f>75/E129</f>
        <v>2.0435967302452317E-4</v>
      </c>
    </row>
    <row r="130" spans="1:6" x14ac:dyDescent="0.25">
      <c r="F130" s="60"/>
    </row>
    <row r="131" spans="1:6" x14ac:dyDescent="0.25">
      <c r="F131" s="60"/>
    </row>
    <row r="132" spans="1:6" x14ac:dyDescent="0.25">
      <c r="F132" s="60"/>
    </row>
    <row r="133" spans="1:6" x14ac:dyDescent="0.25">
      <c r="F133" s="60"/>
    </row>
    <row r="134" spans="1:6" x14ac:dyDescent="0.25">
      <c r="F134" s="60"/>
    </row>
    <row r="135" spans="1:6" x14ac:dyDescent="0.25">
      <c r="F135" s="60"/>
    </row>
    <row r="136" spans="1:6" x14ac:dyDescent="0.25">
      <c r="F136" s="60"/>
    </row>
    <row r="137" spans="1:6" x14ac:dyDescent="0.25">
      <c r="F137" s="60"/>
    </row>
  </sheetData>
  <autoFilter ref="B1:B137" xr:uid="{461F00A1-EA73-4BE9-97A9-C5579A30A7EC}">
    <sortState xmlns:xlrd2="http://schemas.microsoft.com/office/spreadsheetml/2017/richdata2" ref="A2:F137">
      <sortCondition sortBy="cellColor" ref="B1:B137" dxfId="1"/>
    </sortState>
  </autoFilter>
  <sortState xmlns:xlrd2="http://schemas.microsoft.com/office/spreadsheetml/2017/richdata2" ref="A2:F138">
    <sortCondition ref="A1"/>
  </sortState>
  <conditionalFormatting sqref="B2:C140">
    <cfRule type="expression" dxfId="4" priority="1">
      <formula>B2=MAX($B2:$C2)</formula>
    </cfRule>
  </conditionalFormatting>
  <pageMargins left="0.7" right="0.7" top="0.75" bottom="0.75" header="0.3" footer="0.3"/>
  <pageSetup scale="67" fitToHeight="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Repick</vt:lpstr>
      <vt:lpstr>Titers</vt:lpstr>
      <vt:lpstr>Sheet2</vt:lpstr>
      <vt:lpstr>Repick!Print_Titles</vt:lpstr>
      <vt:lpstr>Titers!Print_Titles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Altman, Emma (ealtman@uidaho.edu)</dc:creator>
  <cp:lastModifiedBy>Altman, Emma (ealtman@uidaho.edu)</cp:lastModifiedBy>
  <cp:lastPrinted>2021-03-24T16:03:30Z</cp:lastPrinted>
  <dcterms:created xsi:type="dcterms:W3CDTF">2021-03-01T23:37:40Z</dcterms:created>
  <dcterms:modified xsi:type="dcterms:W3CDTF">2021-03-24T16:37:13Z</dcterms:modified>
</cp:coreProperties>
</file>