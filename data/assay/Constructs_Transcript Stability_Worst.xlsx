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cott\Dropbox\R01 phage research\Data\Lu\"/>
    </mc:Choice>
  </mc:AlternateContent>
  <xr:revisionPtr revIDLastSave="0" documentId="13_ncr:1_{36328AFA-F2FE-480F-ADCF-DB0F99C6A264}" xr6:coauthVersionLast="45" xr6:coauthVersionMax="45" xr10:uidLastSave="{00000000-0000-0000-0000-000000000000}"/>
  <bookViews>
    <workbookView xWindow="28680" yWindow="-120" windowWidth="29040" windowHeight="15840" activeTab="4" xr2:uid="{78EA6801-DFC8-4070-BE29-4D2AA734B3BB}"/>
  </bookViews>
  <sheets>
    <sheet name="ck list" sheetId="1" r:id="rId1"/>
    <sheet name="seq repeats 7Aug20" sheetId="4" r:id="rId2"/>
    <sheet name="titers" sheetId="2" r:id="rId3"/>
    <sheet name="fitness assays" sheetId="3" r:id="rId4"/>
    <sheet name="w summary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47" i="6" l="1"/>
  <c r="V48" i="6"/>
  <c r="V49" i="6"/>
  <c r="V50" i="6"/>
  <c r="V51" i="6"/>
  <c r="V52" i="6"/>
  <c r="V53" i="6"/>
  <c r="V54" i="6"/>
  <c r="V46" i="6"/>
  <c r="V43" i="6"/>
  <c r="V33" i="6"/>
  <c r="V34" i="6"/>
  <c r="V35" i="6"/>
  <c r="V36" i="6"/>
  <c r="V37" i="6"/>
  <c r="V38" i="6"/>
  <c r="V39" i="6"/>
  <c r="V40" i="6"/>
  <c r="V41" i="6"/>
  <c r="V42" i="6"/>
  <c r="V44" i="6"/>
  <c r="V32" i="6"/>
  <c r="V30" i="6"/>
  <c r="V29" i="6"/>
  <c r="V25" i="6"/>
  <c r="V26" i="6"/>
  <c r="V27" i="6"/>
  <c r="V24" i="6"/>
  <c r="V22" i="6"/>
  <c r="V21" i="6"/>
  <c r="V18" i="6"/>
  <c r="V9" i="6"/>
  <c r="V10" i="6"/>
  <c r="V11" i="6"/>
  <c r="V12" i="6"/>
  <c r="V13" i="6"/>
  <c r="V14" i="6"/>
  <c r="V15" i="6"/>
  <c r="V16" i="6"/>
  <c r="V8" i="6"/>
  <c r="V6" i="6"/>
  <c r="T225" i="3" l="1"/>
  <c r="T224" i="3"/>
  <c r="T223" i="3"/>
  <c r="T222" i="3"/>
  <c r="T221" i="3"/>
  <c r="T220" i="3"/>
  <c r="T219" i="3"/>
  <c r="T218" i="3"/>
  <c r="T217" i="3"/>
  <c r="T216" i="3"/>
  <c r="T215" i="3"/>
  <c r="T214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U222" i="3" l="1"/>
  <c r="U218" i="3"/>
  <c r="U225" i="3"/>
  <c r="U224" i="3"/>
  <c r="U219" i="3"/>
  <c r="U217" i="3"/>
  <c r="U215" i="3"/>
  <c r="U214" i="3"/>
  <c r="U223" i="3"/>
  <c r="U216" i="3"/>
  <c r="U220" i="3"/>
  <c r="U221" i="3"/>
  <c r="V75" i="6"/>
  <c r="V76" i="6"/>
  <c r="V77" i="6"/>
  <c r="V74" i="6"/>
  <c r="V57" i="6"/>
  <c r="V58" i="6"/>
  <c r="V59" i="6"/>
  <c r="V60" i="6"/>
  <c r="V61" i="6"/>
  <c r="V62" i="6"/>
  <c r="V55" i="6"/>
  <c r="T212" i="3"/>
  <c r="T211" i="3"/>
  <c r="T210" i="3"/>
  <c r="T209" i="3"/>
  <c r="U209" i="3" s="1"/>
  <c r="T208" i="3"/>
  <c r="T207" i="3"/>
  <c r="T206" i="3"/>
  <c r="T205" i="3"/>
  <c r="T204" i="3"/>
  <c r="T203" i="3"/>
  <c r="T202" i="3"/>
  <c r="T201" i="3"/>
  <c r="T200" i="3"/>
  <c r="T199" i="3"/>
  <c r="T198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T196" i="3"/>
  <c r="T195" i="3"/>
  <c r="T194" i="3"/>
  <c r="T193" i="3"/>
  <c r="T192" i="3"/>
  <c r="T191" i="3"/>
  <c r="T190" i="3"/>
  <c r="T189" i="3"/>
  <c r="T188" i="3"/>
  <c r="T187" i="3"/>
  <c r="T186" i="3"/>
  <c r="T185" i="3"/>
  <c r="T184" i="3"/>
  <c r="T183" i="3"/>
  <c r="T182" i="3"/>
  <c r="I193" i="3"/>
  <c r="I194" i="3"/>
  <c r="I195" i="3"/>
  <c r="I196" i="3"/>
  <c r="I192" i="3"/>
  <c r="I191" i="3"/>
  <c r="I190" i="3"/>
  <c r="I189" i="3"/>
  <c r="I188" i="3"/>
  <c r="I187" i="3"/>
  <c r="I186" i="3"/>
  <c r="I185" i="3"/>
  <c r="I184" i="3"/>
  <c r="I183" i="3"/>
  <c r="I182" i="3"/>
  <c r="N78" i="2"/>
  <c r="J93" i="2"/>
  <c r="K93" i="2" s="1"/>
  <c r="J92" i="2"/>
  <c r="K92" i="2" s="1"/>
  <c r="J91" i="2"/>
  <c r="K91" i="2" s="1"/>
  <c r="J90" i="2"/>
  <c r="K90" i="2" s="1"/>
  <c r="M78" i="2"/>
  <c r="J75" i="2"/>
  <c r="K75" i="2" s="1"/>
  <c r="K74" i="2"/>
  <c r="J74" i="2"/>
  <c r="J76" i="2"/>
  <c r="K76" i="2" s="1"/>
  <c r="J77" i="2"/>
  <c r="K77" i="2" s="1"/>
  <c r="J78" i="2"/>
  <c r="K78" i="2" s="1"/>
  <c r="K73" i="2"/>
  <c r="J73" i="2"/>
  <c r="J71" i="2"/>
  <c r="K71" i="2"/>
  <c r="T178" i="3"/>
  <c r="T176" i="3"/>
  <c r="T172" i="3"/>
  <c r="T180" i="3"/>
  <c r="T179" i="3"/>
  <c r="T177" i="3"/>
  <c r="T175" i="3"/>
  <c r="T174" i="3"/>
  <c r="T173" i="3"/>
  <c r="T171" i="3"/>
  <c r="T170" i="3"/>
  <c r="T169" i="3"/>
  <c r="U205" i="3" l="1"/>
  <c r="U194" i="3"/>
  <c r="U195" i="3"/>
  <c r="U203" i="3"/>
  <c r="U200" i="3"/>
  <c r="U208" i="3"/>
  <c r="U211" i="3"/>
  <c r="U212" i="3"/>
  <c r="U210" i="3"/>
  <c r="U207" i="3"/>
  <c r="U206" i="3"/>
  <c r="U204" i="3"/>
  <c r="U202" i="3"/>
  <c r="U201" i="3"/>
  <c r="U199" i="3"/>
  <c r="U198" i="3"/>
  <c r="U196" i="3"/>
  <c r="U193" i="3"/>
  <c r="U186" i="3"/>
  <c r="U191" i="3"/>
  <c r="U192" i="3"/>
  <c r="U190" i="3"/>
  <c r="U189" i="3"/>
  <c r="U188" i="3"/>
  <c r="U187" i="3"/>
  <c r="U185" i="3"/>
  <c r="U184" i="3"/>
  <c r="U183" i="3"/>
  <c r="U182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T167" i="3"/>
  <c r="T166" i="3"/>
  <c r="T165" i="3"/>
  <c r="T164" i="3"/>
  <c r="T163" i="3"/>
  <c r="T162" i="3"/>
  <c r="T161" i="3"/>
  <c r="T160" i="3"/>
  <c r="T159" i="3"/>
  <c r="T158" i="3"/>
  <c r="T157" i="3"/>
  <c r="T156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T154" i="3"/>
  <c r="T152" i="3"/>
  <c r="T151" i="3"/>
  <c r="T150" i="3"/>
  <c r="T149" i="3"/>
  <c r="T148" i="3"/>
  <c r="T147" i="3"/>
  <c r="T146" i="3"/>
  <c r="T145" i="3"/>
  <c r="T144" i="3"/>
  <c r="T143" i="3"/>
  <c r="I154" i="3"/>
  <c r="T153" i="3"/>
  <c r="I153" i="3"/>
  <c r="I152" i="3"/>
  <c r="I151" i="3"/>
  <c r="I150" i="3"/>
  <c r="I149" i="3"/>
  <c r="I148" i="3"/>
  <c r="I147" i="3"/>
  <c r="I146" i="3"/>
  <c r="I145" i="3"/>
  <c r="I144" i="3"/>
  <c r="I143" i="3"/>
  <c r="U177" i="3" l="1"/>
  <c r="U173" i="3"/>
  <c r="U179" i="3"/>
  <c r="U171" i="3"/>
  <c r="U180" i="3"/>
  <c r="U178" i="3"/>
  <c r="U176" i="3"/>
  <c r="U175" i="3"/>
  <c r="U174" i="3"/>
  <c r="U172" i="3"/>
  <c r="U170" i="3"/>
  <c r="U169" i="3"/>
  <c r="U163" i="3"/>
  <c r="U161" i="3"/>
  <c r="U159" i="3"/>
  <c r="U167" i="3"/>
  <c r="U164" i="3"/>
  <c r="U160" i="3"/>
  <c r="U158" i="3"/>
  <c r="U157" i="3"/>
  <c r="U165" i="3"/>
  <c r="U162" i="3"/>
  <c r="U166" i="3"/>
  <c r="U156" i="3"/>
  <c r="U151" i="3"/>
  <c r="U145" i="3"/>
  <c r="U147" i="3"/>
  <c r="U149" i="3"/>
  <c r="U153" i="3"/>
  <c r="U154" i="3"/>
  <c r="U152" i="3"/>
  <c r="U150" i="3"/>
  <c r="U148" i="3"/>
  <c r="U146" i="3"/>
  <c r="U144" i="3"/>
  <c r="U143" i="3"/>
  <c r="T130" i="3"/>
  <c r="T141" i="3"/>
  <c r="T140" i="3"/>
  <c r="T138" i="3"/>
  <c r="T137" i="3"/>
  <c r="T136" i="3"/>
  <c r="T135" i="3"/>
  <c r="T134" i="3"/>
  <c r="T133" i="3"/>
  <c r="T132" i="3"/>
  <c r="T131" i="3"/>
  <c r="I141" i="3"/>
  <c r="I140" i="3"/>
  <c r="T139" i="3"/>
  <c r="I139" i="3"/>
  <c r="I138" i="3"/>
  <c r="I137" i="3"/>
  <c r="I136" i="3"/>
  <c r="I135" i="3"/>
  <c r="I134" i="3"/>
  <c r="I133" i="3"/>
  <c r="I132" i="3"/>
  <c r="I131" i="3"/>
  <c r="I130" i="3"/>
  <c r="U138" i="3" l="1"/>
  <c r="U140" i="3"/>
  <c r="U137" i="3"/>
  <c r="U136" i="3"/>
  <c r="U133" i="3"/>
  <c r="U132" i="3"/>
  <c r="U131" i="3"/>
  <c r="U135" i="3"/>
  <c r="U139" i="3"/>
  <c r="U130" i="3"/>
  <c r="U134" i="3"/>
  <c r="U141" i="3"/>
  <c r="J62" i="2"/>
  <c r="K62" i="2" s="1"/>
  <c r="J63" i="2"/>
  <c r="K63" i="2" s="1"/>
  <c r="J64" i="2"/>
  <c r="K64" i="2" s="1"/>
  <c r="J65" i="2"/>
  <c r="K65" i="2" s="1"/>
  <c r="J66" i="2"/>
  <c r="K66" i="2" s="1"/>
  <c r="J67" i="2"/>
  <c r="K67" i="2" s="1"/>
  <c r="J68" i="2"/>
  <c r="K68" i="2" s="1"/>
  <c r="J69" i="2"/>
  <c r="K69" i="2" s="1"/>
  <c r="J70" i="2"/>
  <c r="K70" i="2" s="1"/>
  <c r="J61" i="2"/>
  <c r="K61" i="2" s="1"/>
  <c r="J60" i="2"/>
  <c r="K60" i="2" s="1"/>
  <c r="J59" i="2"/>
  <c r="K59" i="2" s="1"/>
  <c r="T128" i="3" l="1"/>
  <c r="T127" i="3"/>
  <c r="T126" i="3"/>
  <c r="T125" i="3"/>
  <c r="T124" i="3"/>
  <c r="T123" i="3"/>
  <c r="T122" i="3"/>
  <c r="T121" i="3"/>
  <c r="T120" i="3"/>
  <c r="T119" i="3"/>
  <c r="T118" i="3"/>
  <c r="T117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T115" i="3"/>
  <c r="T114" i="3"/>
  <c r="T113" i="3"/>
  <c r="T112" i="3"/>
  <c r="T111" i="3"/>
  <c r="T110" i="3"/>
  <c r="T109" i="3"/>
  <c r="T108" i="3"/>
  <c r="T107" i="3"/>
  <c r="T106" i="3"/>
  <c r="T105" i="3"/>
  <c r="T104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T89" i="3"/>
  <c r="T88" i="3"/>
  <c r="T87" i="3"/>
  <c r="T86" i="3"/>
  <c r="T85" i="3"/>
  <c r="T84" i="3"/>
  <c r="T83" i="3"/>
  <c r="T82" i="3"/>
  <c r="T81" i="3"/>
  <c r="I81" i="3"/>
  <c r="I82" i="3"/>
  <c r="I83" i="3"/>
  <c r="I84" i="3"/>
  <c r="I85" i="3"/>
  <c r="I86" i="3"/>
  <c r="I87" i="3"/>
  <c r="I88" i="3"/>
  <c r="I89" i="3"/>
  <c r="T102" i="3"/>
  <c r="T101" i="3"/>
  <c r="T100" i="3"/>
  <c r="T99" i="3"/>
  <c r="T98" i="3"/>
  <c r="T97" i="3"/>
  <c r="T96" i="3"/>
  <c r="T95" i="3"/>
  <c r="T94" i="3"/>
  <c r="T93" i="3"/>
  <c r="T92" i="3"/>
  <c r="T91" i="3"/>
  <c r="I93" i="3"/>
  <c r="I94" i="3"/>
  <c r="I95" i="3"/>
  <c r="I96" i="3"/>
  <c r="I97" i="3"/>
  <c r="I98" i="3"/>
  <c r="I99" i="3"/>
  <c r="I100" i="3"/>
  <c r="I101" i="3"/>
  <c r="I102" i="3"/>
  <c r="I92" i="3"/>
  <c r="I91" i="3"/>
  <c r="T79" i="3"/>
  <c r="T78" i="3"/>
  <c r="T77" i="3"/>
  <c r="T76" i="3"/>
  <c r="T75" i="3"/>
  <c r="T74" i="3"/>
  <c r="T73" i="3"/>
  <c r="T72" i="3"/>
  <c r="T71" i="3"/>
  <c r="I71" i="3"/>
  <c r="I72" i="3"/>
  <c r="I73" i="3"/>
  <c r="I74" i="3"/>
  <c r="I75" i="3"/>
  <c r="I76" i="3"/>
  <c r="I77" i="3"/>
  <c r="I78" i="3"/>
  <c r="I79" i="3"/>
  <c r="J57" i="2"/>
  <c r="K57" i="2" s="1"/>
  <c r="U83" i="3" l="1"/>
  <c r="U126" i="3"/>
  <c r="U118" i="3"/>
  <c r="U85" i="3"/>
  <c r="U124" i="3"/>
  <c r="U117" i="3"/>
  <c r="U75" i="3"/>
  <c r="U76" i="3"/>
  <c r="U99" i="3"/>
  <c r="U109" i="3"/>
  <c r="U78" i="3"/>
  <c r="U94" i="3"/>
  <c r="U102" i="3"/>
  <c r="U77" i="3"/>
  <c r="U72" i="3"/>
  <c r="U95" i="3"/>
  <c r="U121" i="3"/>
  <c r="U120" i="3"/>
  <c r="U128" i="3"/>
  <c r="U101" i="3"/>
  <c r="U93" i="3"/>
  <c r="U98" i="3"/>
  <c r="U122" i="3"/>
  <c r="U123" i="3"/>
  <c r="U125" i="3"/>
  <c r="U79" i="3"/>
  <c r="U71" i="3"/>
  <c r="U91" i="3"/>
  <c r="U119" i="3"/>
  <c r="U127" i="3"/>
  <c r="U113" i="3"/>
  <c r="U110" i="3"/>
  <c r="U92" i="3"/>
  <c r="U96" i="3"/>
  <c r="U112" i="3"/>
  <c r="U104" i="3"/>
  <c r="U111" i="3"/>
  <c r="U105" i="3"/>
  <c r="U97" i="3"/>
  <c r="U100" i="3"/>
  <c r="U81" i="3"/>
  <c r="U89" i="3"/>
  <c r="U106" i="3"/>
  <c r="U114" i="3"/>
  <c r="U73" i="3"/>
  <c r="U82" i="3"/>
  <c r="U107" i="3"/>
  <c r="U115" i="3"/>
  <c r="U74" i="3"/>
  <c r="U108" i="3"/>
  <c r="U84" i="3"/>
  <c r="U88" i="3"/>
  <c r="U87" i="3"/>
  <c r="U86" i="3"/>
  <c r="K53" i="2" l="1"/>
  <c r="J48" i="2"/>
  <c r="K48" i="2" s="1"/>
  <c r="J49" i="2"/>
  <c r="K49" i="2" s="1"/>
  <c r="J50" i="2"/>
  <c r="K50" i="2" s="1"/>
  <c r="J51" i="2"/>
  <c r="K51" i="2" s="1"/>
  <c r="J52" i="2"/>
  <c r="K52" i="2" s="1"/>
  <c r="J53" i="2"/>
  <c r="J54" i="2"/>
  <c r="K54" i="2" s="1"/>
  <c r="J55" i="2"/>
  <c r="K55" i="2" s="1"/>
  <c r="J47" i="2"/>
  <c r="K47" i="2" s="1"/>
  <c r="J46" i="2"/>
  <c r="K46" i="2" s="1"/>
  <c r="J27" i="2"/>
  <c r="K27" i="2" s="1"/>
  <c r="T69" i="3"/>
  <c r="V68" i="3"/>
  <c r="T68" i="3"/>
  <c r="T67" i="3"/>
  <c r="T66" i="3"/>
  <c r="V65" i="3"/>
  <c r="T65" i="3"/>
  <c r="V64" i="3"/>
  <c r="T64" i="3"/>
  <c r="T63" i="3"/>
  <c r="V62" i="3"/>
  <c r="T62" i="3"/>
  <c r="T61" i="3"/>
  <c r="I61" i="3"/>
  <c r="I62" i="3"/>
  <c r="I63" i="3"/>
  <c r="I64" i="3"/>
  <c r="I65" i="3"/>
  <c r="I66" i="3"/>
  <c r="I67" i="3"/>
  <c r="I68" i="3"/>
  <c r="I69" i="3"/>
  <c r="J43" i="2"/>
  <c r="K43" i="2" s="1"/>
  <c r="J29" i="2"/>
  <c r="K29" i="2" s="1"/>
  <c r="J30" i="2"/>
  <c r="K30" i="2" s="1"/>
  <c r="J26" i="2"/>
  <c r="K26" i="2" s="1"/>
  <c r="K21" i="2"/>
  <c r="J24" i="2"/>
  <c r="K24" i="2" s="1"/>
  <c r="J25" i="2"/>
  <c r="K25" i="2" s="1"/>
  <c r="J22" i="2"/>
  <c r="K22" i="2" s="1"/>
  <c r="J21" i="2"/>
  <c r="I59" i="3"/>
  <c r="T59" i="3"/>
  <c r="I43" i="3"/>
  <c r="T43" i="3"/>
  <c r="T58" i="3"/>
  <c r="T57" i="3"/>
  <c r="T56" i="3"/>
  <c r="T55" i="3"/>
  <c r="T54" i="3"/>
  <c r="T53" i="3"/>
  <c r="T52" i="3"/>
  <c r="T51" i="3"/>
  <c r="T50" i="3"/>
  <c r="T49" i="3"/>
  <c r="T48" i="3"/>
  <c r="I48" i="3"/>
  <c r="I49" i="3"/>
  <c r="I50" i="3"/>
  <c r="I51" i="3"/>
  <c r="I52" i="3"/>
  <c r="I53" i="3"/>
  <c r="I54" i="3"/>
  <c r="I55" i="3"/>
  <c r="I56" i="3"/>
  <c r="I57" i="3"/>
  <c r="I58" i="3"/>
  <c r="U69" i="3" l="1"/>
  <c r="U59" i="3"/>
  <c r="U62" i="3"/>
  <c r="U67" i="3"/>
  <c r="U68" i="3"/>
  <c r="U63" i="3"/>
  <c r="U65" i="3"/>
  <c r="U61" i="3"/>
  <c r="U66" i="3"/>
  <c r="U64" i="3"/>
  <c r="U49" i="3"/>
  <c r="U43" i="3"/>
  <c r="U51" i="3"/>
  <c r="U53" i="3"/>
  <c r="U57" i="3"/>
  <c r="U54" i="3"/>
  <c r="U52" i="3"/>
  <c r="U55" i="3"/>
  <c r="U48" i="3"/>
  <c r="U56" i="3"/>
  <c r="U50" i="3"/>
  <c r="U58" i="3"/>
  <c r="T46" i="3"/>
  <c r="T45" i="3"/>
  <c r="T44" i="3"/>
  <c r="T42" i="3"/>
  <c r="T41" i="3"/>
  <c r="T40" i="3"/>
  <c r="T39" i="3"/>
  <c r="T38" i="3"/>
  <c r="T37" i="3"/>
  <c r="T36" i="3"/>
  <c r="T35" i="3"/>
  <c r="I35" i="3"/>
  <c r="I36" i="3"/>
  <c r="I37" i="3"/>
  <c r="I38" i="3"/>
  <c r="I39" i="3"/>
  <c r="I40" i="3"/>
  <c r="I41" i="3"/>
  <c r="I42" i="3"/>
  <c r="I44" i="3"/>
  <c r="I45" i="3"/>
  <c r="I46" i="3"/>
  <c r="T33" i="3"/>
  <c r="I33" i="3"/>
  <c r="T32" i="3"/>
  <c r="I32" i="3"/>
  <c r="T31" i="3"/>
  <c r="I31" i="3"/>
  <c r="T30" i="3"/>
  <c r="I30" i="3"/>
  <c r="T29" i="3"/>
  <c r="I29" i="3"/>
  <c r="T28" i="3"/>
  <c r="I28" i="3"/>
  <c r="T27" i="3"/>
  <c r="I27" i="3"/>
  <c r="T26" i="3"/>
  <c r="I26" i="3"/>
  <c r="T25" i="3"/>
  <c r="I25" i="3"/>
  <c r="T24" i="3"/>
  <c r="I24" i="3"/>
  <c r="T23" i="3"/>
  <c r="I23" i="3"/>
  <c r="T22" i="3"/>
  <c r="I22" i="3"/>
  <c r="T20" i="3"/>
  <c r="I20" i="3"/>
  <c r="T19" i="3"/>
  <c r="I19" i="3"/>
  <c r="T18" i="3"/>
  <c r="I18" i="3"/>
  <c r="T17" i="3"/>
  <c r="I17" i="3"/>
  <c r="T16" i="3"/>
  <c r="I16" i="3"/>
  <c r="T15" i="3"/>
  <c r="I15" i="3"/>
  <c r="T14" i="3"/>
  <c r="I14" i="3"/>
  <c r="T13" i="3"/>
  <c r="I13" i="3"/>
  <c r="T12" i="3"/>
  <c r="I12" i="3"/>
  <c r="T11" i="3"/>
  <c r="I11" i="3"/>
  <c r="T10" i="3"/>
  <c r="I10" i="3"/>
  <c r="T9" i="3"/>
  <c r="I9" i="3"/>
  <c r="J18" i="2"/>
  <c r="K18" i="2" s="1"/>
  <c r="J17" i="2"/>
  <c r="K17" i="2" s="1"/>
  <c r="J16" i="2"/>
  <c r="K16" i="2" s="1"/>
  <c r="K15" i="2"/>
  <c r="J15" i="2"/>
  <c r="K14" i="2"/>
  <c r="J13" i="2"/>
  <c r="K13" i="2" s="1"/>
  <c r="J12" i="2"/>
  <c r="K12" i="2" s="1"/>
  <c r="J11" i="2"/>
  <c r="K11" i="2" s="1"/>
  <c r="J10" i="2"/>
  <c r="K10" i="2" s="1"/>
  <c r="J9" i="2"/>
  <c r="K9" i="2" s="1"/>
  <c r="J8" i="2"/>
  <c r="K8" i="2" s="1"/>
  <c r="J7" i="2"/>
  <c r="K7" i="2" s="1"/>
  <c r="J6" i="2"/>
  <c r="K6" i="2" s="1"/>
  <c r="J5" i="2"/>
  <c r="K5" i="2" s="1"/>
  <c r="J4" i="2"/>
  <c r="K4" i="2" s="1"/>
  <c r="J3" i="2"/>
  <c r="K3" i="2" s="1"/>
  <c r="J2" i="2"/>
  <c r="K2" i="2" s="1"/>
  <c r="U46" i="3" l="1"/>
  <c r="U44" i="3"/>
  <c r="U27" i="3"/>
  <c r="U42" i="3"/>
  <c r="U35" i="3"/>
  <c r="U36" i="3"/>
  <c r="U16" i="3"/>
  <c r="U26" i="3"/>
  <c r="U30" i="3"/>
  <c r="U38" i="3"/>
  <c r="U39" i="3"/>
  <c r="U10" i="3"/>
  <c r="U23" i="3"/>
  <c r="U40" i="3"/>
  <c r="U11" i="3"/>
  <c r="U24" i="3"/>
  <c r="U41" i="3"/>
  <c r="U45" i="3"/>
  <c r="U37" i="3"/>
  <c r="U20" i="3"/>
  <c r="U25" i="3"/>
  <c r="U29" i="3"/>
  <c r="U33" i="3"/>
  <c r="U9" i="3"/>
  <c r="U15" i="3"/>
  <c r="U18" i="3"/>
  <c r="U31" i="3"/>
  <c r="U19" i="3"/>
  <c r="U12" i="3"/>
  <c r="U28" i="3"/>
  <c r="U32" i="3"/>
  <c r="U13" i="3"/>
  <c r="U14" i="3"/>
  <c r="U17" i="3"/>
  <c r="U22" i="3"/>
</calcChain>
</file>

<file path=xl/sharedStrings.xml><?xml version="1.0" encoding="utf-8"?>
<sst xmlns="http://schemas.openxmlformats.org/spreadsheetml/2006/main" count="1291" uniqueCount="293">
  <si>
    <t>Stab F Lo1</t>
  </si>
  <si>
    <t>Stab F Lo2</t>
  </si>
  <si>
    <t>Stab F Lo3</t>
  </si>
  <si>
    <t>Stab F Lo4</t>
  </si>
  <si>
    <t>Stab F Hi1</t>
  </si>
  <si>
    <t>Stab F Hi2</t>
  </si>
  <si>
    <t>Stab F Hi3</t>
  </si>
  <si>
    <t>Stab F Hi4</t>
  </si>
  <si>
    <t>Stab F XHi1</t>
  </si>
  <si>
    <t>Stab F XHi2</t>
  </si>
  <si>
    <t>Stab G Lo1</t>
  </si>
  <si>
    <t>Stab G Lo2</t>
  </si>
  <si>
    <t>Stab G Lo3</t>
  </si>
  <si>
    <t>Stab G Lo4</t>
  </si>
  <si>
    <t>Stab G Hi1</t>
  </si>
  <si>
    <t>Stab G Hi2</t>
  </si>
  <si>
    <t>Stab G Hi3</t>
  </si>
  <si>
    <t>Stab G Hi4</t>
  </si>
  <si>
    <t>Stab H Lo1</t>
  </si>
  <si>
    <t>Stab H Lo2</t>
  </si>
  <si>
    <t>Stab H Lo3</t>
  </si>
  <si>
    <t>Stab H Lo4</t>
  </si>
  <si>
    <t>Stab H Hi1</t>
  </si>
  <si>
    <t>Stab H Hi2</t>
  </si>
  <si>
    <t>Stab H Hi3</t>
  </si>
  <si>
    <t>Stab H Hi4</t>
  </si>
  <si>
    <t>plasmid prepped</t>
  </si>
  <si>
    <t>plaques picked</t>
  </si>
  <si>
    <t>phage amped</t>
  </si>
  <si>
    <t>x</t>
  </si>
  <si>
    <t>Eurofins</t>
  </si>
  <si>
    <t>manual seq</t>
  </si>
  <si>
    <t>seq results</t>
  </si>
  <si>
    <t>complete</t>
  </si>
  <si>
    <t>mut 1825tC - seq 2nd plq</t>
  </si>
  <si>
    <t>gap 3800-4200</t>
  </si>
  <si>
    <t>gap 2460-2660</t>
  </si>
  <si>
    <t>B - 4292R &amp; 4753R</t>
  </si>
  <si>
    <t>plasmid transformed</t>
  </si>
  <si>
    <t>plasmid miniprepped/archived</t>
  </si>
  <si>
    <t>phage genome assembled</t>
  </si>
  <si>
    <t>phage transformed</t>
  </si>
  <si>
    <t>gap 2485-2655</t>
  </si>
  <si>
    <t>Worst F 0.25 rep2</t>
  </si>
  <si>
    <t>Worst F 0.25 rep3</t>
  </si>
  <si>
    <t>Worst F 0.5 rep1</t>
  </si>
  <si>
    <t>Worst F 0.5 rep2</t>
  </si>
  <si>
    <t>Worst F 0.5 rep3</t>
  </si>
  <si>
    <t>Worst F 0.75 rep1</t>
  </si>
  <si>
    <t>Worst F 0.75 rep2</t>
  </si>
  <si>
    <t>Worst F 0.75 rep3</t>
  </si>
  <si>
    <t>Worst F 1 rep1</t>
  </si>
  <si>
    <t>Worst G 0.25 rep1</t>
  </si>
  <si>
    <t>Worst G 0.25 rep2</t>
  </si>
  <si>
    <t>Worst G 0.25 rep3</t>
  </si>
  <si>
    <t>Worst G 0.5 rep1</t>
  </si>
  <si>
    <t>Worst G 0.5 rep2</t>
  </si>
  <si>
    <t>Worst G 0.5 rep3</t>
  </si>
  <si>
    <t>Worst G 0.75 rep1</t>
  </si>
  <si>
    <t>Worst G 0.75 rep2</t>
  </si>
  <si>
    <t>Worst G 0.75 rep3</t>
  </si>
  <si>
    <t>Worst H 0.25 rep1</t>
  </si>
  <si>
    <t>Worst H 0.25 rep2</t>
  </si>
  <si>
    <t>Worst H 0.25 rep3</t>
  </si>
  <si>
    <t>Worst H 0.5 rep1</t>
  </si>
  <si>
    <t>Worst H 0.5 rep2</t>
  </si>
  <si>
    <t>Worst H 0.5 rep3</t>
  </si>
  <si>
    <t>Worst H 0.75 rep1</t>
  </si>
  <si>
    <t>Worst H 0.75 rep2</t>
  </si>
  <si>
    <t>Worst H 0.75 rep3</t>
  </si>
  <si>
    <t>Worst H 1 rep1</t>
  </si>
  <si>
    <t>gaps 2700-2840, 4700-4710</t>
  </si>
  <si>
    <t>gaps - 1945-2090, 3720-4000</t>
  </si>
  <si>
    <t>seq ck vs design</t>
  </si>
  <si>
    <t>B - 2299F &amp; 5199R</t>
  </si>
  <si>
    <t>A - 2500R, B - 4292R</t>
  </si>
  <si>
    <t>gap 2715-3300</t>
  </si>
  <si>
    <t>A - 2717R, B - 2299F</t>
  </si>
  <si>
    <t>gap 3340-3500</t>
  </si>
  <si>
    <t>need better seq 1390-1500</t>
  </si>
  <si>
    <t>gap 2900-29080</t>
  </si>
  <si>
    <t>gap 3335-3915</t>
  </si>
  <si>
    <t>gap 3340-3920 &amp; 4700-4710</t>
  </si>
  <si>
    <t>repeat manual seq</t>
  </si>
  <si>
    <t>B-2605F</t>
  </si>
  <si>
    <t>gap 2710-2835, 4700-4710</t>
  </si>
  <si>
    <t>B-2605F, 5199R</t>
  </si>
  <si>
    <t>gap 3720-4000</t>
  </si>
  <si>
    <t>B-4292R</t>
  </si>
  <si>
    <t>B - 4292R, 4753R</t>
  </si>
  <si>
    <t>repeat A half</t>
  </si>
  <si>
    <t>repeat all</t>
  </si>
  <si>
    <t>B - 3849R</t>
  </si>
  <si>
    <t>A - 979F</t>
  </si>
  <si>
    <t>B- 3381R</t>
  </si>
  <si>
    <t>B - 3849R, 4292R</t>
  </si>
  <si>
    <t>B - 3849R, 4292R, 5199R</t>
  </si>
  <si>
    <t>don't forget to clean up PCRs before manual sequencing</t>
  </si>
  <si>
    <t>2605F</t>
  </si>
  <si>
    <t>3381R</t>
  </si>
  <si>
    <t>3849R</t>
  </si>
  <si>
    <t>4292R</t>
  </si>
  <si>
    <t>5199R</t>
  </si>
  <si>
    <t>4753R</t>
  </si>
  <si>
    <t>4669F</t>
  </si>
  <si>
    <t>379R</t>
  </si>
  <si>
    <t>0F</t>
  </si>
  <si>
    <t>500R</t>
  </si>
  <si>
    <t>1046R</t>
  </si>
  <si>
    <t>1500R</t>
  </si>
  <si>
    <t>2000R</t>
  </si>
  <si>
    <t>2312R</t>
  </si>
  <si>
    <t>2953R</t>
  </si>
  <si>
    <t>979F</t>
  </si>
  <si>
    <t>B Half</t>
  </si>
  <si>
    <t>A Half</t>
  </si>
  <si>
    <t>mut 1825tC - seq 3rd plq</t>
  </si>
  <si>
    <t>Stab G Hi3 plq2</t>
  </si>
  <si>
    <t>Stab G Hi4 plq2</t>
  </si>
  <si>
    <t>Stab G Hi3 plq3</t>
  </si>
  <si>
    <t>Stab G Hi4 plq3</t>
  </si>
  <si>
    <t>1825 correct, gap 1390-1670</t>
  </si>
  <si>
    <t>1825 correct, gap 1450-1640</t>
  </si>
  <si>
    <t>ok</t>
  </si>
  <si>
    <t>A - 2000R, 1750R</t>
  </si>
  <si>
    <t>not ok</t>
  </si>
  <si>
    <t>construct</t>
  </si>
  <si>
    <t>plaque #</t>
  </si>
  <si>
    <t>date picked</t>
  </si>
  <si>
    <t>date titered</t>
  </si>
  <si>
    <t>counts</t>
  </si>
  <si>
    <t>dil</t>
  </si>
  <si>
    <t>titer</t>
  </si>
  <si>
    <r>
      <t>for 10</t>
    </r>
    <r>
      <rPr>
        <b/>
        <vertAlign val="superscript"/>
        <sz val="11"/>
        <color theme="1"/>
        <rFont val="Calibri"/>
        <family val="2"/>
        <scheme val="minor"/>
      </rPr>
      <t xml:space="preserve">5  </t>
    </r>
    <r>
      <rPr>
        <b/>
        <sz val="11"/>
        <color theme="1"/>
        <rFont val="Calibri"/>
        <family val="2"/>
        <scheme val="minor"/>
      </rPr>
      <t>(mL)</t>
    </r>
  </si>
  <si>
    <t>assay date</t>
  </si>
  <si>
    <t>notes</t>
  </si>
  <si>
    <t>wt Sanger x2 mut</t>
  </si>
  <si>
    <t>redo titer at 5e-6</t>
  </si>
  <si>
    <t>stab_H_Lo1</t>
  </si>
  <si>
    <t>stab_H_Lo2</t>
  </si>
  <si>
    <t>stab_H_Lo3</t>
  </si>
  <si>
    <t>stab_H_Lo4</t>
  </si>
  <si>
    <t>stab_H_Hi1</t>
  </si>
  <si>
    <t>stab_H_Hi2</t>
  </si>
  <si>
    <t>stab_H_Hi3</t>
  </si>
  <si>
    <t>stab_H_Hi4</t>
  </si>
  <si>
    <t>0.5 shuf_H_rep1</t>
  </si>
  <si>
    <t>0.5 shuf_H_rep2</t>
  </si>
  <si>
    <t>0.5 shuf_H_rep3</t>
  </si>
  <si>
    <t>overgrown</t>
  </si>
  <si>
    <r>
      <t>One-Flask Fitness Assays @ 37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</t>
    </r>
  </si>
  <si>
    <r>
      <t>Grew 180 ul 50X C (27Feb20) in 50 ml phage LB + 2 mM CaCl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to O.D. ~0.300, then aliquoted 1.5 ml into each of 16 flasks</t>
    </r>
  </si>
  <si>
    <r>
      <t>Added 10</t>
    </r>
    <r>
      <rPr>
        <vertAlign val="superscript"/>
        <sz val="11"/>
        <color theme="1"/>
        <rFont val="Calibri"/>
        <family val="2"/>
        <scheme val="minor"/>
      </rPr>
      <t xml:space="preserve">5 </t>
    </r>
    <r>
      <rPr>
        <sz val="11"/>
        <color theme="1"/>
        <rFont val="Calibri"/>
        <family val="2"/>
        <scheme val="minor"/>
      </rPr>
      <t>phage to each assay according to titers (unless noted for low titer phages)</t>
    </r>
  </si>
  <si>
    <t>Took 500 ul T=0 samples at 8' onto ice</t>
  </si>
  <si>
    <t>At T=40', sampled 500 ul of each assay onto ice and diluted for plating in phage LB</t>
  </si>
  <si>
    <t>T0</t>
  </si>
  <si>
    <t>Date</t>
  </si>
  <si>
    <t>flask #</t>
  </si>
  <si>
    <t>sample #</t>
  </si>
  <si>
    <t>Construct</t>
  </si>
  <si>
    <t>Plaque #</t>
  </si>
  <si>
    <t>actual # of phage added to assay</t>
  </si>
  <si>
    <t>T0 titer</t>
  </si>
  <si>
    <t>T40 titer</t>
  </si>
  <si>
    <t>fitness</t>
  </si>
  <si>
    <t>comment</t>
  </si>
  <si>
    <t>wt Sanger 2xmut</t>
  </si>
  <si>
    <t>estimate -see replates</t>
  </si>
  <si>
    <t>stab_G_Lo1</t>
  </si>
  <si>
    <t>stab_G_Lo2</t>
  </si>
  <si>
    <t>stab_G_Lo3</t>
  </si>
  <si>
    <t>stab_G_Lo4</t>
  </si>
  <si>
    <t>stab_G_Hi1</t>
  </si>
  <si>
    <t>stab_G_Hi2</t>
  </si>
  <si>
    <t>stab_G_Hi3</t>
  </si>
  <si>
    <t>stab_G_Hi4</t>
  </si>
  <si>
    <t>stab_F_Lo1</t>
  </si>
  <si>
    <t>stab_F_Lo2</t>
  </si>
  <si>
    <t>stab_F_Lo3</t>
  </si>
  <si>
    <t>stab_F_Lo4</t>
  </si>
  <si>
    <t>stab_F_Hi1</t>
  </si>
  <si>
    <t>stab_F_Hi2</t>
  </si>
  <si>
    <t>stab_F_Hi3</t>
  </si>
  <si>
    <t>stab_F_Hi4</t>
  </si>
  <si>
    <t>stab_F_XHi1</t>
  </si>
  <si>
    <t>stab_F_XHi2</t>
  </si>
  <si>
    <t>G_0.5shuf_rep1</t>
  </si>
  <si>
    <t>G_0.5shuf_rep2</t>
  </si>
  <si>
    <t>G_0.5shuf_rep3</t>
  </si>
  <si>
    <t>F_0.5shuf_rep1</t>
  </si>
  <si>
    <t>F_0.5shuf_rep2</t>
  </si>
  <si>
    <t>F_0.5shuf_rep3</t>
  </si>
  <si>
    <t>ave</t>
  </si>
  <si>
    <t>ck F2 plasmid seq - switched with XH2?</t>
  </si>
  <si>
    <t>ck F2 plasmid seq - switched with XH1?</t>
  </si>
  <si>
    <t>G2 is Lo3 - ck Lo4 plasmid seq</t>
  </si>
  <si>
    <t>G2 is wt - ck Lo1 plasmid seq</t>
  </si>
  <si>
    <t>lg plqs - hard to count</t>
  </si>
  <si>
    <t>sm plqs</t>
  </si>
  <si>
    <t>tmtc</t>
  </si>
  <si>
    <t>plate almost clear</t>
  </si>
  <si>
    <t>tiny plqs</t>
  </si>
  <si>
    <t>10?</t>
  </si>
  <si>
    <t xml:space="preserve">plates mislabeled </t>
  </si>
  <si>
    <t>being re-constructed</t>
  </si>
  <si>
    <t>tiny faint plaques</t>
  </si>
  <si>
    <t>freezer archived</t>
  </si>
  <si>
    <t>Note:  there were two differences in this assay from usual 1) took T=0 samples at 11' instead of 8' and 2) left plates in incubator overnight - weren't too difficult to count and #11 was actualy easier : )</t>
  </si>
  <si>
    <t>3 liquid w assays</t>
  </si>
  <si>
    <t>Stab G Hi3 plq1</t>
  </si>
  <si>
    <t>Stab G Hi4 plq1</t>
  </si>
  <si>
    <t>Stab_F_XHi1 redo</t>
  </si>
  <si>
    <t>Stab_F_XHi2 redo</t>
  </si>
  <si>
    <t>switched F2s</t>
  </si>
  <si>
    <t>Stab_G_Lo1 redo</t>
  </si>
  <si>
    <t>Stab_G_Lo4 redo</t>
  </si>
  <si>
    <t>no plqs</t>
  </si>
  <si>
    <t>Stab_G_Lo1 redo2</t>
  </si>
  <si>
    <t>w/new pG2</t>
  </si>
  <si>
    <t>Stab_G_Lo4 redo2</t>
  </si>
  <si>
    <t>Stab_G_Lo1 redo3</t>
  </si>
  <si>
    <t>Stab_G_Lo4 redo3</t>
  </si>
  <si>
    <t>manual</t>
  </si>
  <si>
    <t>Worst F 0.25 rep1</t>
  </si>
  <si>
    <t>z</t>
  </si>
  <si>
    <t>Worst G 1 rep3 (?)</t>
  </si>
  <si>
    <t>JA</t>
  </si>
  <si>
    <t>2 plqs!</t>
  </si>
  <si>
    <t>F_0.25worst_rep1</t>
  </si>
  <si>
    <t>F_0.25worst_rep2</t>
  </si>
  <si>
    <t>F_0.25worst_rep3</t>
  </si>
  <si>
    <t>F_0.5worst_rep1</t>
  </si>
  <si>
    <t>F_0.5worst_rep2</t>
  </si>
  <si>
    <t>F_0.5worst_rep3</t>
  </si>
  <si>
    <t>F_0.75worst_rep1</t>
  </si>
  <si>
    <t>F_0.75worst_rep2</t>
  </si>
  <si>
    <t>F_0.75worst_rep3</t>
  </si>
  <si>
    <t>redo_plq1</t>
  </si>
  <si>
    <t>wow-had to count</t>
  </si>
  <si>
    <t>sm irregularly-shaped plqs</t>
  </si>
  <si>
    <t>sm irregularly-shaped plqs (T0 hard to count -wet plate?)</t>
  </si>
  <si>
    <t>wet plate</t>
  </si>
  <si>
    <t>F_1.0worst_rep1</t>
  </si>
  <si>
    <t>G_0.25worst_rep1</t>
  </si>
  <si>
    <t>G_0.25worst_rep2</t>
  </si>
  <si>
    <t>G_0.25worst_rep3</t>
  </si>
  <si>
    <t>G_0.5worst_rep1</t>
  </si>
  <si>
    <t>G_0.5worst_rep2</t>
  </si>
  <si>
    <t>G_0.5worst_rep3</t>
  </si>
  <si>
    <t>G_0.75worst_rep1</t>
  </si>
  <si>
    <t>G_0.75worst_rep2</t>
  </si>
  <si>
    <t>G_0.75worst_rep3</t>
  </si>
  <si>
    <t>G_1.0worst_rep1</t>
  </si>
  <si>
    <t>H_0.25worst_rep1</t>
  </si>
  <si>
    <t>H_0.25worst_rep2</t>
  </si>
  <si>
    <t>H_0.25worst_rep3</t>
  </si>
  <si>
    <t>H_0.5worst_rep1</t>
  </si>
  <si>
    <t>H_0.5worst_rep2</t>
  </si>
  <si>
    <t>H_0.5worst_rep3</t>
  </si>
  <si>
    <t>H_0.75worst_rep1</t>
  </si>
  <si>
    <t>H_0.75worst_rep2</t>
  </si>
  <si>
    <t>H_0.75worst_rep3</t>
  </si>
  <si>
    <t>H_1.0worst_rep1</t>
  </si>
  <si>
    <t>T40 plate wet=smeared</t>
  </si>
  <si>
    <t>wet plate-est</t>
  </si>
  <si>
    <t>wet plate - not too bad</t>
  </si>
  <si>
    <t>problem with plate - low count, smeared, etc.</t>
  </si>
  <si>
    <t>B -- 3381R &amp; 4292R</t>
  </si>
  <si>
    <t>A-2000R, B-all</t>
  </si>
  <si>
    <t>A-2000R, B-4292R</t>
  </si>
  <si>
    <t>A-2000R</t>
  </si>
  <si>
    <t>sm plqs, irregularly shaped</t>
  </si>
  <si>
    <t>tiny plqs, irregularly shaped</t>
  </si>
  <si>
    <t>T40 smeared</t>
  </si>
  <si>
    <t>re-amp &amp; clean-up</t>
  </si>
  <si>
    <t>bad pipetting? w off from others</t>
  </si>
  <si>
    <t>1 plq</t>
  </si>
  <si>
    <t>x?</t>
  </si>
  <si>
    <t>plqs 1-6 not ok</t>
  </si>
  <si>
    <t>extra point mut in F in all 6</t>
  </si>
  <si>
    <t>both plqs have wt for G2</t>
  </si>
  <si>
    <t>Stab_G_Lo1 redo4</t>
  </si>
  <si>
    <t>0 plqs</t>
  </si>
  <si>
    <t>O/N evolution carried out --&gt; no plqs</t>
  </si>
  <si>
    <t>H_0.5 shuf_rep1</t>
  </si>
  <si>
    <t>H_0.5 shuf_rep2</t>
  </si>
  <si>
    <t>H_0.5 shuf_rep3</t>
  </si>
  <si>
    <t>JA 3-9-20</t>
  </si>
  <si>
    <t>5 assemblies, only plqs had wt G2; O/N evol, no plqs</t>
  </si>
  <si>
    <t>Em re-assembling</t>
  </si>
  <si>
    <t>3rd assembly yielded 12 plqs - so far, 6 seq &amp; all have extra mut in F (1042cA, 1836cA, 1951cA, 1989cA, 2045gT)</t>
  </si>
  <si>
    <t>sm, irregularly-shaped plqs</t>
  </si>
  <si>
    <t>tiny, irregularly-shaped plqs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</si>
</sst>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2" fillId="0" borderId="0" xfId="0" applyFont="1" applyFill="1" applyBorder="1"/>
    <xf numFmtId="0" fontId="0" fillId="3" borderId="5" xfId="0" applyFill="1" applyBorder="1" applyAlignment="1">
      <alignment horizontal="center"/>
    </xf>
    <xf numFmtId="15" fontId="0" fillId="0" borderId="1" xfId="0" applyNumberFormat="1" applyBorder="1"/>
    <xf numFmtId="0" fontId="0" fillId="4" borderId="1" xfId="0" applyFill="1" applyBorder="1"/>
    <xf numFmtId="0" fontId="2" fillId="0" borderId="1" xfId="0" applyFont="1" applyBorder="1" applyAlignment="1">
      <alignment horizontal="center"/>
    </xf>
    <xf numFmtId="0" fontId="0" fillId="2" borderId="1" xfId="0" applyFill="1" applyBorder="1"/>
    <xf numFmtId="11" fontId="0" fillId="0" borderId="1" xfId="0" applyNumberFormat="1" applyBorder="1"/>
    <xf numFmtId="49" fontId="0" fillId="0" borderId="0" xfId="0" applyNumberFormat="1" applyAlignment="1">
      <alignment horizontal="left"/>
    </xf>
    <xf numFmtId="15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/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11" fontId="2" fillId="0" borderId="1" xfId="0" applyNumberFormat="1" applyFont="1" applyBorder="1" applyAlignment="1">
      <alignment horizontal="center"/>
    </xf>
    <xf numFmtId="11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5" fontId="0" fillId="0" borderId="2" xfId="0" applyNumberFormat="1" applyBorder="1"/>
    <xf numFmtId="0" fontId="0" fillId="0" borderId="2" xfId="0" applyBorder="1"/>
    <xf numFmtId="11" fontId="0" fillId="0" borderId="2" xfId="0" applyNumberFormat="1" applyBorder="1"/>
    <xf numFmtId="0" fontId="0" fillId="0" borderId="4" xfId="0" applyBorder="1"/>
    <xf numFmtId="2" fontId="0" fillId="0" borderId="0" xfId="0" applyNumberFormat="1"/>
    <xf numFmtId="0" fontId="0" fillId="0" borderId="1" xfId="0" applyFill="1" applyBorder="1" applyAlignment="1">
      <alignment horizontal="center" wrapText="1"/>
    </xf>
    <xf numFmtId="15" fontId="0" fillId="0" borderId="1" xfId="0" applyNumberForma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0" xfId="0" applyFill="1"/>
    <xf numFmtId="15" fontId="0" fillId="0" borderId="4" xfId="0" applyNumberFormat="1" applyBorder="1"/>
    <xf numFmtId="11" fontId="0" fillId="0" borderId="4" xfId="0" applyNumberFormat="1" applyBorder="1"/>
    <xf numFmtId="11" fontId="2" fillId="0" borderId="9" xfId="0" applyNumberFormat="1" applyFont="1" applyBorder="1" applyAlignment="1">
      <alignment horizontal="center"/>
    </xf>
    <xf numFmtId="15" fontId="0" fillId="0" borderId="8" xfId="0" applyNumberFormat="1" applyBorder="1"/>
    <xf numFmtId="0" fontId="0" fillId="0" borderId="8" xfId="0" applyBorder="1" applyAlignment="1">
      <alignment horizontal="center"/>
    </xf>
    <xf numFmtId="0" fontId="0" fillId="0" borderId="8" xfId="0" applyBorder="1"/>
    <xf numFmtId="11" fontId="0" fillId="0" borderId="8" xfId="0" applyNumberFormat="1" applyBorder="1"/>
    <xf numFmtId="11" fontId="2" fillId="0" borderId="4" xfId="0" applyNumberFormat="1" applyFont="1" applyBorder="1"/>
    <xf numFmtId="0" fontId="0" fillId="0" borderId="8" xfId="0" applyFill="1" applyBorder="1"/>
    <xf numFmtId="0" fontId="0" fillId="4" borderId="8" xfId="0" applyFill="1" applyBorder="1"/>
    <xf numFmtId="0" fontId="0" fillId="0" borderId="11" xfId="0" applyBorder="1"/>
    <xf numFmtId="11" fontId="0" fillId="2" borderId="1" xfId="0" applyNumberFormat="1" applyFill="1" applyBorder="1"/>
    <xf numFmtId="2" fontId="0" fillId="0" borderId="0" xfId="0" applyNumberFormat="1" applyBorder="1"/>
    <xf numFmtId="2" fontId="0" fillId="5" borderId="0" xfId="0" applyNumberFormat="1" applyFill="1" applyBorder="1"/>
    <xf numFmtId="15" fontId="0" fillId="0" borderId="0" xfId="0" applyNumberFormat="1" applyBorder="1"/>
    <xf numFmtId="0" fontId="0" fillId="0" borderId="0" xfId="0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4" borderId="0" xfId="0" applyFill="1" applyBorder="1" applyAlignment="1">
      <alignment horizontal="center"/>
    </xf>
    <xf numFmtId="0" fontId="0" fillId="4" borderId="0" xfId="0" applyFill="1" applyAlignment="1">
      <alignment horizontal="left"/>
    </xf>
    <xf numFmtId="11" fontId="2" fillId="0" borderId="0" xfId="0" applyNumberFormat="1" applyFont="1"/>
    <xf numFmtId="0" fontId="0" fillId="0" borderId="8" xfId="0" applyBorder="1" applyAlignment="1">
      <alignment horizontal="left"/>
    </xf>
    <xf numFmtId="0" fontId="0" fillId="5" borderId="1" xfId="0" applyFill="1" applyBorder="1"/>
    <xf numFmtId="11" fontId="0" fillId="0" borderId="10" xfId="0" applyNumberFormat="1" applyBorder="1"/>
    <xf numFmtId="0" fontId="0" fillId="0" borderId="8" xfId="0" applyFill="1" applyBorder="1" applyAlignment="1">
      <alignment horizontal="center"/>
    </xf>
    <xf numFmtId="0" fontId="0" fillId="5" borderId="8" xfId="0" applyFill="1" applyBorder="1"/>
    <xf numFmtId="0" fontId="3" fillId="0" borderId="4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Border="1"/>
    <xf numFmtId="0" fontId="3" fillId="0" borderId="4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164" fontId="0" fillId="0" borderId="1" xfId="0" applyNumberFormat="1" applyBorder="1"/>
    <xf numFmtId="164" fontId="0" fillId="0" borderId="8" xfId="0" applyNumberFormat="1" applyBorder="1"/>
    <xf numFmtId="0" fontId="0" fillId="0" borderId="0" xfId="0" applyFill="1" applyBorder="1" applyAlignment="1">
      <alignment horizontal="center"/>
    </xf>
    <xf numFmtId="2" fontId="0" fillId="5" borderId="0" xfId="0" applyNumberFormat="1" applyFill="1"/>
    <xf numFmtId="0" fontId="0" fillId="0" borderId="1" xfId="0" applyFill="1" applyBorder="1"/>
    <xf numFmtId="0" fontId="0" fillId="0" borderId="2" xfId="0" applyBorder="1" applyAlignment="1">
      <alignment horizontal="left"/>
    </xf>
    <xf numFmtId="11" fontId="0" fillId="0" borderId="1" xfId="0" applyNumberFormat="1" applyFill="1" applyBorder="1"/>
    <xf numFmtId="164" fontId="0" fillId="0" borderId="1" xfId="0" applyNumberFormat="1" applyFill="1" applyBorder="1"/>
    <xf numFmtId="0" fontId="0" fillId="0" borderId="0" xfId="0" applyFill="1"/>
    <xf numFmtId="11" fontId="0" fillId="0" borderId="8" xfId="0" applyNumberFormat="1" applyFill="1" applyBorder="1"/>
    <xf numFmtId="164" fontId="0" fillId="0" borderId="8" xfId="0" applyNumberFormat="1" applyFill="1" applyBorder="1"/>
    <xf numFmtId="0" fontId="0" fillId="0" borderId="5" xfId="0" applyFill="1" applyBorder="1"/>
    <xf numFmtId="164" fontId="0" fillId="5" borderId="1" xfId="0" applyNumberFormat="1" applyFill="1" applyBorder="1"/>
    <xf numFmtId="11" fontId="0" fillId="0" borderId="0" xfId="0" applyNumberFormat="1"/>
    <xf numFmtId="0" fontId="0" fillId="0" borderId="2" xfId="0" applyFill="1" applyBorder="1" applyAlignment="1">
      <alignment horizontal="center"/>
    </xf>
    <xf numFmtId="0" fontId="0" fillId="0" borderId="2" xfId="0" applyFill="1" applyBorder="1"/>
    <xf numFmtId="0" fontId="0" fillId="5" borderId="2" xfId="0" applyFill="1" applyBorder="1"/>
    <xf numFmtId="11" fontId="0" fillId="0" borderId="2" xfId="0" applyNumberFormat="1" applyFill="1" applyBorder="1"/>
    <xf numFmtId="0" fontId="0" fillId="0" borderId="5" xfId="0" applyBorder="1"/>
    <xf numFmtId="11" fontId="2" fillId="0" borderId="0" xfId="0" applyNumberFormat="1" applyFont="1" applyAlignment="1">
      <alignment horizontal="left"/>
    </xf>
    <xf numFmtId="11" fontId="2" fillId="0" borderId="13" xfId="0" applyNumberFormat="1" applyFont="1" applyBorder="1"/>
    <xf numFmtId="11" fontId="2" fillId="0" borderId="14" xfId="0" applyNumberFormat="1" applyFont="1" applyBorder="1"/>
    <xf numFmtId="2" fontId="0" fillId="6" borderId="0" xfId="0" applyNumberFormat="1" applyFill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0" xfId="0" applyFill="1" applyBorder="1" applyAlignment="1">
      <alignment horizontal="left"/>
    </xf>
    <xf numFmtId="0" fontId="0" fillId="6" borderId="0" xfId="0" applyFill="1" applyBorder="1" applyAlignment="1">
      <alignment horizontal="left"/>
    </xf>
    <xf numFmtId="0" fontId="0" fillId="4" borderId="0" xfId="0" applyFill="1" applyBorder="1" applyAlignment="1">
      <alignment horizontal="left"/>
    </xf>
    <xf numFmtId="0" fontId="0" fillId="4" borderId="0" xfId="0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F354F-04E2-4DB9-9071-754B0B3997B0}">
  <dimension ref="A1:S75"/>
  <sheetViews>
    <sheetView zoomScale="90" zoomScaleNormal="90" workbookViewId="0">
      <pane ySplit="1" topLeftCell="A2" activePane="bottomLeft" state="frozen"/>
      <selection pane="bottomLeft" activeCell="Q28" sqref="Q28"/>
    </sheetView>
  </sheetViews>
  <sheetFormatPr defaultRowHeight="14.4" x14ac:dyDescent="0.3"/>
  <cols>
    <col min="1" max="1" width="18.109375" customWidth="1"/>
    <col min="2" max="2" width="8.88671875" style="1"/>
    <col min="3" max="3" width="12.109375" style="1" customWidth="1"/>
    <col min="4" max="4" width="13.44140625" style="1" customWidth="1"/>
    <col min="5" max="5" width="10.88671875" style="1" customWidth="1"/>
    <col min="6" max="6" width="11.88671875" style="1" customWidth="1"/>
    <col min="7" max="9" width="8.88671875" style="1"/>
    <col min="10" max="10" width="25.44140625" style="11" customWidth="1"/>
    <col min="11" max="11" width="18.33203125" style="11" customWidth="1"/>
    <col min="12" max="12" width="20.6640625" style="1" customWidth="1"/>
    <col min="13" max="13" width="24" style="1" customWidth="1"/>
    <col min="14" max="14" width="18.44140625" style="1" customWidth="1"/>
    <col min="15" max="15" width="23.77734375" style="1" customWidth="1"/>
    <col min="16" max="16" width="15.33203125" style="1" customWidth="1"/>
    <col min="17" max="17" width="36.44140625" customWidth="1"/>
    <col min="19" max="19" width="8.88671875" style="1"/>
  </cols>
  <sheetData>
    <row r="1" spans="1:19" ht="45.75" customHeight="1" x14ac:dyDescent="0.3">
      <c r="A1" s="2"/>
      <c r="B1" s="6" t="s">
        <v>26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27</v>
      </c>
      <c r="H1" s="6" t="s">
        <v>28</v>
      </c>
      <c r="I1" s="6" t="s">
        <v>30</v>
      </c>
      <c r="J1" s="7" t="s">
        <v>32</v>
      </c>
      <c r="K1" s="7"/>
      <c r="L1" s="6" t="s">
        <v>31</v>
      </c>
      <c r="M1" s="6" t="s">
        <v>32</v>
      </c>
      <c r="N1" s="6" t="s">
        <v>83</v>
      </c>
      <c r="O1" s="6" t="s">
        <v>32</v>
      </c>
      <c r="P1" s="4" t="s">
        <v>73</v>
      </c>
      <c r="Q1" s="43"/>
      <c r="R1" s="3" t="s">
        <v>206</v>
      </c>
      <c r="S1" s="43" t="s">
        <v>208</v>
      </c>
    </row>
    <row r="2" spans="1:19" x14ac:dyDescent="0.3">
      <c r="A2" s="2" t="s">
        <v>0</v>
      </c>
      <c r="B2" s="4" t="s">
        <v>29</v>
      </c>
      <c r="C2" s="4" t="s">
        <v>29</v>
      </c>
      <c r="D2" s="4" t="s">
        <v>29</v>
      </c>
      <c r="E2" s="4" t="s">
        <v>29</v>
      </c>
      <c r="F2" s="4" t="s">
        <v>29</v>
      </c>
      <c r="G2" s="4" t="s">
        <v>29</v>
      </c>
      <c r="H2" s="4" t="s">
        <v>29</v>
      </c>
      <c r="I2" s="4" t="s">
        <v>29</v>
      </c>
      <c r="J2" s="8" t="s">
        <v>80</v>
      </c>
      <c r="K2" s="8"/>
      <c r="L2" s="4" t="s">
        <v>94</v>
      </c>
      <c r="M2" s="13" t="s">
        <v>33</v>
      </c>
      <c r="N2" s="4"/>
      <c r="O2" s="4"/>
      <c r="P2" s="4" t="s">
        <v>123</v>
      </c>
      <c r="Q2" s="2"/>
      <c r="R2" s="2"/>
      <c r="S2" s="4" t="s">
        <v>29</v>
      </c>
    </row>
    <row r="3" spans="1:19" x14ac:dyDescent="0.3">
      <c r="A3" s="2" t="s">
        <v>1</v>
      </c>
      <c r="B3" s="4" t="s">
        <v>29</v>
      </c>
      <c r="C3" s="4" t="s">
        <v>29</v>
      </c>
      <c r="D3" s="4" t="s">
        <v>29</v>
      </c>
      <c r="E3" s="4" t="s">
        <v>29</v>
      </c>
      <c r="F3" s="4" t="s">
        <v>29</v>
      </c>
      <c r="G3" s="4" t="s">
        <v>29</v>
      </c>
      <c r="H3" s="4" t="s">
        <v>29</v>
      </c>
      <c r="I3" s="4" t="s">
        <v>29</v>
      </c>
      <c r="J3" s="12" t="s">
        <v>33</v>
      </c>
      <c r="K3" s="8"/>
      <c r="L3" s="4"/>
      <c r="M3" s="4"/>
      <c r="N3" s="4"/>
      <c r="O3" s="4"/>
      <c r="P3" s="4" t="s">
        <v>123</v>
      </c>
      <c r="Q3" s="2"/>
      <c r="R3" s="2"/>
      <c r="S3" s="4" t="s">
        <v>29</v>
      </c>
    </row>
    <row r="4" spans="1:19" x14ac:dyDescent="0.3">
      <c r="A4" s="2" t="s">
        <v>2</v>
      </c>
      <c r="B4" s="4" t="s">
        <v>29</v>
      </c>
      <c r="C4" s="4" t="s">
        <v>29</v>
      </c>
      <c r="D4" s="4" t="s">
        <v>29</v>
      </c>
      <c r="E4" s="4" t="s">
        <v>29</v>
      </c>
      <c r="F4" s="4" t="s">
        <v>29</v>
      </c>
      <c r="G4" s="4" t="s">
        <v>29</v>
      </c>
      <c r="H4" s="4" t="s">
        <v>29</v>
      </c>
      <c r="I4" s="4" t="s">
        <v>29</v>
      </c>
      <c r="J4" s="8" t="s">
        <v>81</v>
      </c>
      <c r="K4" s="8"/>
      <c r="L4" s="4" t="s">
        <v>95</v>
      </c>
      <c r="M4" s="13" t="s">
        <v>33</v>
      </c>
      <c r="N4" s="4"/>
      <c r="O4" s="4"/>
      <c r="P4" s="4" t="s">
        <v>123</v>
      </c>
      <c r="Q4" s="2"/>
      <c r="R4" s="2"/>
      <c r="S4" s="4" t="s">
        <v>29</v>
      </c>
    </row>
    <row r="5" spans="1:19" x14ac:dyDescent="0.3">
      <c r="A5" s="2" t="s">
        <v>3</v>
      </c>
      <c r="B5" s="4" t="s">
        <v>29</v>
      </c>
      <c r="C5" s="4" t="s">
        <v>29</v>
      </c>
      <c r="D5" s="4" t="s">
        <v>29</v>
      </c>
      <c r="E5" s="4" t="s">
        <v>29</v>
      </c>
      <c r="F5" s="4" t="s">
        <v>29</v>
      </c>
      <c r="G5" s="4" t="s">
        <v>29</v>
      </c>
      <c r="H5" s="4" t="s">
        <v>29</v>
      </c>
      <c r="I5" s="4" t="s">
        <v>29</v>
      </c>
      <c r="J5" s="8" t="s">
        <v>82</v>
      </c>
      <c r="K5" s="8"/>
      <c r="L5" s="4" t="s">
        <v>96</v>
      </c>
      <c r="M5" s="13" t="s">
        <v>33</v>
      </c>
      <c r="N5" s="4"/>
      <c r="O5" s="4"/>
      <c r="P5" s="4" t="s">
        <v>123</v>
      </c>
      <c r="Q5" s="2"/>
      <c r="R5" s="2"/>
      <c r="S5" s="4" t="s">
        <v>29</v>
      </c>
    </row>
    <row r="6" spans="1:19" x14ac:dyDescent="0.3">
      <c r="A6" s="2" t="s">
        <v>4</v>
      </c>
      <c r="B6" s="4" t="s">
        <v>29</v>
      </c>
      <c r="C6" s="4" t="s">
        <v>29</v>
      </c>
      <c r="D6" s="4" t="s">
        <v>29</v>
      </c>
      <c r="E6" s="4" t="s">
        <v>29</v>
      </c>
      <c r="F6" s="4" t="s">
        <v>29</v>
      </c>
      <c r="G6" s="4" t="s">
        <v>29</v>
      </c>
      <c r="H6" s="4" t="s">
        <v>29</v>
      </c>
      <c r="I6" s="4" t="s">
        <v>29</v>
      </c>
      <c r="J6" s="12" t="s">
        <v>33</v>
      </c>
      <c r="K6" s="8"/>
      <c r="L6" s="4"/>
      <c r="M6" s="4"/>
      <c r="N6" s="4"/>
      <c r="O6" s="4"/>
      <c r="P6" s="4" t="s">
        <v>123</v>
      </c>
      <c r="Q6" s="2"/>
      <c r="R6" s="2"/>
      <c r="S6" s="4" t="s">
        <v>29</v>
      </c>
    </row>
    <row r="7" spans="1:19" x14ac:dyDescent="0.3">
      <c r="A7" s="2" t="s">
        <v>5</v>
      </c>
      <c r="B7" s="4" t="s">
        <v>29</v>
      </c>
      <c r="C7" s="4" t="s">
        <v>29</v>
      </c>
      <c r="D7" s="4" t="s">
        <v>29</v>
      </c>
      <c r="E7" s="4" t="s">
        <v>29</v>
      </c>
      <c r="F7" s="4" t="s">
        <v>29</v>
      </c>
      <c r="G7" s="4" t="s">
        <v>29</v>
      </c>
      <c r="H7" s="4" t="s">
        <v>29</v>
      </c>
      <c r="I7" s="4" t="s">
        <v>29</v>
      </c>
      <c r="J7" s="12" t="s">
        <v>33</v>
      </c>
      <c r="K7" s="8"/>
      <c r="L7" s="4"/>
      <c r="M7" s="4"/>
      <c r="N7" s="4"/>
      <c r="O7" s="4"/>
      <c r="P7" s="4" t="s">
        <v>123</v>
      </c>
      <c r="Q7" s="2"/>
      <c r="R7" s="2"/>
      <c r="S7" s="4" t="s">
        <v>29</v>
      </c>
    </row>
    <row r="8" spans="1:19" x14ac:dyDescent="0.3">
      <c r="A8" s="2" t="s">
        <v>6</v>
      </c>
      <c r="B8" s="4" t="s">
        <v>29</v>
      </c>
      <c r="C8" s="4" t="s">
        <v>29</v>
      </c>
      <c r="D8" s="4" t="s">
        <v>29</v>
      </c>
      <c r="E8" s="4" t="s">
        <v>29</v>
      </c>
      <c r="F8" s="4" t="s">
        <v>29</v>
      </c>
      <c r="G8" s="4" t="s">
        <v>29</v>
      </c>
      <c r="H8" s="4" t="s">
        <v>29</v>
      </c>
      <c r="I8" s="4" t="s">
        <v>29</v>
      </c>
      <c r="J8" s="8" t="s">
        <v>78</v>
      </c>
      <c r="K8" s="8"/>
      <c r="L8" s="4" t="s">
        <v>92</v>
      </c>
      <c r="M8" s="13" t="s">
        <v>33</v>
      </c>
      <c r="N8" s="4"/>
      <c r="O8" s="4"/>
      <c r="P8" s="4" t="s">
        <v>123</v>
      </c>
      <c r="Q8" s="2"/>
      <c r="R8" s="2"/>
      <c r="S8" s="4" t="s">
        <v>29</v>
      </c>
    </row>
    <row r="9" spans="1:19" x14ac:dyDescent="0.3">
      <c r="A9" s="2" t="s">
        <v>7</v>
      </c>
      <c r="B9" s="4" t="s">
        <v>29</v>
      </c>
      <c r="C9" s="4" t="s">
        <v>29</v>
      </c>
      <c r="D9" s="4" t="s">
        <v>29</v>
      </c>
      <c r="E9" s="4" t="s">
        <v>29</v>
      </c>
      <c r="F9" s="4" t="s">
        <v>29</v>
      </c>
      <c r="G9" s="4" t="s">
        <v>29</v>
      </c>
      <c r="H9" s="4" t="s">
        <v>29</v>
      </c>
      <c r="I9" s="4" t="s">
        <v>29</v>
      </c>
      <c r="J9" s="8" t="s">
        <v>79</v>
      </c>
      <c r="K9" s="102" t="s">
        <v>97</v>
      </c>
      <c r="L9" s="4" t="s">
        <v>93</v>
      </c>
      <c r="M9" s="13" t="s">
        <v>33</v>
      </c>
      <c r="N9" s="4"/>
      <c r="O9" s="4"/>
      <c r="P9" s="4" t="s">
        <v>123</v>
      </c>
      <c r="Q9" s="2"/>
      <c r="R9" s="2"/>
      <c r="S9" s="4" t="s">
        <v>29</v>
      </c>
    </row>
    <row r="10" spans="1:19" x14ac:dyDescent="0.3">
      <c r="A10" s="2" t="s">
        <v>8</v>
      </c>
      <c r="B10" s="4" t="s">
        <v>29</v>
      </c>
      <c r="C10" s="4" t="s">
        <v>29</v>
      </c>
      <c r="D10" s="4" t="s">
        <v>29</v>
      </c>
      <c r="E10" s="4" t="s">
        <v>29</v>
      </c>
      <c r="F10" s="4" t="s">
        <v>29</v>
      </c>
      <c r="G10" s="4" t="s">
        <v>29</v>
      </c>
      <c r="H10" s="4" t="s">
        <v>29</v>
      </c>
      <c r="I10" s="4" t="s">
        <v>29</v>
      </c>
      <c r="J10" s="12" t="s">
        <v>33</v>
      </c>
      <c r="K10" s="103"/>
      <c r="L10" s="4"/>
      <c r="M10" s="4"/>
      <c r="N10" s="4"/>
      <c r="O10" s="4"/>
      <c r="P10" s="46" t="s">
        <v>125</v>
      </c>
      <c r="Q10" s="2" t="s">
        <v>194</v>
      </c>
      <c r="R10" s="2"/>
      <c r="S10" s="4"/>
    </row>
    <row r="11" spans="1:19" x14ac:dyDescent="0.3">
      <c r="A11" s="2" t="s">
        <v>9</v>
      </c>
      <c r="B11" s="4" t="s">
        <v>29</v>
      </c>
      <c r="C11" s="4" t="s">
        <v>29</v>
      </c>
      <c r="D11" s="4" t="s">
        <v>29</v>
      </c>
      <c r="E11" s="4" t="s">
        <v>29</v>
      </c>
      <c r="F11" s="4" t="s">
        <v>29</v>
      </c>
      <c r="G11" s="4" t="s">
        <v>29</v>
      </c>
      <c r="H11" s="4" t="s">
        <v>29</v>
      </c>
      <c r="I11" s="4" t="s">
        <v>29</v>
      </c>
      <c r="J11" s="12" t="s">
        <v>33</v>
      </c>
      <c r="K11" s="103"/>
      <c r="L11" s="4"/>
      <c r="M11" s="4"/>
      <c r="N11" s="4"/>
      <c r="O11" s="4"/>
      <c r="P11" s="46" t="s">
        <v>125</v>
      </c>
      <c r="Q11" s="2" t="s">
        <v>193</v>
      </c>
      <c r="R11" s="2"/>
      <c r="S11" s="4"/>
    </row>
    <row r="12" spans="1:19" x14ac:dyDescent="0.3">
      <c r="A12" s="2" t="s">
        <v>211</v>
      </c>
      <c r="B12" s="4"/>
      <c r="C12" s="4"/>
      <c r="D12" s="108" t="s">
        <v>213</v>
      </c>
      <c r="E12" s="4" t="s">
        <v>29</v>
      </c>
      <c r="F12" s="4" t="s">
        <v>29</v>
      </c>
      <c r="G12" s="4" t="s">
        <v>29</v>
      </c>
      <c r="H12" s="4" t="s">
        <v>29</v>
      </c>
      <c r="I12" s="4" t="s">
        <v>222</v>
      </c>
      <c r="J12" s="12" t="s">
        <v>33</v>
      </c>
      <c r="K12" s="103"/>
      <c r="L12" s="4"/>
      <c r="M12" s="4"/>
      <c r="N12" s="4"/>
      <c r="O12" s="4"/>
      <c r="P12" s="5"/>
      <c r="Q12" s="2"/>
      <c r="R12" s="2"/>
      <c r="S12" s="4"/>
    </row>
    <row r="13" spans="1:19" x14ac:dyDescent="0.3">
      <c r="A13" s="2" t="s">
        <v>212</v>
      </c>
      <c r="B13" s="4"/>
      <c r="C13" s="4"/>
      <c r="D13" s="109"/>
      <c r="E13" s="4" t="s">
        <v>29</v>
      </c>
      <c r="F13" s="4" t="s">
        <v>29</v>
      </c>
      <c r="G13" s="4" t="s">
        <v>29</v>
      </c>
      <c r="H13" s="4" t="s">
        <v>29</v>
      </c>
      <c r="I13" s="4" t="s">
        <v>222</v>
      </c>
      <c r="J13" s="12" t="s">
        <v>33</v>
      </c>
      <c r="K13" s="103"/>
      <c r="L13" s="4"/>
      <c r="M13" s="4"/>
      <c r="N13" s="4"/>
      <c r="O13" s="4"/>
      <c r="P13" s="5"/>
      <c r="Q13" s="2"/>
      <c r="R13" s="2"/>
      <c r="S13" s="4"/>
    </row>
    <row r="14" spans="1:19" x14ac:dyDescent="0.3">
      <c r="A14" s="2"/>
      <c r="B14" s="4"/>
      <c r="C14" s="4"/>
      <c r="D14" s="4"/>
      <c r="E14" s="4"/>
      <c r="F14" s="4"/>
      <c r="G14" s="4"/>
      <c r="H14" s="4"/>
      <c r="I14" s="4"/>
      <c r="J14" s="8"/>
      <c r="K14" s="103"/>
      <c r="L14" s="4"/>
      <c r="M14" s="4"/>
      <c r="N14" s="4"/>
      <c r="O14" s="4"/>
      <c r="P14" s="4"/>
      <c r="Q14" s="2"/>
      <c r="R14" s="2"/>
      <c r="S14" s="4"/>
    </row>
    <row r="15" spans="1:19" x14ac:dyDescent="0.3">
      <c r="A15" s="2" t="s">
        <v>10</v>
      </c>
      <c r="B15" s="4" t="s">
        <v>29</v>
      </c>
      <c r="C15" s="4" t="s">
        <v>29</v>
      </c>
      <c r="D15" s="4" t="s">
        <v>29</v>
      </c>
      <c r="E15" s="4" t="s">
        <v>29</v>
      </c>
      <c r="F15" s="4" t="s">
        <v>29</v>
      </c>
      <c r="G15" s="4" t="s">
        <v>29</v>
      </c>
      <c r="H15" s="4" t="s">
        <v>29</v>
      </c>
      <c r="I15" s="4" t="s">
        <v>29</v>
      </c>
      <c r="J15" s="12" t="s">
        <v>33</v>
      </c>
      <c r="K15" s="103"/>
      <c r="L15" s="4"/>
      <c r="M15" s="4"/>
      <c r="N15" s="4"/>
      <c r="O15" s="4"/>
      <c r="P15" s="46" t="s">
        <v>125</v>
      </c>
      <c r="Q15" s="2" t="s">
        <v>196</v>
      </c>
      <c r="R15" s="2"/>
      <c r="S15" s="4"/>
    </row>
    <row r="16" spans="1:19" x14ac:dyDescent="0.3">
      <c r="A16" s="2" t="s">
        <v>214</v>
      </c>
      <c r="B16" s="4"/>
      <c r="C16" s="4"/>
      <c r="D16" s="4"/>
      <c r="E16" s="4" t="s">
        <v>29</v>
      </c>
      <c r="F16" s="5" t="s">
        <v>29</v>
      </c>
      <c r="G16" s="4" t="s">
        <v>216</v>
      </c>
      <c r="H16" s="4"/>
      <c r="I16" s="4"/>
      <c r="J16" s="10"/>
      <c r="K16" s="103"/>
      <c r="L16" s="4"/>
      <c r="M16" s="4"/>
      <c r="N16" s="4"/>
      <c r="O16" s="4"/>
      <c r="P16" s="5"/>
      <c r="Q16" s="2"/>
      <c r="R16" s="2"/>
      <c r="S16" s="4"/>
    </row>
    <row r="17" spans="1:19" x14ac:dyDescent="0.3">
      <c r="A17" s="2" t="s">
        <v>217</v>
      </c>
      <c r="B17" s="4"/>
      <c r="C17" s="4"/>
      <c r="D17" s="4"/>
      <c r="E17" s="4" t="s">
        <v>218</v>
      </c>
      <c r="F17" s="5" t="s">
        <v>29</v>
      </c>
      <c r="G17" s="4" t="s">
        <v>216</v>
      </c>
      <c r="H17" s="4"/>
      <c r="I17" s="4"/>
      <c r="J17" s="10"/>
      <c r="K17" s="103"/>
      <c r="L17" s="4"/>
      <c r="M17" s="4"/>
      <c r="N17" s="4"/>
      <c r="O17" s="4"/>
      <c r="P17" s="5"/>
      <c r="Q17" s="2"/>
      <c r="R17" s="2"/>
      <c r="S17" s="4"/>
    </row>
    <row r="18" spans="1:19" x14ac:dyDescent="0.3">
      <c r="A18" s="2" t="s">
        <v>220</v>
      </c>
      <c r="B18" s="4"/>
      <c r="C18" s="4"/>
      <c r="D18" s="4"/>
      <c r="E18" s="4" t="s">
        <v>218</v>
      </c>
      <c r="F18" s="77" t="s">
        <v>227</v>
      </c>
      <c r="G18" s="4" t="s">
        <v>29</v>
      </c>
      <c r="H18" s="4" t="s">
        <v>29</v>
      </c>
      <c r="I18" s="4" t="s">
        <v>222</v>
      </c>
      <c r="J18" s="10"/>
      <c r="K18" s="103"/>
      <c r="L18" s="4"/>
      <c r="M18" s="4"/>
      <c r="N18" s="4"/>
      <c r="O18" s="4"/>
      <c r="P18" s="46" t="s">
        <v>125</v>
      </c>
      <c r="Q18" s="2" t="s">
        <v>280</v>
      </c>
      <c r="R18" s="2"/>
      <c r="S18" s="4"/>
    </row>
    <row r="19" spans="1:19" x14ac:dyDescent="0.3">
      <c r="A19" s="2" t="s">
        <v>281</v>
      </c>
      <c r="B19" s="4"/>
      <c r="C19" s="4"/>
      <c r="D19" s="4"/>
      <c r="E19" s="4"/>
      <c r="F19" s="5" t="s">
        <v>282</v>
      </c>
      <c r="G19" s="4"/>
      <c r="H19" s="4"/>
      <c r="I19" s="4"/>
      <c r="J19" s="10"/>
      <c r="K19" s="103"/>
      <c r="L19" s="4"/>
      <c r="M19" s="4"/>
      <c r="N19" s="4"/>
      <c r="O19" s="4"/>
      <c r="P19" s="46" t="s">
        <v>125</v>
      </c>
      <c r="Q19" s="2" t="s">
        <v>283</v>
      </c>
      <c r="R19" s="2"/>
      <c r="S19" s="4"/>
    </row>
    <row r="20" spans="1:19" x14ac:dyDescent="0.3">
      <c r="A20" s="2" t="s">
        <v>11</v>
      </c>
      <c r="B20" s="4" t="s">
        <v>29</v>
      </c>
      <c r="C20" s="4" t="s">
        <v>29</v>
      </c>
      <c r="D20" s="4" t="s">
        <v>29</v>
      </c>
      <c r="E20" s="4" t="s">
        <v>29</v>
      </c>
      <c r="F20" s="4" t="s">
        <v>29</v>
      </c>
      <c r="G20" s="4" t="s">
        <v>29</v>
      </c>
      <c r="H20" s="4" t="s">
        <v>29</v>
      </c>
      <c r="I20" s="4" t="s">
        <v>29</v>
      </c>
      <c r="J20" s="12" t="s">
        <v>33</v>
      </c>
      <c r="K20" s="103"/>
      <c r="L20" s="4"/>
      <c r="M20" s="4"/>
      <c r="N20" s="4"/>
      <c r="O20" s="4"/>
      <c r="P20" s="4" t="s">
        <v>123</v>
      </c>
      <c r="Q20" s="2"/>
      <c r="R20" s="2"/>
      <c r="S20" s="4" t="s">
        <v>29</v>
      </c>
    </row>
    <row r="21" spans="1:19" x14ac:dyDescent="0.3">
      <c r="A21" s="2" t="s">
        <v>12</v>
      </c>
      <c r="B21" s="4" t="s">
        <v>29</v>
      </c>
      <c r="C21" s="4" t="s">
        <v>29</v>
      </c>
      <c r="D21" s="4" t="s">
        <v>29</v>
      </c>
      <c r="E21" s="4" t="s">
        <v>29</v>
      </c>
      <c r="F21" s="4" t="s">
        <v>29</v>
      </c>
      <c r="G21" s="4" t="s">
        <v>29</v>
      </c>
      <c r="H21" s="4" t="s">
        <v>29</v>
      </c>
      <c r="I21" s="4" t="s">
        <v>29</v>
      </c>
      <c r="J21" s="12" t="s">
        <v>33</v>
      </c>
      <c r="K21" s="103"/>
      <c r="L21" s="4"/>
      <c r="M21" s="4"/>
      <c r="N21" s="4"/>
      <c r="O21" s="4"/>
      <c r="P21" s="4" t="s">
        <v>123</v>
      </c>
      <c r="Q21" s="2"/>
      <c r="R21" s="2"/>
      <c r="S21" s="4" t="s">
        <v>29</v>
      </c>
    </row>
    <row r="22" spans="1:19" x14ac:dyDescent="0.3">
      <c r="A22" s="2" t="s">
        <v>13</v>
      </c>
      <c r="B22" s="4" t="s">
        <v>29</v>
      </c>
      <c r="C22" s="4" t="s">
        <v>29</v>
      </c>
      <c r="D22" s="4" t="s">
        <v>29</v>
      </c>
      <c r="E22" s="4" t="s">
        <v>29</v>
      </c>
      <c r="F22" s="4" t="s">
        <v>29</v>
      </c>
      <c r="G22" s="4" t="s">
        <v>29</v>
      </c>
      <c r="H22" s="4" t="s">
        <v>29</v>
      </c>
      <c r="I22" s="4" t="s">
        <v>29</v>
      </c>
      <c r="J22" s="8" t="s">
        <v>35</v>
      </c>
      <c r="K22" s="104"/>
      <c r="L22" s="4" t="s">
        <v>37</v>
      </c>
      <c r="M22" s="4" t="s">
        <v>35</v>
      </c>
      <c r="N22" s="4" t="s">
        <v>89</v>
      </c>
      <c r="O22" s="13" t="s">
        <v>33</v>
      </c>
      <c r="P22" s="46" t="s">
        <v>125</v>
      </c>
      <c r="Q22" s="2" t="s">
        <v>195</v>
      </c>
      <c r="R22" s="2"/>
      <c r="S22" s="4"/>
    </row>
    <row r="23" spans="1:19" ht="15" customHeight="1" x14ac:dyDescent="0.3">
      <c r="A23" s="2" t="s">
        <v>215</v>
      </c>
      <c r="B23" s="4"/>
      <c r="C23" s="4"/>
      <c r="D23" s="4"/>
      <c r="E23" s="4" t="s">
        <v>29</v>
      </c>
      <c r="F23" s="5" t="s">
        <v>29</v>
      </c>
      <c r="G23" s="4" t="s">
        <v>216</v>
      </c>
      <c r="H23" s="4"/>
      <c r="I23" s="4"/>
      <c r="J23" s="8"/>
      <c r="K23" s="73"/>
      <c r="L23" s="4"/>
      <c r="M23" s="4"/>
      <c r="N23" s="4"/>
      <c r="O23" s="5"/>
      <c r="P23" s="5"/>
      <c r="Q23" s="2"/>
      <c r="R23" s="2"/>
      <c r="S23" s="4"/>
    </row>
    <row r="24" spans="1:19" ht="15" customHeight="1" x14ac:dyDescent="0.3">
      <c r="A24" s="2" t="s">
        <v>219</v>
      </c>
      <c r="B24" s="4"/>
      <c r="C24" s="4"/>
      <c r="D24" s="4"/>
      <c r="E24" s="4" t="s">
        <v>218</v>
      </c>
      <c r="F24" s="5"/>
      <c r="G24" s="4" t="s">
        <v>216</v>
      </c>
      <c r="H24" s="4"/>
      <c r="I24" s="4"/>
      <c r="J24" s="8"/>
      <c r="K24" s="76"/>
      <c r="L24" s="4"/>
      <c r="M24" s="4"/>
      <c r="N24" s="4"/>
      <c r="O24" s="5"/>
      <c r="P24" s="5"/>
      <c r="Q24" s="2"/>
      <c r="R24" s="2"/>
      <c r="S24" s="4"/>
    </row>
    <row r="25" spans="1:19" ht="15" customHeight="1" x14ac:dyDescent="0.3">
      <c r="A25" s="2" t="s">
        <v>221</v>
      </c>
      <c r="B25" s="4"/>
      <c r="C25" s="4"/>
      <c r="D25" s="4"/>
      <c r="E25" s="4" t="s">
        <v>29</v>
      </c>
      <c r="F25" s="5" t="s">
        <v>29</v>
      </c>
      <c r="G25" s="4">
        <v>12</v>
      </c>
      <c r="H25" s="4" t="s">
        <v>29</v>
      </c>
      <c r="I25" s="4" t="s">
        <v>29</v>
      </c>
      <c r="J25" s="8"/>
      <c r="K25" s="76"/>
      <c r="L25" s="4"/>
      <c r="M25" s="4"/>
      <c r="N25" s="4"/>
      <c r="O25" s="5"/>
      <c r="P25" s="46" t="s">
        <v>278</v>
      </c>
      <c r="Q25" s="2" t="s">
        <v>279</v>
      </c>
      <c r="R25" s="2"/>
      <c r="S25" s="4"/>
    </row>
    <row r="26" spans="1:19" x14ac:dyDescent="0.3">
      <c r="A26" s="2" t="s">
        <v>14</v>
      </c>
      <c r="B26" s="4" t="s">
        <v>29</v>
      </c>
      <c r="C26" s="4" t="s">
        <v>29</v>
      </c>
      <c r="D26" s="4" t="s">
        <v>29</v>
      </c>
      <c r="E26" s="4" t="s">
        <v>29</v>
      </c>
      <c r="F26" s="4" t="s">
        <v>29</v>
      </c>
      <c r="G26" s="4" t="s">
        <v>29</v>
      </c>
      <c r="H26" s="4" t="s">
        <v>29</v>
      </c>
      <c r="I26" s="4" t="s">
        <v>29</v>
      </c>
      <c r="J26" s="12" t="s">
        <v>33</v>
      </c>
      <c r="K26" s="8"/>
      <c r="L26" s="4"/>
      <c r="M26" s="4"/>
      <c r="N26" s="4"/>
      <c r="O26" s="4"/>
      <c r="P26" s="4" t="s">
        <v>123</v>
      </c>
      <c r="Q26" s="2"/>
      <c r="R26" s="2"/>
      <c r="S26" s="4" t="s">
        <v>29</v>
      </c>
    </row>
    <row r="27" spans="1:19" x14ac:dyDescent="0.3">
      <c r="A27" s="2" t="s">
        <v>15</v>
      </c>
      <c r="B27" s="4" t="s">
        <v>29</v>
      </c>
      <c r="C27" s="4" t="s">
        <v>29</v>
      </c>
      <c r="D27" s="4" t="s">
        <v>29</v>
      </c>
      <c r="E27" s="4" t="s">
        <v>29</v>
      </c>
      <c r="F27" s="4" t="s">
        <v>29</v>
      </c>
      <c r="G27" s="4" t="s">
        <v>29</v>
      </c>
      <c r="H27" s="4" t="s">
        <v>29</v>
      </c>
      <c r="I27" s="4" t="s">
        <v>29</v>
      </c>
      <c r="J27" s="12" t="s">
        <v>33</v>
      </c>
      <c r="K27" s="8"/>
      <c r="L27" s="4"/>
      <c r="M27" s="4"/>
      <c r="N27" s="4"/>
      <c r="O27" s="4"/>
      <c r="P27" s="4" t="s">
        <v>123</v>
      </c>
      <c r="Q27" s="2"/>
      <c r="R27" s="2"/>
      <c r="S27" s="4" t="s">
        <v>29</v>
      </c>
    </row>
    <row r="28" spans="1:19" x14ac:dyDescent="0.3">
      <c r="A28" s="2" t="s">
        <v>209</v>
      </c>
      <c r="B28" s="4" t="s">
        <v>29</v>
      </c>
      <c r="C28" s="4" t="s">
        <v>29</v>
      </c>
      <c r="D28" s="4" t="s">
        <v>29</v>
      </c>
      <c r="E28" s="4" t="s">
        <v>29</v>
      </c>
      <c r="F28" s="4" t="s">
        <v>29</v>
      </c>
      <c r="G28" s="4" t="s">
        <v>29</v>
      </c>
      <c r="H28" s="4" t="s">
        <v>29</v>
      </c>
      <c r="I28" s="4" t="s">
        <v>29</v>
      </c>
      <c r="J28" s="9" t="s">
        <v>34</v>
      </c>
      <c r="K28" s="10"/>
      <c r="L28" s="4"/>
      <c r="M28" s="4"/>
      <c r="N28" s="4"/>
      <c r="O28" s="4"/>
      <c r="P28" s="4"/>
      <c r="Q28" s="2"/>
      <c r="R28" s="2"/>
      <c r="S28" s="4"/>
    </row>
    <row r="29" spans="1:19" x14ac:dyDescent="0.3">
      <c r="A29" s="2" t="s">
        <v>117</v>
      </c>
      <c r="B29" s="4"/>
      <c r="C29" s="4"/>
      <c r="D29" s="4"/>
      <c r="E29" s="4"/>
      <c r="F29" s="4"/>
      <c r="G29" s="4" t="s">
        <v>29</v>
      </c>
      <c r="H29" s="4" t="s">
        <v>29</v>
      </c>
      <c r="I29" s="4" t="s">
        <v>222</v>
      </c>
      <c r="J29" s="9" t="s">
        <v>116</v>
      </c>
      <c r="K29" s="10"/>
      <c r="L29" s="4"/>
      <c r="M29" s="4"/>
      <c r="N29" s="4"/>
      <c r="O29" s="10"/>
      <c r="P29" s="4"/>
      <c r="Q29" s="2"/>
      <c r="R29" s="2"/>
      <c r="S29" s="4"/>
    </row>
    <row r="30" spans="1:19" x14ac:dyDescent="0.3">
      <c r="A30" s="2" t="s">
        <v>119</v>
      </c>
      <c r="B30" s="4"/>
      <c r="C30" s="4"/>
      <c r="D30" s="4"/>
      <c r="E30" s="4"/>
      <c r="F30" s="4"/>
      <c r="G30" s="4" t="s">
        <v>29</v>
      </c>
      <c r="H30" s="4" t="s">
        <v>29</v>
      </c>
      <c r="I30" s="4" t="s">
        <v>222</v>
      </c>
      <c r="J30" s="10" t="s">
        <v>121</v>
      </c>
      <c r="K30" s="10"/>
      <c r="L30" s="4" t="s">
        <v>124</v>
      </c>
      <c r="M30" s="13" t="s">
        <v>33</v>
      </c>
      <c r="N30" s="4"/>
      <c r="O30" s="10"/>
      <c r="P30" s="4" t="s">
        <v>123</v>
      </c>
      <c r="Q30" s="2"/>
      <c r="R30" s="2"/>
      <c r="S30" s="4" t="s">
        <v>29</v>
      </c>
    </row>
    <row r="31" spans="1:19" x14ac:dyDescent="0.3">
      <c r="A31" s="2" t="s">
        <v>210</v>
      </c>
      <c r="B31" s="4" t="s">
        <v>29</v>
      </c>
      <c r="C31" s="4" t="s">
        <v>29</v>
      </c>
      <c r="D31" s="4" t="s">
        <v>29</v>
      </c>
      <c r="E31" s="4" t="s">
        <v>29</v>
      </c>
      <c r="F31" s="4" t="s">
        <v>29</v>
      </c>
      <c r="G31" s="4" t="s">
        <v>29</v>
      </c>
      <c r="H31" s="4" t="s">
        <v>29</v>
      </c>
      <c r="I31" s="4" t="s">
        <v>29</v>
      </c>
      <c r="J31" s="9" t="s">
        <v>34</v>
      </c>
      <c r="K31" s="10"/>
      <c r="L31" s="4"/>
      <c r="M31" s="4"/>
      <c r="O31" s="4"/>
      <c r="P31" s="4"/>
      <c r="Q31" s="2"/>
      <c r="R31" s="2"/>
      <c r="S31" s="4"/>
    </row>
    <row r="32" spans="1:19" x14ac:dyDescent="0.3">
      <c r="A32" s="2" t="s">
        <v>118</v>
      </c>
      <c r="B32" s="4"/>
      <c r="C32" s="4"/>
      <c r="D32" s="4"/>
      <c r="E32" s="4"/>
      <c r="F32" s="4"/>
      <c r="G32" s="4" t="s">
        <v>29</v>
      </c>
      <c r="H32" s="4" t="s">
        <v>29</v>
      </c>
      <c r="I32" s="4" t="s">
        <v>222</v>
      </c>
      <c r="J32" s="9" t="s">
        <v>116</v>
      </c>
      <c r="K32" s="10"/>
      <c r="L32" s="4"/>
      <c r="M32" s="4"/>
      <c r="N32" s="4"/>
      <c r="O32" s="10"/>
      <c r="P32" s="4"/>
      <c r="Q32" s="2"/>
      <c r="R32" s="2"/>
      <c r="S32" s="4"/>
    </row>
    <row r="33" spans="1:19" x14ac:dyDescent="0.3">
      <c r="A33" s="2" t="s">
        <v>120</v>
      </c>
      <c r="B33" s="4"/>
      <c r="C33" s="4"/>
      <c r="D33" s="4"/>
      <c r="E33" s="4"/>
      <c r="F33" s="4"/>
      <c r="G33" s="4" t="s">
        <v>29</v>
      </c>
      <c r="H33" s="4" t="s">
        <v>29</v>
      </c>
      <c r="I33" s="4" t="s">
        <v>222</v>
      </c>
      <c r="J33" s="10" t="s">
        <v>122</v>
      </c>
      <c r="K33" s="10"/>
      <c r="L33" s="4" t="s">
        <v>124</v>
      </c>
      <c r="M33" s="13" t="s">
        <v>33</v>
      </c>
      <c r="N33" s="4"/>
      <c r="O33" s="10"/>
      <c r="P33" s="4" t="s">
        <v>123</v>
      </c>
      <c r="Q33" s="2"/>
      <c r="R33" s="2"/>
      <c r="S33" s="4" t="s">
        <v>29</v>
      </c>
    </row>
    <row r="34" spans="1:19" x14ac:dyDescent="0.3">
      <c r="A34" s="2"/>
      <c r="B34" s="4"/>
      <c r="C34" s="4"/>
      <c r="D34" s="4"/>
      <c r="E34" s="4"/>
      <c r="F34" s="4"/>
      <c r="G34" s="4"/>
      <c r="H34" s="4"/>
      <c r="I34" s="4"/>
      <c r="J34" s="8"/>
      <c r="K34" s="8"/>
      <c r="L34" s="4"/>
      <c r="M34" s="4"/>
      <c r="N34" s="4"/>
      <c r="O34" s="4"/>
      <c r="P34" s="4"/>
      <c r="Q34" s="2"/>
      <c r="R34" s="2"/>
      <c r="S34" s="4"/>
    </row>
    <row r="35" spans="1:19" x14ac:dyDescent="0.3">
      <c r="A35" s="2" t="s">
        <v>18</v>
      </c>
      <c r="B35" s="4" t="s">
        <v>29</v>
      </c>
      <c r="C35" s="4" t="s">
        <v>29</v>
      </c>
      <c r="D35" s="4" t="s">
        <v>29</v>
      </c>
      <c r="E35" s="4" t="s">
        <v>29</v>
      </c>
      <c r="F35" s="4" t="s">
        <v>29</v>
      </c>
      <c r="G35" s="4" t="s">
        <v>29</v>
      </c>
      <c r="H35" s="4" t="s">
        <v>29</v>
      </c>
      <c r="I35" s="4" t="s">
        <v>29</v>
      </c>
      <c r="J35" s="12" t="s">
        <v>33</v>
      </c>
      <c r="K35" s="8"/>
      <c r="L35" s="4"/>
      <c r="M35" s="4"/>
      <c r="N35" s="14"/>
      <c r="O35" s="14"/>
      <c r="P35" s="4" t="s">
        <v>123</v>
      </c>
      <c r="Q35" s="2"/>
      <c r="R35" s="2"/>
      <c r="S35" s="4" t="s">
        <v>29</v>
      </c>
    </row>
    <row r="36" spans="1:19" x14ac:dyDescent="0.3">
      <c r="A36" s="2" t="s">
        <v>19</v>
      </c>
      <c r="B36" s="4" t="s">
        <v>29</v>
      </c>
      <c r="C36" s="4" t="s">
        <v>29</v>
      </c>
      <c r="D36" s="4" t="s">
        <v>29</v>
      </c>
      <c r="E36" s="4" t="s">
        <v>29</v>
      </c>
      <c r="F36" s="4" t="s">
        <v>29</v>
      </c>
      <c r="G36" s="4" t="s">
        <v>29</v>
      </c>
      <c r="H36" s="4" t="s">
        <v>29</v>
      </c>
      <c r="I36" s="4" t="s">
        <v>29</v>
      </c>
      <c r="J36" s="8" t="s">
        <v>71</v>
      </c>
      <c r="K36" s="8"/>
      <c r="L36" s="4" t="s">
        <v>74</v>
      </c>
      <c r="M36" s="1" t="s">
        <v>85</v>
      </c>
      <c r="N36" s="4" t="s">
        <v>86</v>
      </c>
      <c r="O36" s="21" t="s">
        <v>33</v>
      </c>
      <c r="P36" s="4" t="s">
        <v>123</v>
      </c>
      <c r="Q36" s="2"/>
      <c r="R36" s="2"/>
      <c r="S36" s="4" t="s">
        <v>29</v>
      </c>
    </row>
    <row r="37" spans="1:19" x14ac:dyDescent="0.3">
      <c r="A37" s="2" t="s">
        <v>20</v>
      </c>
      <c r="B37" s="4" t="s">
        <v>29</v>
      </c>
      <c r="C37" s="4" t="s">
        <v>29</v>
      </c>
      <c r="D37" s="4" t="s">
        <v>29</v>
      </c>
      <c r="E37" s="4" t="s">
        <v>29</v>
      </c>
      <c r="F37" s="4" t="s">
        <v>29</v>
      </c>
      <c r="G37" s="4" t="s">
        <v>29</v>
      </c>
      <c r="H37" s="4" t="s">
        <v>29</v>
      </c>
      <c r="I37" s="4" t="s">
        <v>29</v>
      </c>
      <c r="J37" s="12" t="s">
        <v>33</v>
      </c>
      <c r="K37" s="8"/>
      <c r="L37" s="4"/>
      <c r="M37" s="4"/>
      <c r="N37" s="15"/>
      <c r="O37" s="15"/>
      <c r="P37" s="4" t="s">
        <v>123</v>
      </c>
      <c r="Q37" s="2"/>
      <c r="R37" s="2"/>
      <c r="S37" s="4" t="s">
        <v>29</v>
      </c>
    </row>
    <row r="38" spans="1:19" x14ac:dyDescent="0.3">
      <c r="A38" s="2" t="s">
        <v>21</v>
      </c>
      <c r="B38" s="4" t="s">
        <v>29</v>
      </c>
      <c r="C38" s="4" t="s">
        <v>29</v>
      </c>
      <c r="D38" s="4" t="s">
        <v>29</v>
      </c>
      <c r="E38" s="4" t="s">
        <v>29</v>
      </c>
      <c r="F38" s="4" t="s">
        <v>29</v>
      </c>
      <c r="G38" s="4" t="s">
        <v>29</v>
      </c>
      <c r="H38" s="4" t="s">
        <v>29</v>
      </c>
      <c r="I38" s="4" t="s">
        <v>29</v>
      </c>
      <c r="J38" s="8" t="s">
        <v>72</v>
      </c>
      <c r="K38" s="8"/>
      <c r="L38" s="4" t="s">
        <v>75</v>
      </c>
      <c r="M38" s="4" t="s">
        <v>87</v>
      </c>
      <c r="N38" s="4" t="s">
        <v>88</v>
      </c>
      <c r="O38" s="13" t="s">
        <v>33</v>
      </c>
      <c r="P38" s="4" t="s">
        <v>123</v>
      </c>
      <c r="Q38" s="2"/>
      <c r="R38" s="2"/>
      <c r="S38" s="4" t="s">
        <v>29</v>
      </c>
    </row>
    <row r="39" spans="1:19" x14ac:dyDescent="0.3">
      <c r="A39" s="2" t="s">
        <v>22</v>
      </c>
      <c r="B39" s="4" t="s">
        <v>29</v>
      </c>
      <c r="C39" s="4" t="s">
        <v>29</v>
      </c>
      <c r="D39" s="4" t="s">
        <v>29</v>
      </c>
      <c r="E39" s="4" t="s">
        <v>29</v>
      </c>
      <c r="F39" s="4" t="s">
        <v>29</v>
      </c>
      <c r="G39" s="4" t="s">
        <v>29</v>
      </c>
      <c r="H39" s="4" t="s">
        <v>29</v>
      </c>
      <c r="I39" s="4" t="s">
        <v>29</v>
      </c>
      <c r="J39" s="12" t="s">
        <v>33</v>
      </c>
      <c r="K39" s="8"/>
      <c r="L39" s="4"/>
      <c r="M39" s="4"/>
      <c r="N39" s="4"/>
      <c r="O39" s="4"/>
      <c r="P39" s="4" t="s">
        <v>123</v>
      </c>
      <c r="Q39" s="2"/>
      <c r="R39" s="2"/>
      <c r="S39" s="4" t="s">
        <v>29</v>
      </c>
    </row>
    <row r="40" spans="1:19" x14ac:dyDescent="0.3">
      <c r="A40" s="2" t="s">
        <v>23</v>
      </c>
      <c r="B40" s="4" t="s">
        <v>29</v>
      </c>
      <c r="C40" s="4" t="s">
        <v>29</v>
      </c>
      <c r="D40" s="4" t="s">
        <v>29</v>
      </c>
      <c r="E40" s="4" t="s">
        <v>29</v>
      </c>
      <c r="F40" s="4" t="s">
        <v>29</v>
      </c>
      <c r="G40" s="4" t="s">
        <v>29</v>
      </c>
      <c r="H40" s="4" t="s">
        <v>29</v>
      </c>
      <c r="I40" s="4" t="s">
        <v>29</v>
      </c>
      <c r="J40" s="8" t="s">
        <v>36</v>
      </c>
      <c r="K40" s="8"/>
      <c r="L40" s="4" t="s">
        <v>77</v>
      </c>
      <c r="M40" s="13" t="s">
        <v>33</v>
      </c>
      <c r="N40" s="4"/>
      <c r="O40" s="4"/>
      <c r="P40" s="4" t="s">
        <v>123</v>
      </c>
      <c r="Q40" s="2"/>
      <c r="R40" s="2"/>
      <c r="S40" s="4" t="s">
        <v>29</v>
      </c>
    </row>
    <row r="41" spans="1:19" x14ac:dyDescent="0.3">
      <c r="A41" s="2" t="s">
        <v>24</v>
      </c>
      <c r="B41" s="4" t="s">
        <v>29</v>
      </c>
      <c r="C41" s="4" t="s">
        <v>29</v>
      </c>
      <c r="D41" s="4" t="s">
        <v>29</v>
      </c>
      <c r="E41" s="4" t="s">
        <v>29</v>
      </c>
      <c r="F41" s="4" t="s">
        <v>29</v>
      </c>
      <c r="G41" s="4" t="s">
        <v>29</v>
      </c>
      <c r="H41" s="4" t="s">
        <v>29</v>
      </c>
      <c r="I41" s="4" t="s">
        <v>29</v>
      </c>
      <c r="J41" s="10" t="s">
        <v>76</v>
      </c>
      <c r="K41" s="10"/>
      <c r="L41" s="4" t="s">
        <v>74</v>
      </c>
      <c r="M41" s="4" t="s">
        <v>76</v>
      </c>
      <c r="N41" s="4" t="s">
        <v>84</v>
      </c>
      <c r="O41" s="13" t="s">
        <v>33</v>
      </c>
      <c r="P41" s="4" t="s">
        <v>123</v>
      </c>
      <c r="Q41" s="2"/>
      <c r="R41" s="2"/>
      <c r="S41" s="4" t="s">
        <v>29</v>
      </c>
    </row>
    <row r="42" spans="1:19" x14ac:dyDescent="0.3">
      <c r="A42" s="2" t="s">
        <v>25</v>
      </c>
      <c r="B42" s="4" t="s">
        <v>29</v>
      </c>
      <c r="C42" s="4" t="s">
        <v>29</v>
      </c>
      <c r="D42" s="4" t="s">
        <v>29</v>
      </c>
      <c r="E42" s="4" t="s">
        <v>29</v>
      </c>
      <c r="F42" s="4" t="s">
        <v>29</v>
      </c>
      <c r="G42" s="4" t="s">
        <v>29</v>
      </c>
      <c r="H42" s="4" t="s">
        <v>29</v>
      </c>
      <c r="I42" s="4" t="s">
        <v>29</v>
      </c>
      <c r="J42" s="8" t="s">
        <v>42</v>
      </c>
      <c r="K42" s="8"/>
      <c r="L42" s="4" t="s">
        <v>77</v>
      </c>
      <c r="M42" s="13" t="s">
        <v>33</v>
      </c>
      <c r="N42" s="4"/>
      <c r="O42" s="4"/>
      <c r="P42" s="4" t="s">
        <v>123</v>
      </c>
      <c r="Q42" s="2"/>
      <c r="R42" s="2"/>
      <c r="S42" s="4" t="s">
        <v>29</v>
      </c>
    </row>
    <row r="43" spans="1:19" x14ac:dyDescent="0.3">
      <c r="A43" s="2"/>
      <c r="B43" s="4"/>
      <c r="C43" s="4"/>
      <c r="D43" s="4"/>
      <c r="E43" s="4"/>
      <c r="F43" s="4"/>
      <c r="G43" s="4"/>
      <c r="H43" s="4"/>
      <c r="I43" s="4"/>
      <c r="J43" s="8"/>
      <c r="K43" s="8"/>
      <c r="L43" s="4"/>
      <c r="M43" s="4"/>
      <c r="N43" s="4"/>
      <c r="O43" s="4"/>
      <c r="P43" s="4"/>
      <c r="Q43" s="2"/>
      <c r="R43" s="2"/>
      <c r="S43" s="4"/>
    </row>
    <row r="44" spans="1:19" x14ac:dyDescent="0.3">
      <c r="A44" s="2" t="s">
        <v>223</v>
      </c>
      <c r="B44" s="4" t="s">
        <v>224</v>
      </c>
      <c r="C44" s="4" t="s">
        <v>29</v>
      </c>
      <c r="D44" s="4" t="s">
        <v>29</v>
      </c>
      <c r="E44" s="4" t="s">
        <v>29</v>
      </c>
      <c r="F44" s="4" t="s">
        <v>29</v>
      </c>
      <c r="G44" s="4" t="s">
        <v>29</v>
      </c>
      <c r="H44" s="4" t="s">
        <v>29</v>
      </c>
      <c r="I44" s="4" t="s">
        <v>29</v>
      </c>
      <c r="J44" s="12" t="s">
        <v>33</v>
      </c>
      <c r="K44" s="8"/>
      <c r="L44" s="4"/>
      <c r="M44" s="4"/>
      <c r="N44" s="4"/>
      <c r="O44" s="4"/>
      <c r="P44" s="4" t="s">
        <v>123</v>
      </c>
      <c r="Q44" s="2"/>
      <c r="R44" s="2"/>
      <c r="S44" s="4"/>
    </row>
    <row r="45" spans="1:19" x14ac:dyDescent="0.3">
      <c r="A45" s="2" t="s">
        <v>43</v>
      </c>
      <c r="B45" s="4" t="s">
        <v>29</v>
      </c>
      <c r="C45" s="4" t="s">
        <v>29</v>
      </c>
      <c r="D45" s="4" t="s">
        <v>29</v>
      </c>
      <c r="E45" s="4" t="s">
        <v>29</v>
      </c>
      <c r="F45" s="4" t="s">
        <v>29</v>
      </c>
      <c r="G45" s="4" t="s">
        <v>29</v>
      </c>
      <c r="H45" s="4" t="s">
        <v>29</v>
      </c>
      <c r="I45" s="4" t="s">
        <v>29</v>
      </c>
      <c r="J45" s="12" t="s">
        <v>33</v>
      </c>
      <c r="K45" s="8"/>
      <c r="L45" s="4"/>
      <c r="M45" s="4"/>
      <c r="N45" s="4"/>
      <c r="O45" s="4"/>
      <c r="P45" s="4" t="s">
        <v>123</v>
      </c>
      <c r="Q45" s="2"/>
      <c r="R45" s="2"/>
      <c r="S45" s="4"/>
    </row>
    <row r="46" spans="1:19" x14ac:dyDescent="0.3">
      <c r="A46" s="2" t="s">
        <v>44</v>
      </c>
      <c r="B46" s="4" t="s">
        <v>29</v>
      </c>
      <c r="C46" s="4" t="s">
        <v>29</v>
      </c>
      <c r="D46" s="4" t="s">
        <v>29</v>
      </c>
      <c r="E46" s="4" t="s">
        <v>29</v>
      </c>
      <c r="F46" s="4" t="s">
        <v>29</v>
      </c>
      <c r="G46" s="4" t="s">
        <v>29</v>
      </c>
      <c r="H46" s="4" t="s">
        <v>29</v>
      </c>
      <c r="I46" s="4" t="s">
        <v>29</v>
      </c>
      <c r="J46" s="12" t="s">
        <v>33</v>
      </c>
      <c r="K46" s="8"/>
      <c r="L46" s="4"/>
      <c r="M46" s="4"/>
      <c r="N46" s="4"/>
      <c r="O46" s="4"/>
      <c r="P46" s="4" t="s">
        <v>123</v>
      </c>
      <c r="Q46" s="2"/>
      <c r="R46" s="2"/>
      <c r="S46" s="4"/>
    </row>
    <row r="47" spans="1:19" x14ac:dyDescent="0.3">
      <c r="A47" s="2" t="s">
        <v>45</v>
      </c>
      <c r="B47" s="4" t="s">
        <v>29</v>
      </c>
      <c r="C47" s="4" t="s">
        <v>29</v>
      </c>
      <c r="D47" s="4" t="s">
        <v>29</v>
      </c>
      <c r="E47" s="4" t="s">
        <v>29</v>
      </c>
      <c r="F47" s="4" t="s">
        <v>29</v>
      </c>
      <c r="G47" s="4" t="s">
        <v>29</v>
      </c>
      <c r="H47" s="4" t="s">
        <v>29</v>
      </c>
      <c r="I47" s="4" t="s">
        <v>29</v>
      </c>
      <c r="J47" s="12" t="s">
        <v>33</v>
      </c>
      <c r="K47" s="8"/>
      <c r="L47" s="4"/>
      <c r="M47" s="4"/>
      <c r="N47" s="4"/>
      <c r="O47" s="4"/>
      <c r="P47" s="4" t="s">
        <v>123</v>
      </c>
      <c r="Q47" s="2"/>
      <c r="R47" s="2"/>
      <c r="S47" s="4"/>
    </row>
    <row r="48" spans="1:19" x14ac:dyDescent="0.3">
      <c r="A48" s="2" t="s">
        <v>46</v>
      </c>
      <c r="B48" s="4" t="s">
        <v>29</v>
      </c>
      <c r="C48" s="4" t="s">
        <v>29</v>
      </c>
      <c r="D48" s="4" t="s">
        <v>29</v>
      </c>
      <c r="E48" s="4" t="s">
        <v>29</v>
      </c>
      <c r="F48" s="4" t="s">
        <v>29</v>
      </c>
      <c r="G48" s="4" t="s">
        <v>29</v>
      </c>
      <c r="H48" s="4" t="s">
        <v>29</v>
      </c>
      <c r="I48" s="4" t="s">
        <v>29</v>
      </c>
      <c r="J48" s="12" t="s">
        <v>33</v>
      </c>
      <c r="K48" s="8"/>
      <c r="L48" s="4"/>
      <c r="M48" s="4"/>
      <c r="N48" s="4"/>
      <c r="O48" s="4"/>
      <c r="P48" s="4" t="s">
        <v>123</v>
      </c>
      <c r="Q48" s="2"/>
      <c r="R48" s="2"/>
      <c r="S48" s="4"/>
    </row>
    <row r="49" spans="1:19" x14ac:dyDescent="0.3">
      <c r="A49" s="2" t="s">
        <v>47</v>
      </c>
      <c r="B49" s="4" t="s">
        <v>29</v>
      </c>
      <c r="C49" s="4" t="s">
        <v>29</v>
      </c>
      <c r="D49" s="4" t="s">
        <v>29</v>
      </c>
      <c r="E49" s="4" t="s">
        <v>29</v>
      </c>
      <c r="F49" s="4" t="s">
        <v>29</v>
      </c>
      <c r="G49" s="4" t="s">
        <v>29</v>
      </c>
      <c r="H49" s="4" t="s">
        <v>29</v>
      </c>
      <c r="I49" s="4" t="s">
        <v>29</v>
      </c>
      <c r="J49" s="12" t="s">
        <v>33</v>
      </c>
      <c r="K49" s="8"/>
      <c r="L49" s="4"/>
      <c r="M49" s="4"/>
      <c r="N49" s="4"/>
      <c r="O49" s="4"/>
      <c r="P49" s="4" t="s">
        <v>123</v>
      </c>
      <c r="Q49" s="2"/>
      <c r="R49" s="2"/>
      <c r="S49" s="4"/>
    </row>
    <row r="50" spans="1:19" x14ac:dyDescent="0.3">
      <c r="A50" s="2" t="s">
        <v>48</v>
      </c>
      <c r="B50" s="4" t="s">
        <v>29</v>
      </c>
      <c r="C50" s="4" t="s">
        <v>29</v>
      </c>
      <c r="D50" s="4" t="s">
        <v>29</v>
      </c>
      <c r="E50" s="4" t="s">
        <v>29</v>
      </c>
      <c r="F50" s="4" t="s">
        <v>29</v>
      </c>
      <c r="G50" s="4" t="s">
        <v>29</v>
      </c>
      <c r="H50" s="4" t="s">
        <v>29</v>
      </c>
      <c r="I50" s="4" t="s">
        <v>29</v>
      </c>
      <c r="J50" s="12" t="s">
        <v>33</v>
      </c>
      <c r="K50" s="8"/>
      <c r="L50" s="4"/>
      <c r="M50" s="4"/>
      <c r="N50" s="4"/>
      <c r="O50" s="4"/>
      <c r="P50" s="4" t="s">
        <v>123</v>
      </c>
      <c r="Q50" s="2"/>
      <c r="R50" s="2"/>
      <c r="S50" s="4"/>
    </row>
    <row r="51" spans="1:19" x14ac:dyDescent="0.3">
      <c r="A51" s="2" t="s">
        <v>49</v>
      </c>
      <c r="B51" s="4" t="s">
        <v>29</v>
      </c>
      <c r="C51" s="4" t="s">
        <v>29</v>
      </c>
      <c r="D51" s="4" t="s">
        <v>29</v>
      </c>
      <c r="E51" s="4" t="s">
        <v>29</v>
      </c>
      <c r="F51" s="4" t="s">
        <v>29</v>
      </c>
      <c r="G51" s="4" t="s">
        <v>29</v>
      </c>
      <c r="H51" s="4" t="s">
        <v>29</v>
      </c>
      <c r="I51" s="4" t="s">
        <v>29</v>
      </c>
      <c r="J51" s="12" t="s">
        <v>33</v>
      </c>
      <c r="K51" s="8"/>
      <c r="L51" s="4"/>
      <c r="M51" s="4"/>
      <c r="N51" s="4"/>
      <c r="O51" s="4"/>
      <c r="P51" s="4" t="s">
        <v>123</v>
      </c>
      <c r="Q51" s="2"/>
      <c r="R51" s="2"/>
      <c r="S51" s="4"/>
    </row>
    <row r="52" spans="1:19" x14ac:dyDescent="0.3">
      <c r="A52" s="2" t="s">
        <v>50</v>
      </c>
      <c r="B52" s="4" t="s">
        <v>29</v>
      </c>
      <c r="C52" s="4" t="s">
        <v>29</v>
      </c>
      <c r="D52" s="4" t="s">
        <v>29</v>
      </c>
      <c r="E52" s="4" t="s">
        <v>29</v>
      </c>
      <c r="F52" s="4" t="s">
        <v>29</v>
      </c>
      <c r="G52" s="4" t="s">
        <v>29</v>
      </c>
      <c r="H52" s="4" t="s">
        <v>29</v>
      </c>
      <c r="I52" s="5" t="s">
        <v>29</v>
      </c>
      <c r="J52" s="12" t="s">
        <v>33</v>
      </c>
      <c r="K52" s="105" t="s">
        <v>97</v>
      </c>
      <c r="L52" s="4"/>
      <c r="M52" s="4"/>
      <c r="N52" s="4"/>
      <c r="O52" s="4"/>
      <c r="P52" s="4" t="s">
        <v>123</v>
      </c>
      <c r="Q52" s="2"/>
      <c r="R52" s="2"/>
      <c r="S52" s="4"/>
    </row>
    <row r="53" spans="1:19" x14ac:dyDescent="0.3">
      <c r="A53" s="2" t="s">
        <v>51</v>
      </c>
      <c r="B53" s="4" t="s">
        <v>29</v>
      </c>
      <c r="C53" s="4" t="s">
        <v>29</v>
      </c>
      <c r="D53" s="5" t="s">
        <v>29</v>
      </c>
      <c r="E53" s="4" t="s">
        <v>29</v>
      </c>
      <c r="F53" s="4" t="s">
        <v>29</v>
      </c>
      <c r="G53" s="4" t="s">
        <v>29</v>
      </c>
      <c r="H53" s="4" t="s">
        <v>29</v>
      </c>
      <c r="I53" s="4" t="s">
        <v>29</v>
      </c>
      <c r="J53" s="12" t="s">
        <v>33</v>
      </c>
      <c r="K53" s="106"/>
      <c r="L53" s="4"/>
      <c r="M53" s="4"/>
      <c r="N53" s="4"/>
      <c r="O53" s="4"/>
      <c r="P53" s="4" t="s">
        <v>123</v>
      </c>
      <c r="Q53" s="2"/>
      <c r="R53" s="2"/>
      <c r="S53" s="4"/>
    </row>
    <row r="54" spans="1:19" x14ac:dyDescent="0.3">
      <c r="A54" s="2"/>
      <c r="B54" s="4"/>
      <c r="C54" s="4"/>
      <c r="D54" s="4"/>
      <c r="E54" s="4"/>
      <c r="F54" s="4"/>
      <c r="G54" s="4"/>
      <c r="H54" s="4"/>
      <c r="I54" s="4"/>
      <c r="J54" s="8"/>
      <c r="K54" s="106"/>
      <c r="L54" s="4"/>
      <c r="M54" s="4"/>
      <c r="N54" s="4"/>
      <c r="O54" s="4"/>
      <c r="P54" s="4"/>
      <c r="Q54" s="2"/>
      <c r="R54" s="2"/>
      <c r="S54" s="4"/>
    </row>
    <row r="55" spans="1:19" x14ac:dyDescent="0.3">
      <c r="A55" s="2" t="s">
        <v>52</v>
      </c>
      <c r="B55" s="4" t="s">
        <v>29</v>
      </c>
      <c r="C55" s="4" t="s">
        <v>29</v>
      </c>
      <c r="D55" s="4" t="s">
        <v>29</v>
      </c>
      <c r="E55" s="4" t="s">
        <v>29</v>
      </c>
      <c r="F55" s="4" t="s">
        <v>29</v>
      </c>
      <c r="G55" s="4" t="s">
        <v>29</v>
      </c>
      <c r="H55" s="4" t="s">
        <v>29</v>
      </c>
      <c r="I55" s="4" t="s">
        <v>29</v>
      </c>
      <c r="J55" s="12" t="s">
        <v>33</v>
      </c>
      <c r="K55" s="106"/>
      <c r="L55" s="4"/>
      <c r="M55" s="4"/>
      <c r="N55" s="4"/>
      <c r="O55" s="4"/>
      <c r="P55" s="4" t="s">
        <v>123</v>
      </c>
      <c r="Q55" s="2"/>
      <c r="R55" s="2"/>
      <c r="S55" s="4"/>
    </row>
    <row r="56" spans="1:19" x14ac:dyDescent="0.3">
      <c r="A56" s="2" t="s">
        <v>53</v>
      </c>
      <c r="B56" s="4" t="s">
        <v>29</v>
      </c>
      <c r="C56" s="4" t="s">
        <v>29</v>
      </c>
      <c r="D56" s="4" t="s">
        <v>29</v>
      </c>
      <c r="E56" s="4" t="s">
        <v>29</v>
      </c>
      <c r="F56" s="4" t="s">
        <v>29</v>
      </c>
      <c r="G56" s="4" t="s">
        <v>29</v>
      </c>
      <c r="H56" s="4" t="s">
        <v>29</v>
      </c>
      <c r="I56" s="4" t="s">
        <v>29</v>
      </c>
      <c r="J56" s="12" t="s">
        <v>33</v>
      </c>
      <c r="K56" s="106"/>
      <c r="L56" s="4"/>
      <c r="M56" s="4"/>
      <c r="N56" s="4"/>
      <c r="O56" s="4"/>
      <c r="P56" s="4" t="s">
        <v>123</v>
      </c>
      <c r="Q56" s="2"/>
      <c r="R56" s="2"/>
      <c r="S56" s="4"/>
    </row>
    <row r="57" spans="1:19" x14ac:dyDescent="0.3">
      <c r="A57" s="2" t="s">
        <v>54</v>
      </c>
      <c r="B57" s="4" t="s">
        <v>29</v>
      </c>
      <c r="C57" s="4" t="s">
        <v>29</v>
      </c>
      <c r="D57" s="4" t="s">
        <v>29</v>
      </c>
      <c r="E57" s="4" t="s">
        <v>29</v>
      </c>
      <c r="F57" s="4" t="s">
        <v>29</v>
      </c>
      <c r="G57" s="4" t="s">
        <v>29</v>
      </c>
      <c r="H57" s="4" t="s">
        <v>29</v>
      </c>
      <c r="I57" s="4" t="s">
        <v>29</v>
      </c>
      <c r="J57" s="12" t="s">
        <v>33</v>
      </c>
      <c r="K57" s="106"/>
      <c r="L57" s="4"/>
      <c r="M57" s="4"/>
      <c r="N57" s="4"/>
      <c r="O57" s="4"/>
      <c r="P57" s="4" t="s">
        <v>123</v>
      </c>
      <c r="Q57" s="2"/>
      <c r="R57" s="2"/>
      <c r="S57" s="4"/>
    </row>
    <row r="58" spans="1:19" x14ac:dyDescent="0.3">
      <c r="A58" s="2" t="s">
        <v>55</v>
      </c>
      <c r="B58" s="4" t="s">
        <v>29</v>
      </c>
      <c r="C58" s="4" t="s">
        <v>29</v>
      </c>
      <c r="D58" s="4" t="s">
        <v>29</v>
      </c>
      <c r="E58" s="4" t="s">
        <v>29</v>
      </c>
      <c r="F58" s="4" t="s">
        <v>29</v>
      </c>
      <c r="G58" s="4" t="s">
        <v>29</v>
      </c>
      <c r="H58" s="4" t="s">
        <v>29</v>
      </c>
      <c r="I58" s="4" t="s">
        <v>29</v>
      </c>
      <c r="J58" s="12" t="s">
        <v>33</v>
      </c>
      <c r="K58" s="106"/>
      <c r="L58" s="4"/>
      <c r="M58" s="4"/>
      <c r="N58" s="4"/>
      <c r="O58" s="4"/>
      <c r="P58" s="4" t="s">
        <v>123</v>
      </c>
      <c r="Q58" s="2"/>
      <c r="R58" s="2"/>
      <c r="S58" s="4"/>
    </row>
    <row r="59" spans="1:19" x14ac:dyDescent="0.3">
      <c r="A59" s="2" t="s">
        <v>56</v>
      </c>
      <c r="B59" s="4" t="s">
        <v>29</v>
      </c>
      <c r="C59" s="4" t="s">
        <v>29</v>
      </c>
      <c r="D59" s="4" t="s">
        <v>29</v>
      </c>
      <c r="E59" s="4" t="s">
        <v>29</v>
      </c>
      <c r="F59" s="4" t="s">
        <v>29</v>
      </c>
      <c r="G59" s="4" t="s">
        <v>29</v>
      </c>
      <c r="H59" s="4" t="s">
        <v>29</v>
      </c>
      <c r="I59" s="4" t="s">
        <v>29</v>
      </c>
      <c r="J59" s="12" t="s">
        <v>33</v>
      </c>
      <c r="K59" s="107"/>
      <c r="L59" s="4"/>
      <c r="M59" s="4"/>
      <c r="N59" s="4"/>
      <c r="O59" s="4"/>
      <c r="P59" s="4" t="s">
        <v>123</v>
      </c>
      <c r="Q59" s="2"/>
      <c r="R59" s="2"/>
      <c r="S59" s="4"/>
    </row>
    <row r="60" spans="1:19" x14ac:dyDescent="0.3">
      <c r="A60" s="2" t="s">
        <v>57</v>
      </c>
      <c r="B60" s="4" t="s">
        <v>29</v>
      </c>
      <c r="C60" s="4" t="s">
        <v>29</v>
      </c>
      <c r="D60" s="4" t="s">
        <v>29</v>
      </c>
      <c r="E60" s="4" t="s">
        <v>29</v>
      </c>
      <c r="F60" s="5" t="s">
        <v>29</v>
      </c>
      <c r="G60" s="5" t="s">
        <v>29</v>
      </c>
      <c r="H60" s="5" t="s">
        <v>29</v>
      </c>
      <c r="I60" s="5" t="s">
        <v>29</v>
      </c>
      <c r="J60" s="12" t="s">
        <v>33</v>
      </c>
      <c r="K60" s="8"/>
      <c r="L60" s="4"/>
      <c r="M60" s="4"/>
      <c r="N60" s="4"/>
      <c r="O60" s="4"/>
      <c r="P60" s="4" t="s">
        <v>123</v>
      </c>
      <c r="Q60" s="2"/>
      <c r="R60" s="2"/>
      <c r="S60" s="4"/>
    </row>
    <row r="61" spans="1:19" x14ac:dyDescent="0.3">
      <c r="A61" s="2" t="s">
        <v>58</v>
      </c>
      <c r="B61" s="4" t="s">
        <v>29</v>
      </c>
      <c r="C61" s="4" t="s">
        <v>29</v>
      </c>
      <c r="D61" s="4" t="s">
        <v>29</v>
      </c>
      <c r="E61" s="4" t="s">
        <v>29</v>
      </c>
      <c r="F61" s="4" t="s">
        <v>29</v>
      </c>
      <c r="G61" s="4" t="s">
        <v>29</v>
      </c>
      <c r="H61" s="4" t="s">
        <v>29</v>
      </c>
      <c r="I61" s="4" t="s">
        <v>29</v>
      </c>
      <c r="J61" s="8"/>
      <c r="K61" s="8" t="s">
        <v>274</v>
      </c>
      <c r="L61" s="4" t="s">
        <v>267</v>
      </c>
      <c r="M61" s="12" t="s">
        <v>33</v>
      </c>
      <c r="N61" s="4"/>
      <c r="O61" s="4"/>
      <c r="P61" s="4" t="s">
        <v>123</v>
      </c>
      <c r="Q61" s="2"/>
      <c r="R61" s="2"/>
      <c r="S61" s="4"/>
    </row>
    <row r="62" spans="1:19" x14ac:dyDescent="0.3">
      <c r="A62" s="2" t="s">
        <v>59</v>
      </c>
      <c r="B62" s="4" t="s">
        <v>29</v>
      </c>
      <c r="C62" s="4" t="s">
        <v>29</v>
      </c>
      <c r="D62" s="4" t="s">
        <v>29</v>
      </c>
      <c r="E62" s="4" t="s">
        <v>29</v>
      </c>
      <c r="F62" s="4" t="s">
        <v>29</v>
      </c>
      <c r="G62" s="4" t="s">
        <v>29</v>
      </c>
      <c r="H62" s="4" t="s">
        <v>29</v>
      </c>
      <c r="I62" s="4" t="s">
        <v>29</v>
      </c>
      <c r="J62" s="8"/>
      <c r="K62" s="8" t="s">
        <v>274</v>
      </c>
      <c r="L62" s="4" t="s">
        <v>268</v>
      </c>
      <c r="M62" s="12" t="s">
        <v>33</v>
      </c>
      <c r="N62" s="4"/>
      <c r="O62" s="4"/>
      <c r="P62" s="4" t="s">
        <v>123</v>
      </c>
      <c r="Q62" s="2"/>
      <c r="R62" s="2"/>
      <c r="S62" s="4"/>
    </row>
    <row r="63" spans="1:19" x14ac:dyDescent="0.3">
      <c r="A63" s="2" t="s">
        <v>60</v>
      </c>
      <c r="B63" s="4" t="s">
        <v>29</v>
      </c>
      <c r="C63" s="4" t="s">
        <v>29</v>
      </c>
      <c r="D63" s="4" t="s">
        <v>29</v>
      </c>
      <c r="E63" s="4" t="s">
        <v>29</v>
      </c>
      <c r="F63" s="4" t="s">
        <v>29</v>
      </c>
      <c r="G63" s="4" t="s">
        <v>29</v>
      </c>
      <c r="H63" s="4" t="s">
        <v>29</v>
      </c>
      <c r="I63" s="4" t="s">
        <v>29</v>
      </c>
      <c r="J63" s="8"/>
      <c r="K63" s="8" t="s">
        <v>274</v>
      </c>
      <c r="L63" s="4" t="s">
        <v>269</v>
      </c>
      <c r="M63" s="12" t="s">
        <v>33</v>
      </c>
      <c r="N63" s="4"/>
      <c r="O63" s="4"/>
      <c r="P63" s="4" t="s">
        <v>123</v>
      </c>
      <c r="Q63" s="2"/>
      <c r="R63" s="2"/>
      <c r="S63" s="4"/>
    </row>
    <row r="64" spans="1:19" x14ac:dyDescent="0.3">
      <c r="A64" s="2" t="s">
        <v>225</v>
      </c>
      <c r="B64" s="4" t="s">
        <v>29</v>
      </c>
      <c r="C64" s="4" t="s">
        <v>29</v>
      </c>
      <c r="D64" s="4" t="s">
        <v>29</v>
      </c>
      <c r="E64" s="4" t="s">
        <v>29</v>
      </c>
      <c r="F64" s="4" t="s">
        <v>29</v>
      </c>
      <c r="G64" s="4" t="s">
        <v>29</v>
      </c>
      <c r="H64" s="4" t="s">
        <v>29</v>
      </c>
      <c r="I64" s="4" t="s">
        <v>29</v>
      </c>
      <c r="J64" s="8"/>
      <c r="K64" s="8" t="s">
        <v>274</v>
      </c>
      <c r="L64" s="4" t="s">
        <v>270</v>
      </c>
      <c r="M64" s="12" t="s">
        <v>33</v>
      </c>
      <c r="N64" s="4"/>
      <c r="O64" s="4"/>
      <c r="P64" s="4" t="s">
        <v>123</v>
      </c>
      <c r="Q64" s="2"/>
      <c r="R64" s="2"/>
      <c r="S64" s="4"/>
    </row>
    <row r="65" spans="1:19" x14ac:dyDescent="0.3">
      <c r="A65" s="2"/>
      <c r="B65" s="4"/>
      <c r="C65" s="4"/>
      <c r="D65" s="4"/>
      <c r="E65" s="4"/>
      <c r="F65" s="4"/>
      <c r="G65" s="4"/>
      <c r="H65" s="4"/>
      <c r="I65" s="4"/>
      <c r="J65" s="8"/>
      <c r="K65" s="8"/>
      <c r="L65" s="4"/>
      <c r="M65" s="4"/>
      <c r="N65" s="4"/>
      <c r="O65" s="4"/>
      <c r="P65" s="4"/>
      <c r="Q65" s="2"/>
      <c r="R65" s="2"/>
      <c r="S65" s="4"/>
    </row>
    <row r="66" spans="1:19" x14ac:dyDescent="0.3">
      <c r="A66" s="2" t="s">
        <v>61</v>
      </c>
      <c r="B66" s="4" t="s">
        <v>226</v>
      </c>
      <c r="C66" s="4" t="s">
        <v>226</v>
      </c>
      <c r="D66" s="4" t="s">
        <v>226</v>
      </c>
      <c r="E66" s="4" t="s">
        <v>29</v>
      </c>
      <c r="F66" s="4" t="s">
        <v>29</v>
      </c>
      <c r="G66" s="4" t="s">
        <v>277</v>
      </c>
      <c r="H66" s="4" t="s">
        <v>29</v>
      </c>
      <c r="I66" s="4" t="s">
        <v>29</v>
      </c>
      <c r="J66" s="8"/>
      <c r="K66" s="8"/>
      <c r="L66" s="4"/>
      <c r="M66" s="4"/>
      <c r="N66" s="4"/>
      <c r="O66" s="4"/>
      <c r="P66" s="4"/>
      <c r="Q66" s="2"/>
      <c r="R66" s="2"/>
      <c r="S66" s="4"/>
    </row>
    <row r="67" spans="1:19" x14ac:dyDescent="0.3">
      <c r="A67" s="2" t="s">
        <v>62</v>
      </c>
      <c r="B67" s="4" t="s">
        <v>226</v>
      </c>
      <c r="C67" s="4" t="s">
        <v>226</v>
      </c>
      <c r="D67" s="4" t="s">
        <v>226</v>
      </c>
      <c r="E67" s="4" t="s">
        <v>29</v>
      </c>
      <c r="F67" s="4" t="s">
        <v>29</v>
      </c>
      <c r="G67" s="4" t="s">
        <v>29</v>
      </c>
      <c r="H67" s="4" t="s">
        <v>29</v>
      </c>
      <c r="I67" s="4" t="s">
        <v>29</v>
      </c>
      <c r="J67" s="8"/>
      <c r="K67" s="8"/>
      <c r="L67" s="4"/>
      <c r="M67" s="4"/>
      <c r="N67" s="4"/>
      <c r="O67" s="4"/>
      <c r="P67" s="4"/>
      <c r="Q67" s="2"/>
      <c r="R67" s="2"/>
      <c r="S67" s="4"/>
    </row>
    <row r="68" spans="1:19" x14ac:dyDescent="0.3">
      <c r="A68" s="2" t="s">
        <v>63</v>
      </c>
      <c r="B68" s="4" t="s">
        <v>226</v>
      </c>
      <c r="C68" s="4" t="s">
        <v>226</v>
      </c>
      <c r="D68" s="4" t="s">
        <v>226</v>
      </c>
      <c r="E68" s="4" t="s">
        <v>29</v>
      </c>
      <c r="F68" s="4" t="s">
        <v>29</v>
      </c>
      <c r="G68" s="4" t="s">
        <v>276</v>
      </c>
      <c r="H68" s="4" t="s">
        <v>29</v>
      </c>
      <c r="I68" s="4" t="s">
        <v>29</v>
      </c>
      <c r="J68" s="8"/>
      <c r="K68" s="8"/>
      <c r="L68" s="4"/>
      <c r="M68" s="4"/>
      <c r="N68" s="4"/>
      <c r="O68" s="4"/>
      <c r="P68" s="4"/>
      <c r="Q68" s="2"/>
      <c r="R68" s="2"/>
      <c r="S68" s="4"/>
    </row>
    <row r="69" spans="1:19" x14ac:dyDescent="0.3">
      <c r="A69" s="2" t="s">
        <v>64</v>
      </c>
      <c r="B69" s="4" t="s">
        <v>226</v>
      </c>
      <c r="C69" s="4" t="s">
        <v>226</v>
      </c>
      <c r="D69" s="4" t="s">
        <v>226</v>
      </c>
      <c r="E69" s="4" t="s">
        <v>226</v>
      </c>
      <c r="F69" s="4" t="s">
        <v>226</v>
      </c>
      <c r="G69" s="4" t="s">
        <v>226</v>
      </c>
      <c r="H69" s="4" t="s">
        <v>29</v>
      </c>
      <c r="I69" s="4" t="s">
        <v>29</v>
      </c>
      <c r="J69" s="8"/>
      <c r="K69" s="8"/>
      <c r="L69" s="4"/>
      <c r="M69" s="4"/>
      <c r="N69" s="4"/>
      <c r="O69" s="4"/>
      <c r="P69" s="4"/>
      <c r="Q69" s="2"/>
      <c r="R69" s="2"/>
      <c r="S69" s="4"/>
    </row>
    <row r="70" spans="1:19" x14ac:dyDescent="0.3">
      <c r="A70" s="2" t="s">
        <v>65</v>
      </c>
      <c r="B70" s="4" t="s">
        <v>226</v>
      </c>
      <c r="C70" s="4" t="s">
        <v>226</v>
      </c>
      <c r="D70" s="4" t="s">
        <v>226</v>
      </c>
      <c r="E70" s="4" t="s">
        <v>226</v>
      </c>
      <c r="F70" s="4" t="s">
        <v>226</v>
      </c>
      <c r="G70" s="4" t="s">
        <v>226</v>
      </c>
      <c r="H70" s="4" t="s">
        <v>29</v>
      </c>
      <c r="I70" s="4" t="s">
        <v>29</v>
      </c>
      <c r="J70" s="8"/>
      <c r="K70" s="8"/>
      <c r="L70" s="4"/>
      <c r="M70" s="4"/>
      <c r="N70" s="4"/>
      <c r="O70" s="4"/>
      <c r="P70" s="4"/>
      <c r="Q70" s="2"/>
      <c r="R70" s="2"/>
      <c r="S70" s="4"/>
    </row>
    <row r="71" spans="1:19" x14ac:dyDescent="0.3">
      <c r="A71" s="2" t="s">
        <v>66</v>
      </c>
      <c r="B71" s="4" t="s">
        <v>226</v>
      </c>
      <c r="C71" s="4" t="s">
        <v>226</v>
      </c>
      <c r="D71" s="4" t="s">
        <v>226</v>
      </c>
      <c r="E71" s="4" t="s">
        <v>226</v>
      </c>
      <c r="F71" s="4" t="s">
        <v>226</v>
      </c>
      <c r="G71" s="4" t="s">
        <v>226</v>
      </c>
      <c r="H71" s="4" t="s">
        <v>29</v>
      </c>
      <c r="I71" s="4" t="s">
        <v>29</v>
      </c>
      <c r="J71" s="8"/>
      <c r="K71" s="8"/>
      <c r="L71" s="4"/>
      <c r="M71" s="4"/>
      <c r="N71" s="4"/>
      <c r="O71" s="4"/>
      <c r="P71" s="4"/>
      <c r="Q71" s="2"/>
      <c r="R71" s="2"/>
      <c r="S71" s="4"/>
    </row>
    <row r="72" spans="1:19" x14ac:dyDescent="0.3">
      <c r="A72" s="2" t="s">
        <v>67</v>
      </c>
      <c r="B72" s="4" t="s">
        <v>29</v>
      </c>
      <c r="C72" s="4" t="s">
        <v>29</v>
      </c>
      <c r="D72" s="4" t="s">
        <v>29</v>
      </c>
      <c r="E72" s="4" t="s">
        <v>29</v>
      </c>
      <c r="F72" s="4" t="s">
        <v>29</v>
      </c>
      <c r="G72" s="4" t="s">
        <v>29</v>
      </c>
      <c r="H72" s="4" t="s">
        <v>29</v>
      </c>
      <c r="I72" s="4" t="s">
        <v>29</v>
      </c>
      <c r="J72" s="12" t="s">
        <v>33</v>
      </c>
      <c r="K72" s="8"/>
      <c r="L72" s="4"/>
      <c r="M72" s="4"/>
      <c r="N72" s="4"/>
      <c r="O72" s="4"/>
      <c r="P72" s="4" t="s">
        <v>123</v>
      </c>
      <c r="Q72" s="2"/>
      <c r="R72" s="2"/>
      <c r="S72" s="4"/>
    </row>
    <row r="73" spans="1:19" x14ac:dyDescent="0.3">
      <c r="A73" s="2" t="s">
        <v>68</v>
      </c>
      <c r="B73" s="4" t="s">
        <v>29</v>
      </c>
      <c r="C73" s="4" t="s">
        <v>29</v>
      </c>
      <c r="D73" s="4" t="s">
        <v>29</v>
      </c>
      <c r="E73" s="4" t="s">
        <v>29</v>
      </c>
      <c r="F73" s="4" t="s">
        <v>29</v>
      </c>
      <c r="G73" s="4" t="s">
        <v>29</v>
      </c>
      <c r="H73" s="4" t="s">
        <v>29</v>
      </c>
      <c r="I73" s="4" t="s">
        <v>29</v>
      </c>
      <c r="J73" s="12" t="s">
        <v>33</v>
      </c>
      <c r="K73" s="8"/>
      <c r="L73" s="4"/>
      <c r="M73" s="4"/>
      <c r="N73" s="4"/>
      <c r="O73" s="4"/>
      <c r="P73" s="4" t="s">
        <v>123</v>
      </c>
      <c r="Q73" s="2"/>
      <c r="R73" s="2"/>
      <c r="S73" s="4"/>
    </row>
    <row r="74" spans="1:19" x14ac:dyDescent="0.3">
      <c r="A74" s="2" t="s">
        <v>69</v>
      </c>
      <c r="B74" s="4" t="s">
        <v>29</v>
      </c>
      <c r="C74" s="4" t="s">
        <v>29</v>
      </c>
      <c r="D74" s="4" t="s">
        <v>29</v>
      </c>
      <c r="E74" s="4" t="s">
        <v>29</v>
      </c>
      <c r="F74" s="4" t="s">
        <v>29</v>
      </c>
      <c r="G74" s="4" t="s">
        <v>29</v>
      </c>
      <c r="H74" s="4" t="s">
        <v>29</v>
      </c>
      <c r="I74" s="4" t="s">
        <v>29</v>
      </c>
      <c r="J74" s="12" t="s">
        <v>33</v>
      </c>
      <c r="K74" s="8"/>
      <c r="L74" s="4"/>
      <c r="M74" s="4"/>
      <c r="N74" s="4"/>
      <c r="O74" s="4"/>
      <c r="P74" s="4" t="s">
        <v>123</v>
      </c>
      <c r="Q74" s="2"/>
      <c r="R74" s="2"/>
      <c r="S74" s="4"/>
    </row>
    <row r="75" spans="1:19" x14ac:dyDescent="0.3">
      <c r="A75" s="2" t="s">
        <v>70</v>
      </c>
      <c r="B75" s="4" t="s">
        <v>29</v>
      </c>
      <c r="C75" s="4" t="s">
        <v>29</v>
      </c>
      <c r="D75" s="4" t="s">
        <v>29</v>
      </c>
      <c r="E75" s="4" t="s">
        <v>29</v>
      </c>
      <c r="F75" s="4" t="s">
        <v>29</v>
      </c>
      <c r="G75" s="4" t="s">
        <v>29</v>
      </c>
      <c r="H75" s="4" t="s">
        <v>29</v>
      </c>
      <c r="I75" s="4" t="s">
        <v>29</v>
      </c>
      <c r="J75" s="12" t="s">
        <v>33</v>
      </c>
      <c r="K75" s="8"/>
      <c r="L75" s="4"/>
      <c r="M75" s="4"/>
      <c r="N75" s="4"/>
      <c r="O75" s="4"/>
      <c r="P75" s="4" t="s">
        <v>123</v>
      </c>
      <c r="Q75" s="2"/>
      <c r="R75" s="2"/>
      <c r="S75" s="4"/>
    </row>
  </sheetData>
  <mergeCells count="3">
    <mergeCell ref="K9:K22"/>
    <mergeCell ref="K52:K59"/>
    <mergeCell ref="D12:D13"/>
  </mergeCells>
  <phoneticPr fontId="1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37FAE-19DE-4F9B-AD73-8A230DD1147F}">
  <sheetPr>
    <pageSetUpPr fitToPage="1"/>
  </sheetPr>
  <dimension ref="A1:J18"/>
  <sheetViews>
    <sheetView workbookViewId="0">
      <selection activeCell="D29" sqref="D29"/>
    </sheetView>
  </sheetViews>
  <sheetFormatPr defaultRowHeight="14.4" x14ac:dyDescent="0.3"/>
  <cols>
    <col min="1" max="1" width="18.109375" customWidth="1"/>
    <col min="2" max="2" width="20.6640625" customWidth="1"/>
  </cols>
  <sheetData>
    <row r="1" spans="1:10" x14ac:dyDescent="0.3">
      <c r="A1" s="19" t="s">
        <v>115</v>
      </c>
    </row>
    <row r="2" spans="1:10" x14ac:dyDescent="0.3">
      <c r="C2" s="4" t="s">
        <v>106</v>
      </c>
      <c r="D2" s="4" t="s">
        <v>107</v>
      </c>
      <c r="E2" s="4" t="s">
        <v>113</v>
      </c>
      <c r="F2" s="4" t="s">
        <v>108</v>
      </c>
      <c r="G2" s="4" t="s">
        <v>109</v>
      </c>
      <c r="H2" s="4" t="s">
        <v>110</v>
      </c>
      <c r="I2" s="4" t="s">
        <v>111</v>
      </c>
      <c r="J2" s="4" t="s">
        <v>112</v>
      </c>
    </row>
    <row r="3" spans="1:10" x14ac:dyDescent="0.3">
      <c r="A3" s="2" t="s">
        <v>7</v>
      </c>
      <c r="B3" s="17" t="s">
        <v>93</v>
      </c>
      <c r="C3" s="4"/>
      <c r="D3" s="4"/>
      <c r="E3" s="4" t="s">
        <v>29</v>
      </c>
      <c r="F3" s="4"/>
      <c r="G3" s="4"/>
      <c r="H3" s="4"/>
      <c r="I3" s="4"/>
      <c r="J3" s="4"/>
    </row>
    <row r="4" spans="1:10" x14ac:dyDescent="0.3">
      <c r="A4" s="2" t="s">
        <v>16</v>
      </c>
      <c r="B4" s="17" t="s">
        <v>90</v>
      </c>
      <c r="C4" s="4" t="s">
        <v>29</v>
      </c>
      <c r="D4" s="4" t="s">
        <v>29</v>
      </c>
      <c r="E4" s="4"/>
      <c r="F4" s="4" t="s">
        <v>29</v>
      </c>
      <c r="G4" s="4" t="s">
        <v>29</v>
      </c>
      <c r="H4" s="4" t="s">
        <v>29</v>
      </c>
      <c r="I4" s="4" t="s">
        <v>29</v>
      </c>
      <c r="J4" s="4" t="s">
        <v>29</v>
      </c>
    </row>
    <row r="5" spans="1:10" x14ac:dyDescent="0.3">
      <c r="A5" s="2" t="s">
        <v>17</v>
      </c>
      <c r="B5" s="17" t="s">
        <v>91</v>
      </c>
      <c r="C5" s="4" t="s">
        <v>29</v>
      </c>
      <c r="D5" s="4" t="s">
        <v>29</v>
      </c>
      <c r="E5" s="4"/>
      <c r="F5" s="4" t="s">
        <v>29</v>
      </c>
      <c r="G5" s="4" t="s">
        <v>29</v>
      </c>
      <c r="H5" s="4" t="s">
        <v>29</v>
      </c>
      <c r="I5" s="4" t="s">
        <v>29</v>
      </c>
      <c r="J5" s="4" t="s">
        <v>29</v>
      </c>
    </row>
    <row r="6" spans="1:10" x14ac:dyDescent="0.3">
      <c r="A6" s="18"/>
      <c r="B6" s="16"/>
      <c r="C6" s="16"/>
      <c r="D6" s="16"/>
      <c r="E6" s="16"/>
      <c r="F6" s="16"/>
      <c r="G6" s="16"/>
      <c r="H6" s="16"/>
      <c r="I6" s="16"/>
      <c r="J6" s="16"/>
    </row>
    <row r="7" spans="1:10" x14ac:dyDescent="0.3">
      <c r="A7" s="20" t="s">
        <v>114</v>
      </c>
      <c r="B7" s="16"/>
      <c r="C7" s="16"/>
      <c r="D7" s="16"/>
      <c r="E7" s="16"/>
      <c r="F7" s="16"/>
      <c r="G7" s="16"/>
      <c r="H7" s="16"/>
      <c r="I7" s="16"/>
      <c r="J7" s="16"/>
    </row>
    <row r="8" spans="1:10" x14ac:dyDescent="0.3">
      <c r="C8" s="4" t="s">
        <v>98</v>
      </c>
      <c r="D8" s="4" t="s">
        <v>99</v>
      </c>
      <c r="E8" s="4" t="s">
        <v>100</v>
      </c>
      <c r="F8" s="4" t="s">
        <v>101</v>
      </c>
      <c r="G8" s="4" t="s">
        <v>104</v>
      </c>
      <c r="H8" s="4" t="s">
        <v>103</v>
      </c>
      <c r="I8" s="4" t="s">
        <v>102</v>
      </c>
      <c r="J8" s="5" t="s">
        <v>105</v>
      </c>
    </row>
    <row r="9" spans="1:10" x14ac:dyDescent="0.3">
      <c r="A9" s="2" t="s">
        <v>0</v>
      </c>
      <c r="B9" s="17" t="s">
        <v>94</v>
      </c>
      <c r="C9" s="4"/>
      <c r="D9" s="4" t="s">
        <v>29</v>
      </c>
      <c r="E9" s="4"/>
      <c r="F9" s="4"/>
      <c r="G9" s="4"/>
      <c r="H9" s="4"/>
      <c r="I9" s="4"/>
      <c r="J9" s="2"/>
    </row>
    <row r="10" spans="1:10" x14ac:dyDescent="0.3">
      <c r="A10" s="2" t="s">
        <v>2</v>
      </c>
      <c r="B10" s="17" t="s">
        <v>95</v>
      </c>
      <c r="C10" s="4"/>
      <c r="D10" s="4"/>
      <c r="E10" s="4" t="s">
        <v>29</v>
      </c>
      <c r="F10" s="4" t="s">
        <v>29</v>
      </c>
      <c r="G10" s="4"/>
      <c r="H10" s="4"/>
      <c r="I10" s="4"/>
      <c r="J10" s="2"/>
    </row>
    <row r="11" spans="1:10" x14ac:dyDescent="0.3">
      <c r="A11" s="2" t="s">
        <v>3</v>
      </c>
      <c r="B11" s="17" t="s">
        <v>96</v>
      </c>
      <c r="C11" s="4"/>
      <c r="D11" s="4"/>
      <c r="E11" s="4" t="s">
        <v>29</v>
      </c>
      <c r="F11" s="4" t="s">
        <v>29</v>
      </c>
      <c r="G11" s="4"/>
      <c r="H11" s="4"/>
      <c r="I11" s="4" t="s">
        <v>29</v>
      </c>
      <c r="J11" s="2"/>
    </row>
    <row r="12" spans="1:10" x14ac:dyDescent="0.3">
      <c r="A12" s="2" t="s">
        <v>6</v>
      </c>
      <c r="B12" s="17" t="s">
        <v>92</v>
      </c>
      <c r="C12" s="4"/>
      <c r="D12" s="4"/>
      <c r="E12" s="4" t="s">
        <v>29</v>
      </c>
      <c r="F12" s="4"/>
      <c r="G12" s="4"/>
      <c r="H12" s="4"/>
      <c r="I12" s="4"/>
      <c r="J12" s="2"/>
    </row>
    <row r="13" spans="1:10" x14ac:dyDescent="0.3">
      <c r="A13" s="2" t="s">
        <v>13</v>
      </c>
      <c r="B13" s="17" t="s">
        <v>89</v>
      </c>
      <c r="C13" s="4"/>
      <c r="D13" s="4"/>
      <c r="E13" s="4"/>
      <c r="F13" s="4" t="s">
        <v>29</v>
      </c>
      <c r="G13" s="4"/>
      <c r="H13" s="4" t="s">
        <v>29</v>
      </c>
      <c r="I13" s="4"/>
      <c r="J13" s="2"/>
    </row>
    <row r="14" spans="1:10" x14ac:dyDescent="0.3">
      <c r="A14" s="2" t="s">
        <v>17</v>
      </c>
      <c r="B14" s="17" t="s">
        <v>91</v>
      </c>
      <c r="C14" s="4"/>
      <c r="D14" s="4" t="s">
        <v>29</v>
      </c>
      <c r="E14" s="4" t="s">
        <v>29</v>
      </c>
      <c r="F14" s="4" t="s">
        <v>29</v>
      </c>
      <c r="G14" s="4" t="s">
        <v>29</v>
      </c>
      <c r="H14" s="4" t="s">
        <v>29</v>
      </c>
      <c r="I14" s="4" t="s">
        <v>29</v>
      </c>
      <c r="J14" s="5" t="s">
        <v>29</v>
      </c>
    </row>
    <row r="15" spans="1:10" x14ac:dyDescent="0.3">
      <c r="A15" s="2" t="s">
        <v>19</v>
      </c>
      <c r="B15" s="17" t="s">
        <v>86</v>
      </c>
      <c r="C15" s="4" t="s">
        <v>29</v>
      </c>
      <c r="D15" s="4"/>
      <c r="E15" s="4"/>
      <c r="F15" s="4"/>
      <c r="G15" s="4"/>
      <c r="H15" s="4"/>
      <c r="I15" s="4" t="s">
        <v>29</v>
      </c>
      <c r="J15" s="2"/>
    </row>
    <row r="16" spans="1:10" x14ac:dyDescent="0.3">
      <c r="A16" s="2" t="s">
        <v>21</v>
      </c>
      <c r="B16" s="17" t="s">
        <v>88</v>
      </c>
      <c r="C16" s="4"/>
      <c r="D16" s="4"/>
      <c r="E16" s="4"/>
      <c r="F16" s="4" t="s">
        <v>29</v>
      </c>
      <c r="G16" s="4"/>
      <c r="H16" s="4"/>
      <c r="I16" s="4"/>
      <c r="J16" s="2"/>
    </row>
    <row r="17" spans="1:10" x14ac:dyDescent="0.3">
      <c r="A17" s="2" t="s">
        <v>24</v>
      </c>
      <c r="B17" s="17" t="s">
        <v>84</v>
      </c>
      <c r="C17" s="4" t="s">
        <v>29</v>
      </c>
      <c r="D17" s="4"/>
      <c r="E17" s="4"/>
      <c r="F17" s="4"/>
      <c r="G17" s="4"/>
      <c r="H17" s="4"/>
      <c r="I17" s="4"/>
      <c r="J17" s="2"/>
    </row>
    <row r="18" spans="1:10" x14ac:dyDescent="0.3">
      <c r="A18" s="18"/>
      <c r="B18" s="16"/>
      <c r="C18" s="16"/>
      <c r="D18" s="16"/>
      <c r="E18" s="16"/>
      <c r="F18" s="16"/>
      <c r="G18" s="16"/>
      <c r="H18" s="16"/>
      <c r="I18" s="16"/>
    </row>
  </sheetData>
  <pageMargins left="0.7" right="0.7" top="0.75" bottom="0.75" header="0.3" footer="0.3"/>
  <pageSetup scale="82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201D2-4848-4630-A4B3-810A73522707}">
  <dimension ref="A1:N94"/>
  <sheetViews>
    <sheetView workbookViewId="0">
      <pane ySplit="1" topLeftCell="A56" activePane="bottomLeft" state="frozen"/>
      <selection pane="bottomLeft" activeCell="Q87" sqref="Q87"/>
    </sheetView>
  </sheetViews>
  <sheetFormatPr defaultRowHeight="14.4" x14ac:dyDescent="0.3"/>
  <cols>
    <col min="1" max="1" width="13.6640625" customWidth="1"/>
    <col min="2" max="2" width="17.5546875" customWidth="1"/>
    <col min="3" max="3" width="12.5546875" customWidth="1"/>
    <col min="4" max="5" width="13.6640625" customWidth="1"/>
    <col min="6" max="6" width="9.33203125" customWidth="1"/>
    <col min="7" max="7" width="11.6640625" customWidth="1"/>
    <col min="8" max="8" width="9.21875" customWidth="1"/>
    <col min="9" max="9" width="12.109375" customWidth="1"/>
    <col min="10" max="10" width="11" customWidth="1"/>
    <col min="11" max="11" width="14.77734375" customWidth="1"/>
    <col min="12" max="12" width="10.44140625" customWidth="1"/>
    <col min="13" max="13" width="36.109375" customWidth="1"/>
    <col min="14" max="14" width="10.109375" customWidth="1"/>
  </cols>
  <sheetData>
    <row r="1" spans="1:13" ht="16.2" x14ac:dyDescent="0.3">
      <c r="A1" s="4" t="s">
        <v>158</v>
      </c>
      <c r="B1" s="24" t="s">
        <v>126</v>
      </c>
      <c r="C1" s="24" t="s">
        <v>127</v>
      </c>
      <c r="D1" s="24" t="s">
        <v>128</v>
      </c>
      <c r="E1" s="24" t="s">
        <v>129</v>
      </c>
      <c r="F1" s="24" t="s">
        <v>130</v>
      </c>
      <c r="G1" s="24" t="s">
        <v>131</v>
      </c>
      <c r="H1" s="24" t="s">
        <v>130</v>
      </c>
      <c r="I1" s="24" t="s">
        <v>131</v>
      </c>
      <c r="J1" s="24" t="s">
        <v>132</v>
      </c>
      <c r="K1" s="24" t="s">
        <v>133</v>
      </c>
      <c r="L1" s="24" t="s">
        <v>134</v>
      </c>
      <c r="M1" s="24" t="s">
        <v>135</v>
      </c>
    </row>
    <row r="2" spans="1:13" x14ac:dyDescent="0.3">
      <c r="A2" s="4">
        <v>1</v>
      </c>
      <c r="B2" s="2" t="s">
        <v>136</v>
      </c>
      <c r="C2" s="2">
        <v>2</v>
      </c>
      <c r="D2" s="22">
        <v>43908</v>
      </c>
      <c r="E2" s="22">
        <v>44055</v>
      </c>
      <c r="F2" s="25">
        <v>33</v>
      </c>
      <c r="G2" s="26">
        <v>9.9999999999999995E-7</v>
      </c>
      <c r="H2" s="2"/>
      <c r="I2" s="26">
        <v>1.0000000000000001E-5</v>
      </c>
      <c r="J2" s="26">
        <f>F2/G2</f>
        <v>33000000</v>
      </c>
      <c r="K2" s="26">
        <f>100000/J2</f>
        <v>3.0303030303030303E-3</v>
      </c>
      <c r="L2" s="2"/>
      <c r="M2" s="2" t="s">
        <v>137</v>
      </c>
    </row>
    <row r="3" spans="1:13" x14ac:dyDescent="0.3">
      <c r="A3" s="4">
        <v>2</v>
      </c>
      <c r="B3" s="2" t="s">
        <v>138</v>
      </c>
      <c r="C3" s="2">
        <v>1</v>
      </c>
      <c r="D3" s="22">
        <v>44021</v>
      </c>
      <c r="E3" s="22">
        <v>44055</v>
      </c>
      <c r="F3" s="25">
        <v>29</v>
      </c>
      <c r="G3" s="26">
        <v>9.9999999999999995E-7</v>
      </c>
      <c r="H3" s="2"/>
      <c r="I3" s="26">
        <v>1.0000000000000001E-5</v>
      </c>
      <c r="J3" s="26">
        <f>F3/G3</f>
        <v>29000000</v>
      </c>
      <c r="K3" s="26">
        <f t="shared" ref="K3:K30" si="0">100000/J3</f>
        <v>3.4482758620689655E-3</v>
      </c>
      <c r="L3" s="2"/>
      <c r="M3" s="2" t="s">
        <v>137</v>
      </c>
    </row>
    <row r="4" spans="1:13" x14ac:dyDescent="0.3">
      <c r="A4" s="4">
        <v>3</v>
      </c>
      <c r="B4" s="2" t="s">
        <v>139</v>
      </c>
      <c r="C4" s="2">
        <v>1</v>
      </c>
      <c r="D4" s="22">
        <v>44021</v>
      </c>
      <c r="E4" s="22">
        <v>44055</v>
      </c>
      <c r="F4" s="2">
        <v>19</v>
      </c>
      <c r="G4" s="26">
        <v>9.9999999999999995E-7</v>
      </c>
      <c r="H4" s="2">
        <v>138</v>
      </c>
      <c r="I4" s="26">
        <v>1.0000000000000001E-5</v>
      </c>
      <c r="J4" s="26">
        <f>H4/I4</f>
        <v>13799999.999999998</v>
      </c>
      <c r="K4" s="26">
        <f t="shared" si="0"/>
        <v>7.2463768115942039E-3</v>
      </c>
      <c r="L4" s="2"/>
      <c r="M4" s="2"/>
    </row>
    <row r="5" spans="1:13" x14ac:dyDescent="0.3">
      <c r="A5" s="4">
        <v>4</v>
      </c>
      <c r="B5" s="2" t="s">
        <v>140</v>
      </c>
      <c r="C5" s="2">
        <v>1</v>
      </c>
      <c r="D5" s="22">
        <v>44021</v>
      </c>
      <c r="E5" s="22">
        <v>44055</v>
      </c>
      <c r="F5" s="2">
        <v>21</v>
      </c>
      <c r="G5" s="26">
        <v>9.9999999999999995E-7</v>
      </c>
      <c r="H5" s="2">
        <v>164</v>
      </c>
      <c r="I5" s="26">
        <v>1.0000000000000001E-5</v>
      </c>
      <c r="J5" s="26">
        <f>H5/I5</f>
        <v>16399999.999999998</v>
      </c>
      <c r="K5" s="26">
        <f t="shared" si="0"/>
        <v>6.0975609756097572E-3</v>
      </c>
      <c r="L5" s="2"/>
      <c r="M5" s="2"/>
    </row>
    <row r="6" spans="1:13" x14ac:dyDescent="0.3">
      <c r="A6" s="4">
        <v>5</v>
      </c>
      <c r="B6" s="2" t="s">
        <v>141</v>
      </c>
      <c r="C6" s="2">
        <v>1</v>
      </c>
      <c r="D6" s="22">
        <v>44021</v>
      </c>
      <c r="E6" s="22">
        <v>44055</v>
      </c>
      <c r="F6" s="25">
        <v>28</v>
      </c>
      <c r="G6" s="26">
        <v>9.9999999999999995E-7</v>
      </c>
      <c r="H6" s="2"/>
      <c r="I6" s="26">
        <v>1.0000000000000001E-5</v>
      </c>
      <c r="J6" s="26">
        <f>F6/G6</f>
        <v>28000000</v>
      </c>
      <c r="K6" s="26">
        <f t="shared" si="0"/>
        <v>3.5714285714285713E-3</v>
      </c>
      <c r="L6" s="2"/>
      <c r="M6" s="2" t="s">
        <v>137</v>
      </c>
    </row>
    <row r="7" spans="1:13" x14ac:dyDescent="0.3">
      <c r="A7" s="4">
        <v>6</v>
      </c>
      <c r="B7" s="2" t="s">
        <v>142</v>
      </c>
      <c r="C7" s="2">
        <v>1</v>
      </c>
      <c r="D7" s="22">
        <v>44021</v>
      </c>
      <c r="E7" s="22">
        <v>44055</v>
      </c>
      <c r="F7" s="25">
        <v>39</v>
      </c>
      <c r="G7" s="26">
        <v>9.9999999999999995E-7</v>
      </c>
      <c r="H7" s="2"/>
      <c r="I7" s="26">
        <v>1.0000000000000001E-5</v>
      </c>
      <c r="J7" s="26">
        <f>F7/G7</f>
        <v>39000000</v>
      </c>
      <c r="K7" s="26">
        <f t="shared" si="0"/>
        <v>2.5641025641025641E-3</v>
      </c>
      <c r="L7" s="2"/>
      <c r="M7" s="2" t="s">
        <v>137</v>
      </c>
    </row>
    <row r="8" spans="1:13" x14ac:dyDescent="0.3">
      <c r="A8" s="4">
        <v>7</v>
      </c>
      <c r="B8" s="2" t="s">
        <v>143</v>
      </c>
      <c r="C8" s="2">
        <v>1</v>
      </c>
      <c r="D8" s="22">
        <v>44021</v>
      </c>
      <c r="E8" s="22">
        <v>44055</v>
      </c>
      <c r="F8" s="2">
        <v>19</v>
      </c>
      <c r="G8" s="26">
        <v>9.9999999999999995E-7</v>
      </c>
      <c r="H8" s="2">
        <v>212</v>
      </c>
      <c r="I8" s="26">
        <v>1.0000000000000001E-5</v>
      </c>
      <c r="J8" s="26">
        <f>H8/I8</f>
        <v>21200000</v>
      </c>
      <c r="K8" s="26">
        <f t="shared" si="0"/>
        <v>4.7169811320754715E-3</v>
      </c>
      <c r="L8" s="2"/>
      <c r="M8" s="2"/>
    </row>
    <row r="9" spans="1:13" x14ac:dyDescent="0.3">
      <c r="A9" s="4">
        <v>8</v>
      </c>
      <c r="B9" s="2" t="s">
        <v>144</v>
      </c>
      <c r="C9" s="2">
        <v>1</v>
      </c>
      <c r="D9" s="22">
        <v>44021</v>
      </c>
      <c r="E9" s="22">
        <v>44055</v>
      </c>
      <c r="F9" s="2">
        <v>15</v>
      </c>
      <c r="G9" s="26">
        <v>9.9999999999999995E-7</v>
      </c>
      <c r="H9" s="2">
        <v>159</v>
      </c>
      <c r="I9" s="26">
        <v>1.0000000000000001E-5</v>
      </c>
      <c r="J9" s="26">
        <f t="shared" ref="J9:J13" si="1">H9/I9</f>
        <v>15899999.999999998</v>
      </c>
      <c r="K9" s="26">
        <f t="shared" si="0"/>
        <v>6.2893081761006293E-3</v>
      </c>
      <c r="L9" s="2"/>
      <c r="M9" s="2"/>
    </row>
    <row r="10" spans="1:13" x14ac:dyDescent="0.3">
      <c r="A10" s="4">
        <v>9</v>
      </c>
      <c r="B10" s="2" t="s">
        <v>145</v>
      </c>
      <c r="C10" s="2">
        <v>1</v>
      </c>
      <c r="D10" s="22">
        <v>44021</v>
      </c>
      <c r="E10" s="22">
        <v>44055</v>
      </c>
      <c r="F10" s="2">
        <v>14</v>
      </c>
      <c r="G10" s="26">
        <v>9.9999999999999995E-7</v>
      </c>
      <c r="H10" s="2">
        <v>177</v>
      </c>
      <c r="I10" s="26">
        <v>1.0000000000000001E-5</v>
      </c>
      <c r="J10" s="26">
        <f t="shared" si="1"/>
        <v>17700000</v>
      </c>
      <c r="K10" s="26">
        <f t="shared" si="0"/>
        <v>5.6497175141242938E-3</v>
      </c>
      <c r="L10" s="2"/>
      <c r="M10" s="2"/>
    </row>
    <row r="11" spans="1:13" x14ac:dyDescent="0.3">
      <c r="A11" s="4">
        <v>10</v>
      </c>
      <c r="B11" s="2" t="s">
        <v>146</v>
      </c>
      <c r="C11" s="2">
        <v>1</v>
      </c>
      <c r="D11" s="75">
        <v>44017</v>
      </c>
      <c r="E11" s="22">
        <v>44055</v>
      </c>
      <c r="F11" s="2">
        <v>13</v>
      </c>
      <c r="G11" s="26">
        <v>9.9999999999999995E-7</v>
      </c>
      <c r="H11" s="2">
        <v>84</v>
      </c>
      <c r="I11" s="26">
        <v>1.0000000000000001E-5</v>
      </c>
      <c r="J11" s="26">
        <f t="shared" si="1"/>
        <v>8400000</v>
      </c>
      <c r="K11" s="26">
        <f t="shared" si="0"/>
        <v>1.1904761904761904E-2</v>
      </c>
      <c r="L11" s="2"/>
      <c r="M11" s="2"/>
    </row>
    <row r="12" spans="1:13" x14ac:dyDescent="0.3">
      <c r="A12" s="4">
        <v>11</v>
      </c>
      <c r="B12" s="2" t="s">
        <v>147</v>
      </c>
      <c r="C12" s="23">
        <v>1</v>
      </c>
      <c r="D12" s="2"/>
      <c r="E12" s="22">
        <v>44055</v>
      </c>
      <c r="F12" s="2">
        <v>24</v>
      </c>
      <c r="G12" s="26">
        <v>9.9999999999999995E-7</v>
      </c>
      <c r="H12" s="2">
        <v>204</v>
      </c>
      <c r="I12" s="26">
        <v>1.0000000000000001E-5</v>
      </c>
      <c r="J12" s="26">
        <f t="shared" si="1"/>
        <v>20400000</v>
      </c>
      <c r="K12" s="26">
        <f t="shared" si="0"/>
        <v>4.9019607843137254E-3</v>
      </c>
      <c r="L12" s="2"/>
      <c r="M12" s="2"/>
    </row>
    <row r="13" spans="1:13" x14ac:dyDescent="0.3">
      <c r="A13" s="4">
        <v>12</v>
      </c>
      <c r="B13" s="2" t="s">
        <v>148</v>
      </c>
      <c r="C13" s="2">
        <v>1</v>
      </c>
      <c r="D13" s="75">
        <v>43906</v>
      </c>
      <c r="E13" s="22">
        <v>44055</v>
      </c>
      <c r="F13" s="2">
        <v>11</v>
      </c>
      <c r="G13" s="26">
        <v>9.9999999999999995E-7</v>
      </c>
      <c r="H13" s="2">
        <v>84</v>
      </c>
      <c r="I13" s="26">
        <v>1.0000000000000001E-5</v>
      </c>
      <c r="J13" s="26">
        <f t="shared" si="1"/>
        <v>8400000</v>
      </c>
      <c r="K13" s="26">
        <f t="shared" si="0"/>
        <v>1.1904761904761904E-2</v>
      </c>
      <c r="L13" s="2"/>
      <c r="M13" s="2"/>
    </row>
    <row r="14" spans="1:13" x14ac:dyDescent="0.3">
      <c r="A14" s="4"/>
      <c r="B14" s="2"/>
      <c r="C14" s="2"/>
      <c r="D14" s="2"/>
      <c r="E14" s="2"/>
      <c r="F14" s="2"/>
      <c r="G14" s="2"/>
      <c r="H14" s="2"/>
      <c r="I14" s="2"/>
      <c r="J14" s="2"/>
      <c r="K14" s="26" t="e">
        <f t="shared" si="0"/>
        <v>#DIV/0!</v>
      </c>
      <c r="L14" s="2"/>
      <c r="M14" s="2"/>
    </row>
    <row r="15" spans="1:13" x14ac:dyDescent="0.3">
      <c r="A15" s="4">
        <v>1</v>
      </c>
      <c r="B15" s="2" t="s">
        <v>136</v>
      </c>
      <c r="C15" s="2"/>
      <c r="D15" s="22">
        <v>43908</v>
      </c>
      <c r="E15" s="22">
        <v>44056</v>
      </c>
      <c r="F15" s="2">
        <v>204</v>
      </c>
      <c r="G15" s="26">
        <v>5.0000000000000004E-6</v>
      </c>
      <c r="H15" s="2"/>
      <c r="I15" s="2"/>
      <c r="J15" s="26">
        <f>F15/G15</f>
        <v>40800000</v>
      </c>
      <c r="K15" s="26">
        <f t="shared" si="0"/>
        <v>2.4509803921568627E-3</v>
      </c>
      <c r="L15" s="2"/>
      <c r="M15" s="2" t="s">
        <v>149</v>
      </c>
    </row>
    <row r="16" spans="1:13" x14ac:dyDescent="0.3">
      <c r="A16" s="4">
        <v>2</v>
      </c>
      <c r="B16" s="2" t="s">
        <v>138</v>
      </c>
      <c r="C16" s="2"/>
      <c r="D16" s="22">
        <v>44021</v>
      </c>
      <c r="E16" s="22">
        <v>44056</v>
      </c>
      <c r="F16" s="2">
        <v>181</v>
      </c>
      <c r="G16" s="26">
        <v>5.0000000000000004E-6</v>
      </c>
      <c r="H16" s="2"/>
      <c r="I16" s="2"/>
      <c r="J16" s="26">
        <f t="shared" ref="J16:J18" si="2">F16/G16</f>
        <v>36200000</v>
      </c>
      <c r="K16" s="26">
        <f t="shared" si="0"/>
        <v>2.7624309392265192E-3</v>
      </c>
      <c r="L16" s="2"/>
      <c r="M16" s="2" t="s">
        <v>149</v>
      </c>
    </row>
    <row r="17" spans="1:13" x14ac:dyDescent="0.3">
      <c r="A17" s="4">
        <v>5</v>
      </c>
      <c r="B17" s="2" t="s">
        <v>141</v>
      </c>
      <c r="C17" s="2"/>
      <c r="D17" s="22">
        <v>44021</v>
      </c>
      <c r="E17" s="22">
        <v>44056</v>
      </c>
      <c r="F17" s="2">
        <v>156</v>
      </c>
      <c r="G17" s="26">
        <v>5.0000000000000004E-6</v>
      </c>
      <c r="H17" s="2"/>
      <c r="I17" s="2"/>
      <c r="J17" s="26">
        <f t="shared" si="2"/>
        <v>31199999.999999996</v>
      </c>
      <c r="K17" s="26">
        <f t="shared" si="0"/>
        <v>3.2051282051282055E-3</v>
      </c>
      <c r="L17" s="2"/>
      <c r="M17" s="2" t="s">
        <v>149</v>
      </c>
    </row>
    <row r="18" spans="1:13" x14ac:dyDescent="0.3">
      <c r="A18" s="4">
        <v>6</v>
      </c>
      <c r="B18" s="2" t="s">
        <v>142</v>
      </c>
      <c r="C18" s="2"/>
      <c r="D18" s="22">
        <v>44021</v>
      </c>
      <c r="E18" s="22">
        <v>44056</v>
      </c>
      <c r="F18" s="2">
        <v>236</v>
      </c>
      <c r="G18" s="26">
        <v>5.0000000000000004E-6</v>
      </c>
      <c r="H18" s="2"/>
      <c r="I18" s="2"/>
      <c r="J18" s="26">
        <f t="shared" si="2"/>
        <v>47199999.999999993</v>
      </c>
      <c r="K18" s="26">
        <f t="shared" si="0"/>
        <v>2.1186440677966106E-3</v>
      </c>
      <c r="L18" s="2"/>
      <c r="M18" s="2" t="s">
        <v>149</v>
      </c>
    </row>
    <row r="19" spans="1:13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6"/>
      <c r="L19" s="2"/>
      <c r="M19" s="2"/>
    </row>
    <row r="20" spans="1:13" x14ac:dyDescent="0.3">
      <c r="A20" s="4">
        <v>13</v>
      </c>
      <c r="B20" s="8" t="s">
        <v>168</v>
      </c>
      <c r="C20" s="46"/>
      <c r="E20" s="44"/>
      <c r="F20" s="4"/>
      <c r="G20" s="4"/>
      <c r="H20" s="4"/>
      <c r="I20" s="4"/>
      <c r="J20" s="4"/>
      <c r="K20" s="26"/>
      <c r="L20" s="4"/>
      <c r="M20" s="4"/>
    </row>
    <row r="21" spans="1:13" x14ac:dyDescent="0.3">
      <c r="A21" s="4">
        <v>14</v>
      </c>
      <c r="B21" s="8" t="s">
        <v>169</v>
      </c>
      <c r="C21" s="4">
        <v>1</v>
      </c>
      <c r="D21" s="74">
        <v>44022</v>
      </c>
      <c r="E21" s="44">
        <v>44067</v>
      </c>
      <c r="F21" s="4"/>
      <c r="G21" s="45">
        <v>1.0000000000000001E-5</v>
      </c>
      <c r="H21" s="4">
        <v>226</v>
      </c>
      <c r="I21" s="45">
        <v>5.0000000000000004E-6</v>
      </c>
      <c r="J21" s="45">
        <f>H21/I21</f>
        <v>45200000</v>
      </c>
      <c r="K21" s="26">
        <f t="shared" si="0"/>
        <v>2.2123893805309734E-3</v>
      </c>
      <c r="L21" s="4"/>
      <c r="M21" s="4"/>
    </row>
    <row r="22" spans="1:13" x14ac:dyDescent="0.3">
      <c r="A22" s="4">
        <v>15</v>
      </c>
      <c r="B22" s="8" t="s">
        <v>170</v>
      </c>
      <c r="C22" s="4">
        <v>1</v>
      </c>
      <c r="D22" s="74">
        <v>44022</v>
      </c>
      <c r="E22" s="44">
        <v>44067</v>
      </c>
      <c r="F22" s="4"/>
      <c r="G22" s="45">
        <v>1.0000000000000001E-5</v>
      </c>
      <c r="H22" s="4">
        <v>154</v>
      </c>
      <c r="I22" s="45">
        <v>5.0000000000000004E-6</v>
      </c>
      <c r="J22" s="45">
        <f>H22/I22</f>
        <v>30799999.999999996</v>
      </c>
      <c r="K22" s="26">
        <f t="shared" si="0"/>
        <v>3.246753246753247E-3</v>
      </c>
      <c r="L22" s="4"/>
      <c r="M22" s="4"/>
    </row>
    <row r="23" spans="1:13" x14ac:dyDescent="0.3">
      <c r="A23" s="4">
        <v>16</v>
      </c>
      <c r="B23" s="8" t="s">
        <v>171</v>
      </c>
      <c r="C23" s="46"/>
      <c r="D23" s="4"/>
      <c r="E23" s="44"/>
      <c r="F23" s="4"/>
      <c r="G23" s="45"/>
      <c r="H23" s="4"/>
      <c r="I23" s="45"/>
      <c r="J23" s="45"/>
      <c r="K23" s="26"/>
      <c r="L23" s="4"/>
      <c r="M23" s="4"/>
    </row>
    <row r="24" spans="1:13" x14ac:dyDescent="0.3">
      <c r="A24" s="4">
        <v>17</v>
      </c>
      <c r="B24" s="8" t="s">
        <v>172</v>
      </c>
      <c r="C24" s="4">
        <v>1</v>
      </c>
      <c r="D24" s="74">
        <v>44022</v>
      </c>
      <c r="E24" s="44">
        <v>44067</v>
      </c>
      <c r="F24" s="4"/>
      <c r="G24" s="45">
        <v>1.0000000000000001E-5</v>
      </c>
      <c r="H24" s="4">
        <v>100</v>
      </c>
      <c r="I24" s="45">
        <v>5.0000000000000004E-6</v>
      </c>
      <c r="J24" s="45">
        <f t="shared" ref="J24:J30" si="3">H24/I24</f>
        <v>20000000</v>
      </c>
      <c r="K24" s="26">
        <f t="shared" si="0"/>
        <v>5.0000000000000001E-3</v>
      </c>
      <c r="L24" s="4"/>
      <c r="M24" s="4" t="s">
        <v>198</v>
      </c>
    </row>
    <row r="25" spans="1:13" x14ac:dyDescent="0.3">
      <c r="A25" s="4">
        <v>18</v>
      </c>
      <c r="B25" s="8" t="s">
        <v>173</v>
      </c>
      <c r="C25" s="4">
        <v>1</v>
      </c>
      <c r="D25" s="74">
        <v>44022</v>
      </c>
      <c r="E25" s="44">
        <v>44067</v>
      </c>
      <c r="F25" s="4"/>
      <c r="G25" s="45">
        <v>1.0000000000000001E-5</v>
      </c>
      <c r="H25" s="4">
        <v>167</v>
      </c>
      <c r="I25" s="45">
        <v>5.0000000000000004E-6</v>
      </c>
      <c r="J25" s="45">
        <f t="shared" si="3"/>
        <v>33399999.999999996</v>
      </c>
      <c r="K25" s="26">
        <f t="shared" si="0"/>
        <v>2.9940119760479044E-3</v>
      </c>
      <c r="L25" s="4"/>
      <c r="M25" s="4"/>
    </row>
    <row r="26" spans="1:13" x14ac:dyDescent="0.3">
      <c r="A26" s="4">
        <v>19</v>
      </c>
      <c r="B26" s="8" t="s">
        <v>174</v>
      </c>
      <c r="C26" s="4">
        <v>3</v>
      </c>
      <c r="D26" s="74">
        <v>44022</v>
      </c>
      <c r="E26" s="44">
        <v>44067</v>
      </c>
      <c r="F26" s="4"/>
      <c r="G26" s="45">
        <v>1.0000000000000001E-5</v>
      </c>
      <c r="H26" s="4">
        <v>400</v>
      </c>
      <c r="I26" s="45">
        <v>5.0000000000000004E-6</v>
      </c>
      <c r="J26" s="45">
        <f t="shared" si="3"/>
        <v>80000000</v>
      </c>
      <c r="K26" s="26">
        <f t="shared" si="0"/>
        <v>1.25E-3</v>
      </c>
      <c r="L26" s="4"/>
      <c r="M26" s="4"/>
    </row>
    <row r="27" spans="1:13" x14ac:dyDescent="0.3">
      <c r="A27" s="4">
        <v>20</v>
      </c>
      <c r="B27" s="8" t="s">
        <v>175</v>
      </c>
      <c r="C27" s="4">
        <v>3</v>
      </c>
      <c r="D27" s="74">
        <v>44022</v>
      </c>
      <c r="E27" s="44">
        <v>44067</v>
      </c>
      <c r="F27" s="4" t="s">
        <v>202</v>
      </c>
      <c r="G27" s="45">
        <v>1.0000000000000001E-5</v>
      </c>
      <c r="H27" s="4">
        <v>0</v>
      </c>
      <c r="I27" s="45">
        <v>5.0000000000000004E-6</v>
      </c>
      <c r="J27" s="45">
        <f t="shared" si="3"/>
        <v>0</v>
      </c>
      <c r="K27" s="26" t="e">
        <f t="shared" si="0"/>
        <v>#DIV/0!</v>
      </c>
      <c r="L27" s="4"/>
      <c r="M27" s="4" t="s">
        <v>201</v>
      </c>
    </row>
    <row r="28" spans="1:13" x14ac:dyDescent="0.3">
      <c r="A28" s="4">
        <v>21</v>
      </c>
      <c r="B28" s="10" t="s">
        <v>186</v>
      </c>
      <c r="C28" s="46"/>
      <c r="D28" s="4"/>
      <c r="E28" s="4"/>
      <c r="F28" s="4"/>
      <c r="G28" s="45"/>
      <c r="H28" s="4"/>
      <c r="I28" s="45"/>
      <c r="J28" s="45"/>
      <c r="K28" s="26"/>
      <c r="L28" s="4"/>
      <c r="M28" s="4"/>
    </row>
    <row r="29" spans="1:13" x14ac:dyDescent="0.3">
      <c r="A29" s="4">
        <v>22</v>
      </c>
      <c r="B29" s="10" t="s">
        <v>187</v>
      </c>
      <c r="C29" s="4"/>
      <c r="D29" s="74">
        <v>44011</v>
      </c>
      <c r="E29" s="44">
        <v>44067</v>
      </c>
      <c r="F29" s="4"/>
      <c r="G29" s="45"/>
      <c r="H29" s="4">
        <v>259</v>
      </c>
      <c r="I29" s="45">
        <v>5.0000000000000004E-6</v>
      </c>
      <c r="J29" s="45">
        <f t="shared" si="3"/>
        <v>51799999.999999993</v>
      </c>
      <c r="K29" s="26">
        <f t="shared" si="0"/>
        <v>1.9305019305019308E-3</v>
      </c>
      <c r="L29" s="4"/>
      <c r="M29" s="4"/>
    </row>
    <row r="30" spans="1:13" x14ac:dyDescent="0.3">
      <c r="A30" s="4">
        <v>23</v>
      </c>
      <c r="B30" s="10" t="s">
        <v>188</v>
      </c>
      <c r="C30" s="4"/>
      <c r="D30" s="74">
        <v>44011</v>
      </c>
      <c r="E30" s="44">
        <v>44067</v>
      </c>
      <c r="F30" s="4"/>
      <c r="G30" s="45"/>
      <c r="H30" s="4">
        <v>217</v>
      </c>
      <c r="I30" s="45">
        <v>5.0000000000000004E-6</v>
      </c>
      <c r="J30" s="45">
        <f t="shared" si="3"/>
        <v>43400000</v>
      </c>
      <c r="K30" s="26">
        <f t="shared" si="0"/>
        <v>2.304147465437788E-3</v>
      </c>
      <c r="L30" s="4"/>
      <c r="M30" s="4" t="s">
        <v>197</v>
      </c>
    </row>
    <row r="31" spans="1:13" x14ac:dyDescent="0.3">
      <c r="A31" s="4"/>
      <c r="B31" s="8"/>
      <c r="C31" s="4"/>
      <c r="D31" s="4"/>
      <c r="E31" s="4"/>
      <c r="F31" s="4"/>
      <c r="G31" s="45"/>
      <c r="H31" s="4"/>
      <c r="I31" s="45"/>
      <c r="J31" s="4"/>
      <c r="K31" s="4"/>
      <c r="L31" s="4"/>
      <c r="M31" s="4"/>
    </row>
    <row r="32" spans="1:13" x14ac:dyDescent="0.3">
      <c r="A32" s="4">
        <v>24</v>
      </c>
      <c r="B32" s="8" t="s">
        <v>176</v>
      </c>
      <c r="C32" s="4">
        <v>1</v>
      </c>
      <c r="D32" s="74">
        <v>44040</v>
      </c>
      <c r="E32" s="44">
        <v>44067</v>
      </c>
      <c r="F32" s="4"/>
      <c r="G32" s="45">
        <v>1.0000000000000001E-5</v>
      </c>
      <c r="H32" s="4" t="s">
        <v>199</v>
      </c>
      <c r="I32" s="45">
        <v>5.0000000000000004E-6</v>
      </c>
      <c r="J32" s="4"/>
      <c r="K32" s="4"/>
      <c r="L32" s="4"/>
      <c r="M32" s="4" t="s">
        <v>200</v>
      </c>
    </row>
    <row r="33" spans="1:13" x14ac:dyDescent="0.3">
      <c r="A33" s="4">
        <v>25</v>
      </c>
      <c r="B33" s="8" t="s">
        <v>177</v>
      </c>
      <c r="C33" s="4">
        <v>1</v>
      </c>
      <c r="D33" s="74">
        <v>44040</v>
      </c>
      <c r="E33" s="44">
        <v>44067</v>
      </c>
      <c r="F33" s="4"/>
      <c r="G33" s="45">
        <v>1.0000000000000001E-5</v>
      </c>
      <c r="H33" s="4" t="s">
        <v>199</v>
      </c>
      <c r="I33" s="45">
        <v>5.0000000000000004E-6</v>
      </c>
      <c r="J33" s="4"/>
      <c r="K33" s="4"/>
      <c r="L33" s="4"/>
      <c r="M33" s="4" t="s">
        <v>200</v>
      </c>
    </row>
    <row r="34" spans="1:13" x14ac:dyDescent="0.3">
      <c r="A34" s="4">
        <v>26</v>
      </c>
      <c r="B34" s="8" t="s">
        <v>178</v>
      </c>
      <c r="C34" s="4">
        <v>1</v>
      </c>
      <c r="D34" s="74">
        <v>44040</v>
      </c>
      <c r="E34" s="44">
        <v>44067</v>
      </c>
      <c r="F34" s="4"/>
      <c r="G34" s="45">
        <v>1.0000000000000001E-5</v>
      </c>
      <c r="H34" s="4" t="s">
        <v>199</v>
      </c>
      <c r="I34" s="45">
        <v>5.0000000000000004E-6</v>
      </c>
      <c r="J34" s="4"/>
      <c r="K34" s="4"/>
      <c r="L34" s="4"/>
      <c r="M34" s="4" t="s">
        <v>200</v>
      </c>
    </row>
    <row r="35" spans="1:13" x14ac:dyDescent="0.3">
      <c r="A35" s="4">
        <v>27</v>
      </c>
      <c r="B35" s="8" t="s">
        <v>179</v>
      </c>
      <c r="C35" s="4">
        <v>1</v>
      </c>
      <c r="D35" s="74">
        <v>44040</v>
      </c>
      <c r="E35" s="44">
        <v>44067</v>
      </c>
      <c r="F35" s="4"/>
      <c r="G35" s="45">
        <v>1.0000000000000001E-5</v>
      </c>
      <c r="H35" s="4" t="s">
        <v>199</v>
      </c>
      <c r="I35" s="45">
        <v>5.0000000000000004E-6</v>
      </c>
      <c r="J35" s="4"/>
      <c r="K35" s="4"/>
      <c r="L35" s="4"/>
      <c r="M35" s="4" t="s">
        <v>200</v>
      </c>
    </row>
    <row r="36" spans="1:13" x14ac:dyDescent="0.3">
      <c r="A36" s="4">
        <v>28</v>
      </c>
      <c r="B36" s="8" t="s">
        <v>180</v>
      </c>
      <c r="C36" s="4">
        <v>1</v>
      </c>
      <c r="D36" s="74">
        <v>44040</v>
      </c>
      <c r="E36" s="44">
        <v>44067</v>
      </c>
      <c r="F36" s="4"/>
      <c r="G36" s="45">
        <v>1.0000000000000001E-5</v>
      </c>
      <c r="H36" s="4" t="s">
        <v>199</v>
      </c>
      <c r="I36" s="45">
        <v>5.0000000000000004E-6</v>
      </c>
      <c r="J36" s="4"/>
      <c r="K36" s="4"/>
      <c r="L36" s="4"/>
      <c r="M36" s="4" t="s">
        <v>200</v>
      </c>
    </row>
    <row r="37" spans="1:13" x14ac:dyDescent="0.3">
      <c r="A37" s="4">
        <v>29</v>
      </c>
      <c r="B37" s="8" t="s">
        <v>181</v>
      </c>
      <c r="C37" s="4">
        <v>1</v>
      </c>
      <c r="D37" s="74">
        <v>44040</v>
      </c>
      <c r="E37" s="44">
        <v>44067</v>
      </c>
      <c r="F37" s="4"/>
      <c r="G37" s="45">
        <v>1.0000000000000001E-5</v>
      </c>
      <c r="H37" s="4" t="s">
        <v>199</v>
      </c>
      <c r="I37" s="45">
        <v>5.0000000000000004E-6</v>
      </c>
      <c r="J37" s="4"/>
      <c r="K37" s="4"/>
      <c r="L37" s="4"/>
      <c r="M37" s="4" t="s">
        <v>200</v>
      </c>
    </row>
    <row r="38" spans="1:13" x14ac:dyDescent="0.3">
      <c r="A38" s="4">
        <v>30</v>
      </c>
      <c r="B38" s="8" t="s">
        <v>182</v>
      </c>
      <c r="C38" s="4">
        <v>1</v>
      </c>
      <c r="D38" s="74">
        <v>44040</v>
      </c>
      <c r="E38" s="44">
        <v>44067</v>
      </c>
      <c r="F38" s="4"/>
      <c r="G38" s="45">
        <v>1.0000000000000001E-5</v>
      </c>
      <c r="H38" s="4" t="s">
        <v>199</v>
      </c>
      <c r="I38" s="45">
        <v>5.0000000000000004E-6</v>
      </c>
      <c r="J38" s="4"/>
      <c r="K38" s="4"/>
      <c r="L38" s="4"/>
      <c r="M38" s="4" t="s">
        <v>200</v>
      </c>
    </row>
    <row r="39" spans="1:13" x14ac:dyDescent="0.3">
      <c r="A39" s="4">
        <v>31</v>
      </c>
      <c r="B39" s="8" t="s">
        <v>183</v>
      </c>
      <c r="C39" s="4">
        <v>1</v>
      </c>
      <c r="D39" s="74">
        <v>44040</v>
      </c>
      <c r="E39" s="44">
        <v>44067</v>
      </c>
      <c r="F39" s="4"/>
      <c r="G39" s="45">
        <v>1.0000000000000001E-5</v>
      </c>
      <c r="H39" s="4" t="s">
        <v>199</v>
      </c>
      <c r="I39" s="45">
        <v>5.0000000000000004E-6</v>
      </c>
      <c r="J39" s="4"/>
      <c r="K39" s="4"/>
      <c r="L39" s="4"/>
      <c r="M39" s="4" t="s">
        <v>200</v>
      </c>
    </row>
    <row r="40" spans="1:13" x14ac:dyDescent="0.3">
      <c r="A40" s="4">
        <v>32</v>
      </c>
      <c r="B40" s="10" t="s">
        <v>184</v>
      </c>
      <c r="C40" s="46"/>
      <c r="D40" s="2"/>
      <c r="E40" s="4"/>
      <c r="F40" s="4"/>
      <c r="G40" s="4"/>
      <c r="H40" s="4"/>
      <c r="I40" s="4"/>
      <c r="J40" s="4"/>
      <c r="K40" s="4"/>
      <c r="L40" s="4"/>
      <c r="M40" s="4"/>
    </row>
    <row r="41" spans="1:13" x14ac:dyDescent="0.3">
      <c r="A41" s="4">
        <v>33</v>
      </c>
      <c r="B41" s="10" t="s">
        <v>185</v>
      </c>
      <c r="C41" s="46"/>
      <c r="D41" s="2"/>
      <c r="E41" s="4"/>
      <c r="F41" s="4"/>
      <c r="G41" s="4"/>
      <c r="H41" s="4"/>
      <c r="I41" s="4"/>
      <c r="J41" s="4"/>
      <c r="K41" s="4"/>
      <c r="L41" s="4"/>
      <c r="M41" s="4"/>
    </row>
    <row r="42" spans="1:13" x14ac:dyDescent="0.3">
      <c r="A42" s="4">
        <v>34</v>
      </c>
      <c r="B42" s="10" t="s">
        <v>189</v>
      </c>
      <c r="C42" s="4"/>
      <c r="D42" s="74">
        <v>44032</v>
      </c>
      <c r="E42" s="44">
        <v>44067</v>
      </c>
      <c r="F42" s="4"/>
      <c r="G42" s="4"/>
      <c r="H42" s="4" t="s">
        <v>199</v>
      </c>
      <c r="I42" s="45">
        <v>5.0000000000000004E-6</v>
      </c>
      <c r="J42" s="4"/>
      <c r="K42" s="4"/>
      <c r="L42" s="4"/>
      <c r="M42" s="4" t="s">
        <v>200</v>
      </c>
    </row>
    <row r="43" spans="1:13" x14ac:dyDescent="0.3">
      <c r="A43" s="4">
        <v>35</v>
      </c>
      <c r="B43" s="10" t="s">
        <v>190</v>
      </c>
      <c r="C43" s="4"/>
      <c r="D43" s="74">
        <v>44032</v>
      </c>
      <c r="E43" s="44">
        <v>44067</v>
      </c>
      <c r="F43" s="4"/>
      <c r="G43" s="4"/>
      <c r="H43" s="4">
        <v>173</v>
      </c>
      <c r="I43" s="45">
        <v>5.0000000000000004E-6</v>
      </c>
      <c r="J43" s="45">
        <f>H43/I43</f>
        <v>34600000</v>
      </c>
      <c r="K43" s="45">
        <f>100000/J43</f>
        <v>2.8901734104046241E-3</v>
      </c>
      <c r="L43" s="4"/>
      <c r="M43" s="4"/>
    </row>
    <row r="44" spans="1:13" x14ac:dyDescent="0.3">
      <c r="A44" s="4">
        <v>36</v>
      </c>
      <c r="B44" s="10" t="s">
        <v>191</v>
      </c>
      <c r="C44" s="4"/>
      <c r="D44" s="74">
        <v>44032</v>
      </c>
      <c r="E44" s="44">
        <v>44067</v>
      </c>
      <c r="F44" s="4"/>
      <c r="G44" s="4"/>
      <c r="H44" s="4" t="s">
        <v>199</v>
      </c>
      <c r="I44" s="45">
        <v>5.0000000000000004E-6</v>
      </c>
      <c r="J44" s="4"/>
      <c r="K44" s="4"/>
      <c r="L44" s="4"/>
      <c r="M44" s="4" t="s">
        <v>200</v>
      </c>
    </row>
    <row r="45" spans="1:13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3">
      <c r="A46" s="4">
        <v>20</v>
      </c>
      <c r="B46" s="8" t="s">
        <v>175</v>
      </c>
      <c r="C46" s="4">
        <v>3</v>
      </c>
      <c r="D46" s="74">
        <v>44022</v>
      </c>
      <c r="E46" s="22">
        <v>44069</v>
      </c>
      <c r="F46" s="2">
        <v>61</v>
      </c>
      <c r="G46" s="26">
        <v>5.0000000000000002E-5</v>
      </c>
      <c r="H46" s="2">
        <v>19</v>
      </c>
      <c r="I46" s="26">
        <v>1.0000000000000001E-5</v>
      </c>
      <c r="J46" s="26">
        <f>F46/G46</f>
        <v>1220000</v>
      </c>
      <c r="K46" s="26">
        <f>100000/J46</f>
        <v>8.1967213114754092E-2</v>
      </c>
      <c r="L46" s="2"/>
      <c r="M46" s="2" t="s">
        <v>203</v>
      </c>
    </row>
    <row r="47" spans="1:13" x14ac:dyDescent="0.3">
      <c r="A47" s="4">
        <v>25</v>
      </c>
      <c r="B47" s="8" t="s">
        <v>177</v>
      </c>
      <c r="C47" s="4">
        <v>1</v>
      </c>
      <c r="D47" s="74">
        <v>44040</v>
      </c>
      <c r="E47" s="22">
        <v>44069</v>
      </c>
      <c r="F47" s="2">
        <v>175</v>
      </c>
      <c r="G47" s="26">
        <v>4.9999999999999998E-7</v>
      </c>
      <c r="H47" s="2"/>
      <c r="I47" s="2"/>
      <c r="J47" s="26">
        <f>F47/G47</f>
        <v>350000000</v>
      </c>
      <c r="K47" s="26">
        <f t="shared" ref="K47:K55" si="4">100000/J47</f>
        <v>2.8571428571428574E-4</v>
      </c>
      <c r="L47" s="2"/>
      <c r="M47" s="2"/>
    </row>
    <row r="48" spans="1:13" x14ac:dyDescent="0.3">
      <c r="A48" s="4">
        <v>26</v>
      </c>
      <c r="B48" s="8" t="s">
        <v>178</v>
      </c>
      <c r="C48" s="4">
        <v>1</v>
      </c>
      <c r="D48" s="74">
        <v>44040</v>
      </c>
      <c r="E48" s="22">
        <v>44069</v>
      </c>
      <c r="F48" s="2">
        <v>189</v>
      </c>
      <c r="G48" s="26">
        <v>4.9999999999999998E-7</v>
      </c>
      <c r="H48" s="2"/>
      <c r="I48" s="2"/>
      <c r="J48" s="26">
        <f t="shared" ref="J48:J55" si="5">F48/G48</f>
        <v>378000000</v>
      </c>
      <c r="K48" s="26">
        <f t="shared" si="4"/>
        <v>2.6455026455026457E-4</v>
      </c>
      <c r="L48" s="2"/>
      <c r="M48" s="2"/>
    </row>
    <row r="49" spans="1:13" x14ac:dyDescent="0.3">
      <c r="A49" s="4">
        <v>27</v>
      </c>
      <c r="B49" s="8" t="s">
        <v>179</v>
      </c>
      <c r="C49" s="4">
        <v>1</v>
      </c>
      <c r="D49" s="74">
        <v>44040</v>
      </c>
      <c r="E49" s="22">
        <v>44069</v>
      </c>
      <c r="F49" s="2">
        <v>185</v>
      </c>
      <c r="G49" s="26">
        <v>4.9999999999999998E-7</v>
      </c>
      <c r="H49" s="2"/>
      <c r="I49" s="2"/>
      <c r="J49" s="26">
        <f t="shared" si="5"/>
        <v>370000000</v>
      </c>
      <c r="K49" s="26">
        <f t="shared" si="4"/>
        <v>2.7027027027027027E-4</v>
      </c>
      <c r="L49" s="2"/>
      <c r="M49" s="2"/>
    </row>
    <row r="50" spans="1:13" x14ac:dyDescent="0.3">
      <c r="A50" s="4">
        <v>28</v>
      </c>
      <c r="B50" s="8" t="s">
        <v>180</v>
      </c>
      <c r="C50" s="4">
        <v>1</v>
      </c>
      <c r="D50" s="74">
        <v>44040</v>
      </c>
      <c r="E50" s="22">
        <v>44069</v>
      </c>
      <c r="F50" s="2">
        <v>279</v>
      </c>
      <c r="G50" s="26">
        <v>4.9999999999999998E-7</v>
      </c>
      <c r="H50" s="2"/>
      <c r="I50" s="2"/>
      <c r="J50" s="26">
        <f t="shared" si="5"/>
        <v>558000000</v>
      </c>
      <c r="K50" s="26">
        <f t="shared" si="4"/>
        <v>1.7921146953405018E-4</v>
      </c>
      <c r="L50" s="2"/>
      <c r="M50" s="2"/>
    </row>
    <row r="51" spans="1:13" x14ac:dyDescent="0.3">
      <c r="A51" s="4">
        <v>29</v>
      </c>
      <c r="B51" s="8" t="s">
        <v>181</v>
      </c>
      <c r="C51" s="4">
        <v>1</v>
      </c>
      <c r="D51" s="74">
        <v>44040</v>
      </c>
      <c r="E51" s="22">
        <v>44069</v>
      </c>
      <c r="F51" s="2">
        <v>224</v>
      </c>
      <c r="G51" s="26">
        <v>4.9999999999999998E-7</v>
      </c>
      <c r="H51" s="2"/>
      <c r="I51" s="2"/>
      <c r="J51" s="26">
        <f t="shared" si="5"/>
        <v>448000000</v>
      </c>
      <c r="K51" s="26">
        <f t="shared" si="4"/>
        <v>2.2321428571428571E-4</v>
      </c>
      <c r="L51" s="2"/>
      <c r="M51" s="2"/>
    </row>
    <row r="52" spans="1:13" x14ac:dyDescent="0.3">
      <c r="A52" s="4">
        <v>30</v>
      </c>
      <c r="B52" s="8" t="s">
        <v>182</v>
      </c>
      <c r="C52" s="4">
        <v>1</v>
      </c>
      <c r="D52" s="74">
        <v>44040</v>
      </c>
      <c r="E52" s="22">
        <v>44069</v>
      </c>
      <c r="F52" s="2">
        <v>73</v>
      </c>
      <c r="G52" s="26">
        <v>4.9999999999999998E-7</v>
      </c>
      <c r="H52" s="2"/>
      <c r="I52" s="2"/>
      <c r="J52" s="26">
        <f t="shared" si="5"/>
        <v>146000000</v>
      </c>
      <c r="K52" s="26">
        <f t="shared" si="4"/>
        <v>6.8493150684931507E-4</v>
      </c>
      <c r="L52" s="2"/>
      <c r="M52" s="2"/>
    </row>
    <row r="53" spans="1:13" x14ac:dyDescent="0.3">
      <c r="A53" s="4">
        <v>31</v>
      </c>
      <c r="B53" s="8" t="s">
        <v>183</v>
      </c>
      <c r="C53" s="4">
        <v>1</v>
      </c>
      <c r="D53" s="74">
        <v>44040</v>
      </c>
      <c r="E53" s="22">
        <v>44069</v>
      </c>
      <c r="F53" s="2">
        <v>229</v>
      </c>
      <c r="G53" s="26">
        <v>4.9999999999999998E-7</v>
      </c>
      <c r="H53" s="2"/>
      <c r="I53" s="2"/>
      <c r="J53" s="26">
        <f t="shared" si="5"/>
        <v>458000000</v>
      </c>
      <c r="K53" s="26">
        <f t="shared" si="4"/>
        <v>2.183406113537118E-4</v>
      </c>
      <c r="L53" s="2"/>
      <c r="M53" s="2"/>
    </row>
    <row r="54" spans="1:13" x14ac:dyDescent="0.3">
      <c r="A54" s="4">
        <v>34</v>
      </c>
      <c r="B54" s="10" t="s">
        <v>189</v>
      </c>
      <c r="C54" s="4"/>
      <c r="D54" s="74">
        <v>44032</v>
      </c>
      <c r="E54" s="22">
        <v>44069</v>
      </c>
      <c r="F54" s="2">
        <v>127</v>
      </c>
      <c r="G54" s="26">
        <v>4.9999999999999998E-7</v>
      </c>
      <c r="H54" s="2"/>
      <c r="I54" s="2"/>
      <c r="J54" s="26">
        <f t="shared" si="5"/>
        <v>254000000</v>
      </c>
      <c r="K54" s="26">
        <f t="shared" si="4"/>
        <v>3.937007874015748E-4</v>
      </c>
      <c r="L54" s="2"/>
      <c r="M54" s="2"/>
    </row>
    <row r="55" spans="1:13" x14ac:dyDescent="0.3">
      <c r="A55" s="4">
        <v>35</v>
      </c>
      <c r="B55" s="10" t="s">
        <v>190</v>
      </c>
      <c r="C55" s="4"/>
      <c r="D55" s="74">
        <v>44032</v>
      </c>
      <c r="E55" s="22">
        <v>44069</v>
      </c>
      <c r="F55" s="2">
        <v>118</v>
      </c>
      <c r="G55" s="26">
        <v>4.9999999999999998E-7</v>
      </c>
      <c r="H55" s="2"/>
      <c r="I55" s="2"/>
      <c r="J55" s="26">
        <f t="shared" si="5"/>
        <v>236000000</v>
      </c>
      <c r="K55" s="26">
        <f t="shared" si="4"/>
        <v>4.2372881355932202E-4</v>
      </c>
      <c r="L55" s="2"/>
      <c r="M55" s="2"/>
    </row>
    <row r="57" spans="1:13" x14ac:dyDescent="0.3">
      <c r="A57" s="5">
        <v>24</v>
      </c>
      <c r="B57" s="8" t="s">
        <v>176</v>
      </c>
      <c r="C57" s="2"/>
      <c r="D57" s="2"/>
      <c r="E57" s="22">
        <v>44070</v>
      </c>
      <c r="F57" s="2">
        <v>168</v>
      </c>
      <c r="G57" s="26">
        <v>4.9999999999999998E-7</v>
      </c>
      <c r="H57" s="2"/>
      <c r="I57" s="2"/>
      <c r="J57" s="26">
        <f>F57/G57</f>
        <v>336000000</v>
      </c>
      <c r="K57" s="26">
        <f>100000/J57</f>
        <v>2.9761904761904765E-4</v>
      </c>
      <c r="L57" s="2"/>
      <c r="M57" s="2"/>
    </row>
    <row r="59" spans="1:13" x14ac:dyDescent="0.3">
      <c r="A59" s="4">
        <v>32</v>
      </c>
      <c r="B59" s="10" t="s">
        <v>184</v>
      </c>
      <c r="C59" s="2" t="s">
        <v>237</v>
      </c>
      <c r="D59" s="74">
        <v>44082</v>
      </c>
      <c r="E59" s="22">
        <v>44109</v>
      </c>
      <c r="F59" s="2">
        <v>142</v>
      </c>
      <c r="G59" s="26">
        <v>9.9999999999999995E-7</v>
      </c>
      <c r="H59" s="2"/>
      <c r="I59" s="2"/>
      <c r="J59" s="26">
        <f>F59/G59</f>
        <v>142000000</v>
      </c>
      <c r="K59" s="26">
        <f>100000/J59</f>
        <v>7.0422535211267609E-4</v>
      </c>
      <c r="L59" s="2"/>
      <c r="M59" s="2"/>
    </row>
    <row r="60" spans="1:13" x14ac:dyDescent="0.3">
      <c r="A60" s="4">
        <v>33</v>
      </c>
      <c r="B60" s="10" t="s">
        <v>185</v>
      </c>
      <c r="C60" s="2" t="s">
        <v>237</v>
      </c>
      <c r="D60" s="74">
        <v>44082</v>
      </c>
      <c r="E60" s="22">
        <v>44109</v>
      </c>
      <c r="F60" s="2">
        <v>65</v>
      </c>
      <c r="G60" s="26">
        <v>9.9999999999999995E-7</v>
      </c>
      <c r="H60" s="2"/>
      <c r="I60" s="2"/>
      <c r="J60" s="26">
        <f>F60/G60</f>
        <v>65000000</v>
      </c>
      <c r="K60" s="26">
        <f>100000/J60</f>
        <v>1.5384615384615385E-3</v>
      </c>
      <c r="L60" s="2"/>
      <c r="M60" s="2"/>
    </row>
    <row r="61" spans="1:13" x14ac:dyDescent="0.3">
      <c r="A61" s="4">
        <v>1</v>
      </c>
      <c r="B61" s="2" t="s">
        <v>136</v>
      </c>
      <c r="C61" s="2">
        <v>2</v>
      </c>
      <c r="D61" s="22">
        <v>43908</v>
      </c>
      <c r="E61" s="22">
        <v>44109</v>
      </c>
      <c r="F61" s="2">
        <v>131</v>
      </c>
      <c r="G61" s="26">
        <v>5.0000000000000004E-6</v>
      </c>
      <c r="H61" s="2"/>
      <c r="I61" s="2"/>
      <c r="J61" s="26">
        <f>F61/G61</f>
        <v>26199999.999999996</v>
      </c>
      <c r="K61" s="26">
        <f>100000/J61</f>
        <v>3.8167938931297717E-3</v>
      </c>
      <c r="L61" s="2"/>
      <c r="M61" s="2"/>
    </row>
    <row r="62" spans="1:13" x14ac:dyDescent="0.3">
      <c r="A62" s="4">
        <v>37</v>
      </c>
      <c r="B62" s="2" t="s">
        <v>228</v>
      </c>
      <c r="C62" s="2">
        <v>1</v>
      </c>
      <c r="D62" s="75">
        <v>44099</v>
      </c>
      <c r="E62" s="22">
        <v>44109</v>
      </c>
      <c r="F62" s="78">
        <v>506</v>
      </c>
      <c r="G62" s="26">
        <v>9.9999999999999995E-7</v>
      </c>
      <c r="H62" s="2"/>
      <c r="I62" s="2"/>
      <c r="J62" s="26">
        <f t="shared" ref="J62:J71" si="6">F62/G62</f>
        <v>506000000</v>
      </c>
      <c r="K62" s="26">
        <f t="shared" ref="K62:K71" si="7">100000/J62</f>
        <v>1.9762845849802371E-4</v>
      </c>
      <c r="L62" s="2"/>
      <c r="M62" s="2" t="s">
        <v>238</v>
      </c>
    </row>
    <row r="63" spans="1:13" x14ac:dyDescent="0.3">
      <c r="A63" s="4">
        <v>38</v>
      </c>
      <c r="B63" s="2" t="s">
        <v>229</v>
      </c>
      <c r="C63" s="2">
        <v>1</v>
      </c>
      <c r="D63" s="75">
        <v>44099</v>
      </c>
      <c r="E63" s="22">
        <v>44109</v>
      </c>
      <c r="F63" s="2">
        <v>339</v>
      </c>
      <c r="G63" s="26">
        <v>9.9999999999999995E-7</v>
      </c>
      <c r="H63" s="2"/>
      <c r="I63" s="2"/>
      <c r="J63" s="26">
        <f t="shared" si="6"/>
        <v>339000000</v>
      </c>
      <c r="K63" s="26">
        <f t="shared" si="7"/>
        <v>2.9498525073746312E-4</v>
      </c>
      <c r="L63" s="2"/>
      <c r="M63" s="2"/>
    </row>
    <row r="64" spans="1:13" x14ac:dyDescent="0.3">
      <c r="A64" s="4">
        <v>39</v>
      </c>
      <c r="B64" s="2" t="s">
        <v>230</v>
      </c>
      <c r="C64" s="2">
        <v>1</v>
      </c>
      <c r="D64" s="75">
        <v>44099</v>
      </c>
      <c r="E64" s="22">
        <v>44109</v>
      </c>
      <c r="F64" s="78">
        <v>511</v>
      </c>
      <c r="G64" s="26">
        <v>9.9999999999999995E-7</v>
      </c>
      <c r="H64" s="2"/>
      <c r="I64" s="2"/>
      <c r="J64" s="26">
        <f t="shared" si="6"/>
        <v>511000000</v>
      </c>
      <c r="K64" s="26">
        <f t="shared" si="7"/>
        <v>1.9569471624266145E-4</v>
      </c>
      <c r="L64" s="2"/>
      <c r="M64" s="2"/>
    </row>
    <row r="65" spans="1:14" x14ac:dyDescent="0.3">
      <c r="A65" s="4">
        <v>40</v>
      </c>
      <c r="B65" s="2" t="s">
        <v>231</v>
      </c>
      <c r="C65" s="2">
        <v>1</v>
      </c>
      <c r="D65" s="75">
        <v>44099</v>
      </c>
      <c r="E65" s="22">
        <v>44109</v>
      </c>
      <c r="F65" s="2">
        <v>373</v>
      </c>
      <c r="G65" s="26">
        <v>9.9999999999999995E-7</v>
      </c>
      <c r="H65" s="2"/>
      <c r="I65" s="2"/>
      <c r="J65" s="26">
        <f t="shared" si="6"/>
        <v>373000000</v>
      </c>
      <c r="K65" s="26">
        <f t="shared" si="7"/>
        <v>2.6809651474530834E-4</v>
      </c>
      <c r="L65" s="2"/>
      <c r="M65" s="2"/>
    </row>
    <row r="66" spans="1:14" x14ac:dyDescent="0.3">
      <c r="A66" s="4">
        <v>41</v>
      </c>
      <c r="B66" s="2" t="s">
        <v>232</v>
      </c>
      <c r="C66" s="2">
        <v>1</v>
      </c>
      <c r="D66" s="75">
        <v>44099</v>
      </c>
      <c r="E66" s="22">
        <v>44109</v>
      </c>
      <c r="F66" s="78">
        <v>498</v>
      </c>
      <c r="G66" s="26">
        <v>9.9999999999999995E-7</v>
      </c>
      <c r="H66" s="2"/>
      <c r="I66" s="2"/>
      <c r="J66" s="26">
        <f t="shared" si="6"/>
        <v>498000000</v>
      </c>
      <c r="K66" s="26">
        <f t="shared" si="7"/>
        <v>2.0080321285140563E-4</v>
      </c>
      <c r="L66" s="2"/>
      <c r="M66" s="2"/>
    </row>
    <row r="67" spans="1:14" x14ac:dyDescent="0.3">
      <c r="A67" s="4">
        <v>42</v>
      </c>
      <c r="B67" s="2" t="s">
        <v>233</v>
      </c>
      <c r="C67" s="2">
        <v>1</v>
      </c>
      <c r="D67" s="75">
        <v>44099</v>
      </c>
      <c r="E67" s="22">
        <v>44109</v>
      </c>
      <c r="F67" s="2">
        <v>431</v>
      </c>
      <c r="G67" s="26">
        <v>9.9999999999999995E-7</v>
      </c>
      <c r="H67" s="2"/>
      <c r="I67" s="2"/>
      <c r="J67" s="26">
        <f t="shared" si="6"/>
        <v>431000000</v>
      </c>
      <c r="K67" s="26">
        <f t="shared" si="7"/>
        <v>2.3201856148491879E-4</v>
      </c>
      <c r="L67" s="2"/>
      <c r="M67" s="2"/>
    </row>
    <row r="68" spans="1:14" x14ac:dyDescent="0.3">
      <c r="A68" s="4">
        <v>43</v>
      </c>
      <c r="B68" s="2" t="s">
        <v>234</v>
      </c>
      <c r="C68" s="2">
        <v>1</v>
      </c>
      <c r="D68" s="75">
        <v>44099</v>
      </c>
      <c r="E68" s="22">
        <v>44109</v>
      </c>
      <c r="F68" s="2">
        <v>254</v>
      </c>
      <c r="G68" s="26">
        <v>9.9999999999999995E-7</v>
      </c>
      <c r="H68" s="2"/>
      <c r="I68" s="2"/>
      <c r="J68" s="26">
        <f t="shared" si="6"/>
        <v>254000000</v>
      </c>
      <c r="K68" s="26">
        <f t="shared" si="7"/>
        <v>3.937007874015748E-4</v>
      </c>
      <c r="L68" s="2"/>
      <c r="M68" s="2" t="s">
        <v>198</v>
      </c>
    </row>
    <row r="69" spans="1:14" x14ac:dyDescent="0.3">
      <c r="A69" s="4">
        <v>44</v>
      </c>
      <c r="B69" s="2" t="s">
        <v>235</v>
      </c>
      <c r="C69" s="2">
        <v>1</v>
      </c>
      <c r="D69" s="75">
        <v>44099</v>
      </c>
      <c r="E69" s="22">
        <v>44109</v>
      </c>
      <c r="F69" s="2">
        <v>164</v>
      </c>
      <c r="G69" s="26">
        <v>9.9999999999999995E-7</v>
      </c>
      <c r="H69" s="2"/>
      <c r="I69" s="2"/>
      <c r="J69" s="26">
        <f t="shared" si="6"/>
        <v>164000000</v>
      </c>
      <c r="K69" s="26">
        <f t="shared" si="7"/>
        <v>6.0975609756097561E-4</v>
      </c>
      <c r="L69" s="2"/>
      <c r="M69" s="2" t="s">
        <v>198</v>
      </c>
    </row>
    <row r="70" spans="1:14" x14ac:dyDescent="0.3">
      <c r="A70" s="4">
        <v>45</v>
      </c>
      <c r="B70" s="2" t="s">
        <v>236</v>
      </c>
      <c r="C70" s="2">
        <v>1</v>
      </c>
      <c r="D70" s="75">
        <v>44099</v>
      </c>
      <c r="E70" s="22">
        <v>44109</v>
      </c>
      <c r="F70" s="2">
        <v>342</v>
      </c>
      <c r="G70" s="26">
        <v>9.9999999999999995E-7</v>
      </c>
      <c r="H70" s="2"/>
      <c r="I70" s="2"/>
      <c r="J70" s="26">
        <f t="shared" si="6"/>
        <v>342000000</v>
      </c>
      <c r="K70" s="26">
        <f t="shared" si="7"/>
        <v>2.9239766081871346E-4</v>
      </c>
      <c r="L70" s="2"/>
      <c r="M70" s="2" t="s">
        <v>198</v>
      </c>
    </row>
    <row r="71" spans="1:14" x14ac:dyDescent="0.3">
      <c r="A71" s="4">
        <v>46</v>
      </c>
      <c r="B71" s="2" t="s">
        <v>242</v>
      </c>
      <c r="C71" s="2">
        <v>1</v>
      </c>
      <c r="D71" s="75">
        <v>44105</v>
      </c>
      <c r="E71" s="22">
        <v>44118</v>
      </c>
      <c r="F71" s="2">
        <v>75</v>
      </c>
      <c r="G71" s="26">
        <v>9.9999999999999995E-7</v>
      </c>
      <c r="H71" s="2"/>
      <c r="I71" s="2"/>
      <c r="J71" s="26">
        <f t="shared" si="6"/>
        <v>75000000</v>
      </c>
      <c r="K71" s="26">
        <f t="shared" si="7"/>
        <v>1.3333333333333333E-3</v>
      </c>
      <c r="L71" s="2"/>
      <c r="M71" s="2"/>
    </row>
    <row r="72" spans="1:14" x14ac:dyDescent="0.3">
      <c r="A72" s="4"/>
      <c r="B72" s="2"/>
      <c r="C72" s="2"/>
      <c r="D72" s="2"/>
      <c r="E72" s="22"/>
      <c r="F72" s="2"/>
      <c r="G72" s="26"/>
      <c r="H72" s="2"/>
      <c r="I72" s="2"/>
      <c r="J72" s="26"/>
      <c r="K72" s="26"/>
      <c r="L72" s="2"/>
      <c r="M72" s="2"/>
    </row>
    <row r="73" spans="1:14" x14ac:dyDescent="0.3">
      <c r="A73" s="4">
        <v>47</v>
      </c>
      <c r="B73" s="2" t="s">
        <v>243</v>
      </c>
      <c r="C73" s="2"/>
      <c r="D73" s="75">
        <v>44105</v>
      </c>
      <c r="E73" s="22">
        <v>44118</v>
      </c>
      <c r="F73" s="2">
        <v>190</v>
      </c>
      <c r="G73" s="26">
        <v>4.9999999999999998E-7</v>
      </c>
      <c r="H73" s="2"/>
      <c r="I73" s="2"/>
      <c r="J73" s="26">
        <f>F73/G73</f>
        <v>380000000</v>
      </c>
      <c r="K73" s="26">
        <f>100000/J73</f>
        <v>2.631578947368421E-4</v>
      </c>
      <c r="L73" s="2"/>
      <c r="M73" s="2"/>
    </row>
    <row r="74" spans="1:14" x14ac:dyDescent="0.3">
      <c r="A74" s="4">
        <v>48</v>
      </c>
      <c r="B74" s="2" t="s">
        <v>244</v>
      </c>
      <c r="C74" s="2"/>
      <c r="D74" s="75">
        <v>44105</v>
      </c>
      <c r="E74" s="22">
        <v>44118</v>
      </c>
      <c r="F74" s="2">
        <v>202</v>
      </c>
      <c r="G74" s="26">
        <v>4.9999999999999998E-7</v>
      </c>
      <c r="H74" s="2"/>
      <c r="I74" s="2"/>
      <c r="J74" s="26">
        <f t="shared" ref="J74:J78" si="8">F74/G74</f>
        <v>404000000</v>
      </c>
      <c r="K74" s="26">
        <f t="shared" ref="K74:K78" si="9">100000/J74</f>
        <v>2.4752475247524753E-4</v>
      </c>
      <c r="L74" s="2"/>
      <c r="M74" s="2"/>
    </row>
    <row r="75" spans="1:14" x14ac:dyDescent="0.3">
      <c r="A75" s="4">
        <v>49</v>
      </c>
      <c r="B75" s="2" t="s">
        <v>245</v>
      </c>
      <c r="C75" s="2"/>
      <c r="D75" s="75">
        <v>44105</v>
      </c>
      <c r="E75" s="22">
        <v>44118</v>
      </c>
      <c r="F75" s="2">
        <v>62</v>
      </c>
      <c r="G75" s="26">
        <v>4.9999999999999998E-7</v>
      </c>
      <c r="H75" s="2">
        <v>124</v>
      </c>
      <c r="I75" s="26">
        <v>9.9999999999999995E-7</v>
      </c>
      <c r="J75" s="26">
        <f>H75/I75</f>
        <v>124000000</v>
      </c>
      <c r="K75" s="26">
        <f t="shared" si="9"/>
        <v>8.0645161290322581E-4</v>
      </c>
      <c r="L75" s="2"/>
      <c r="M75" s="2"/>
    </row>
    <row r="76" spans="1:14" x14ac:dyDescent="0.3">
      <c r="A76" s="4">
        <v>50</v>
      </c>
      <c r="B76" s="2" t="s">
        <v>246</v>
      </c>
      <c r="C76" s="2"/>
      <c r="D76" s="75">
        <v>44099</v>
      </c>
      <c r="E76" s="22">
        <v>44118</v>
      </c>
      <c r="F76" s="2">
        <v>111</v>
      </c>
      <c r="G76" s="26">
        <v>4.9999999999999998E-7</v>
      </c>
      <c r="H76" s="2"/>
      <c r="I76" s="2"/>
      <c r="J76" s="26">
        <f t="shared" si="8"/>
        <v>222000000</v>
      </c>
      <c r="K76" s="26">
        <f t="shared" si="9"/>
        <v>4.5045045045045046E-4</v>
      </c>
      <c r="L76" s="2"/>
      <c r="M76" s="26"/>
    </row>
    <row r="77" spans="1:14" x14ac:dyDescent="0.3">
      <c r="A77" s="4">
        <v>51</v>
      </c>
      <c r="B77" s="2" t="s">
        <v>247</v>
      </c>
      <c r="C77" s="2"/>
      <c r="D77" s="75">
        <v>44099</v>
      </c>
      <c r="E77" s="22">
        <v>44118</v>
      </c>
      <c r="F77" s="2">
        <v>199</v>
      </c>
      <c r="G77" s="26">
        <v>4.9999999999999998E-7</v>
      </c>
      <c r="H77" s="2"/>
      <c r="I77" s="2"/>
      <c r="J77" s="26">
        <f t="shared" si="8"/>
        <v>398000000</v>
      </c>
      <c r="K77" s="26">
        <f t="shared" si="9"/>
        <v>2.512562814070352E-4</v>
      </c>
      <c r="L77" s="2"/>
      <c r="M77" s="2"/>
    </row>
    <row r="78" spans="1:14" x14ac:dyDescent="0.3">
      <c r="A78" s="4">
        <v>52</v>
      </c>
      <c r="B78" s="2" t="s">
        <v>248</v>
      </c>
      <c r="C78" s="2"/>
      <c r="D78" s="75">
        <v>44099</v>
      </c>
      <c r="E78" s="22">
        <v>44118</v>
      </c>
      <c r="F78" s="2">
        <v>75</v>
      </c>
      <c r="G78" s="26">
        <v>4.9999999999999998E-7</v>
      </c>
      <c r="H78" s="2">
        <v>120</v>
      </c>
      <c r="I78" s="26">
        <v>9.9999999999999995E-7</v>
      </c>
      <c r="J78" s="26">
        <f t="shared" si="8"/>
        <v>150000000</v>
      </c>
      <c r="K78" s="26">
        <f t="shared" si="9"/>
        <v>6.6666666666666664E-4</v>
      </c>
      <c r="L78" s="2"/>
      <c r="M78" s="26">
        <f>H78/I78</f>
        <v>120000000</v>
      </c>
      <c r="N78" s="92">
        <f>100000/M78</f>
        <v>8.3333333333333339E-4</v>
      </c>
    </row>
    <row r="79" spans="1:14" x14ac:dyDescent="0.3">
      <c r="A79" s="4">
        <v>53</v>
      </c>
      <c r="B79" s="2" t="s">
        <v>249</v>
      </c>
      <c r="C79" s="2"/>
      <c r="D79" s="75">
        <v>44099</v>
      </c>
      <c r="E79" s="22"/>
      <c r="F79" s="2"/>
      <c r="G79" s="2"/>
      <c r="H79" s="2"/>
      <c r="I79" s="2"/>
      <c r="J79" s="2"/>
      <c r="K79" s="2"/>
      <c r="L79" s="2"/>
      <c r="M79" s="2"/>
    </row>
    <row r="80" spans="1:14" x14ac:dyDescent="0.3">
      <c r="A80" s="4">
        <v>54</v>
      </c>
      <c r="B80" s="2" t="s">
        <v>250</v>
      </c>
      <c r="C80" s="2"/>
      <c r="D80" s="75">
        <v>44099</v>
      </c>
      <c r="E80" s="22"/>
      <c r="F80" s="2"/>
      <c r="G80" s="2"/>
      <c r="H80" s="2"/>
      <c r="I80" s="2"/>
      <c r="J80" s="2"/>
      <c r="K80" s="2"/>
      <c r="L80" s="2"/>
      <c r="M80" s="2"/>
    </row>
    <row r="81" spans="1:13" x14ac:dyDescent="0.3">
      <c r="A81" s="4">
        <v>55</v>
      </c>
      <c r="B81" s="2" t="s">
        <v>249</v>
      </c>
      <c r="C81" s="2"/>
      <c r="D81" s="75">
        <v>44099</v>
      </c>
      <c r="E81" s="22"/>
      <c r="F81" s="2"/>
      <c r="G81" s="2"/>
      <c r="H81" s="2"/>
      <c r="I81" s="2"/>
      <c r="J81" s="2"/>
      <c r="K81" s="2"/>
      <c r="L81" s="2"/>
      <c r="M81" s="2"/>
    </row>
    <row r="82" spans="1:13" x14ac:dyDescent="0.3">
      <c r="A82" s="4">
        <v>56</v>
      </c>
      <c r="B82" s="2" t="s">
        <v>252</v>
      </c>
      <c r="C82" s="2"/>
      <c r="D82" s="75">
        <v>44099</v>
      </c>
      <c r="E82" s="22"/>
      <c r="F82" s="2"/>
      <c r="G82" s="2"/>
      <c r="H82" s="2"/>
      <c r="I82" s="2"/>
      <c r="J82" s="2"/>
      <c r="K82" s="2"/>
      <c r="L82" s="2"/>
      <c r="M82" s="2"/>
    </row>
    <row r="83" spans="1:13" x14ac:dyDescent="0.3">
      <c r="A83" s="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x14ac:dyDescent="0.3">
      <c r="A84" s="4">
        <v>57</v>
      </c>
      <c r="B84" s="2" t="s">
        <v>253</v>
      </c>
      <c r="C84" s="2"/>
      <c r="D84" s="75">
        <v>44126</v>
      </c>
      <c r="E84" s="2"/>
      <c r="F84" s="2"/>
      <c r="G84" s="2"/>
      <c r="H84" s="2"/>
      <c r="I84" s="2"/>
      <c r="J84" s="2"/>
      <c r="K84" s="2"/>
      <c r="L84" s="2"/>
      <c r="M84" s="2"/>
    </row>
    <row r="85" spans="1:13" x14ac:dyDescent="0.3">
      <c r="A85" s="4">
        <v>58</v>
      </c>
      <c r="B85" s="2" t="s">
        <v>254</v>
      </c>
      <c r="C85" s="2"/>
      <c r="D85" s="75">
        <v>44126</v>
      </c>
      <c r="E85" s="2"/>
      <c r="F85" s="2"/>
      <c r="G85" s="2"/>
      <c r="H85" s="2"/>
      <c r="I85" s="2"/>
      <c r="J85" s="2"/>
      <c r="K85" s="2"/>
      <c r="L85" s="2"/>
      <c r="M85" s="2"/>
    </row>
    <row r="86" spans="1:13" x14ac:dyDescent="0.3">
      <c r="A86" s="4">
        <v>59</v>
      </c>
      <c r="B86" s="2" t="s">
        <v>255</v>
      </c>
      <c r="C86" s="2"/>
      <c r="D86" s="75">
        <v>44126</v>
      </c>
      <c r="E86" s="2"/>
      <c r="F86" s="2"/>
      <c r="G86" s="2"/>
      <c r="H86" s="2"/>
      <c r="I86" s="2"/>
      <c r="J86" s="2"/>
      <c r="K86" s="2"/>
      <c r="L86" s="2"/>
      <c r="M86" s="2"/>
    </row>
    <row r="87" spans="1:13" x14ac:dyDescent="0.3">
      <c r="A87" s="4">
        <v>60</v>
      </c>
      <c r="B87" s="2" t="s">
        <v>256</v>
      </c>
      <c r="C87" s="2"/>
      <c r="D87" s="2" t="s">
        <v>287</v>
      </c>
      <c r="E87" s="2"/>
      <c r="F87" s="2"/>
      <c r="G87" s="2"/>
      <c r="H87" s="2"/>
      <c r="I87" s="2"/>
      <c r="J87" s="2"/>
      <c r="K87" s="2"/>
      <c r="L87" s="2"/>
      <c r="M87" s="2"/>
    </row>
    <row r="88" spans="1:13" x14ac:dyDescent="0.3">
      <c r="A88" s="4">
        <v>61</v>
      </c>
      <c r="B88" s="2" t="s">
        <v>257</v>
      </c>
      <c r="C88" s="2"/>
      <c r="D88" s="2" t="s">
        <v>287</v>
      </c>
      <c r="E88" s="2"/>
      <c r="F88" s="2"/>
      <c r="G88" s="2"/>
      <c r="H88" s="2"/>
      <c r="I88" s="2"/>
      <c r="J88" s="2"/>
      <c r="K88" s="2"/>
      <c r="L88" s="2"/>
      <c r="M88" s="2"/>
    </row>
    <row r="89" spans="1:13" x14ac:dyDescent="0.3">
      <c r="A89" s="4">
        <v>62</v>
      </c>
      <c r="B89" s="2" t="s">
        <v>258</v>
      </c>
      <c r="C89" s="2"/>
      <c r="D89" s="2" t="s">
        <v>287</v>
      </c>
      <c r="E89" s="2"/>
      <c r="F89" s="2"/>
      <c r="G89" s="2"/>
      <c r="H89" s="2"/>
      <c r="I89" s="2"/>
      <c r="J89" s="2"/>
      <c r="K89" s="2"/>
      <c r="L89" s="2"/>
      <c r="M89" s="2"/>
    </row>
    <row r="90" spans="1:13" x14ac:dyDescent="0.3">
      <c r="A90" s="4">
        <v>63</v>
      </c>
      <c r="B90" s="2" t="s">
        <v>259</v>
      </c>
      <c r="C90" s="2"/>
      <c r="D90" s="75">
        <v>44105</v>
      </c>
      <c r="E90" s="22">
        <v>44118</v>
      </c>
      <c r="F90" s="2"/>
      <c r="G90" s="2"/>
      <c r="H90" s="2">
        <v>92</v>
      </c>
      <c r="I90" s="26">
        <v>5.0000000000000004E-6</v>
      </c>
      <c r="J90" s="26">
        <f>H90/I90</f>
        <v>18400000</v>
      </c>
      <c r="K90" s="26">
        <f>100000/J90</f>
        <v>5.434782608695652E-3</v>
      </c>
      <c r="L90" s="2"/>
      <c r="M90" s="2"/>
    </row>
    <row r="91" spans="1:13" x14ac:dyDescent="0.3">
      <c r="A91" s="4">
        <v>64</v>
      </c>
      <c r="B91" s="2" t="s">
        <v>260</v>
      </c>
      <c r="C91" s="2"/>
      <c r="D91" s="75">
        <v>44105</v>
      </c>
      <c r="E91" s="22">
        <v>44118</v>
      </c>
      <c r="F91" s="2"/>
      <c r="G91" s="2"/>
      <c r="H91" s="2">
        <v>170</v>
      </c>
      <c r="I91" s="26">
        <v>5.0000000000000004E-6</v>
      </c>
      <c r="J91" s="26">
        <f>H91/I91</f>
        <v>34000000</v>
      </c>
      <c r="K91" s="26">
        <f>100000/J91</f>
        <v>2.9411764705882353E-3</v>
      </c>
      <c r="L91" s="2"/>
      <c r="M91" s="2"/>
    </row>
    <row r="92" spans="1:13" x14ac:dyDescent="0.3">
      <c r="A92" s="14">
        <v>65</v>
      </c>
      <c r="B92" s="2" t="s">
        <v>261</v>
      </c>
      <c r="C92" s="2"/>
      <c r="D92" s="75">
        <v>44105</v>
      </c>
      <c r="E92" s="22">
        <v>44118</v>
      </c>
      <c r="F92" s="2"/>
      <c r="G92" s="2"/>
      <c r="H92" s="2">
        <v>77</v>
      </c>
      <c r="I92" s="26">
        <v>9.9999999999999995E-7</v>
      </c>
      <c r="J92" s="26">
        <f>H92/I92</f>
        <v>77000000</v>
      </c>
      <c r="K92" s="26">
        <f>100000/J92</f>
        <v>1.2987012987012987E-3</v>
      </c>
      <c r="L92" s="2"/>
      <c r="M92" s="2"/>
    </row>
    <row r="93" spans="1:13" x14ac:dyDescent="0.3">
      <c r="A93" s="4">
        <v>66</v>
      </c>
      <c r="B93" s="90" t="s">
        <v>262</v>
      </c>
      <c r="C93" s="2"/>
      <c r="D93" s="75">
        <v>44105</v>
      </c>
      <c r="E93" s="22">
        <v>44118</v>
      </c>
      <c r="F93" s="2"/>
      <c r="G93" s="2"/>
      <c r="H93" s="2">
        <v>90</v>
      </c>
      <c r="I93" s="26">
        <v>9.9999999999999995E-7</v>
      </c>
      <c r="J93" s="26">
        <f>H93/I93</f>
        <v>90000000</v>
      </c>
      <c r="K93" s="26">
        <f>100000/J93</f>
        <v>1.1111111111111111E-3</v>
      </c>
      <c r="L93" s="2"/>
      <c r="M93" s="2"/>
    </row>
    <row r="94" spans="1:13" x14ac:dyDescent="0.3">
      <c r="A94" s="16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30A38-7C95-429C-9920-C360A452F20C}">
  <dimension ref="A1:W225"/>
  <sheetViews>
    <sheetView topLeftCell="A186" workbookViewId="0">
      <selection activeCell="P227" sqref="P227"/>
    </sheetView>
  </sheetViews>
  <sheetFormatPr defaultRowHeight="14.4" x14ac:dyDescent="0.3"/>
  <cols>
    <col min="1" max="1" width="9.6640625" bestFit="1" customWidth="1"/>
    <col min="2" max="3" width="12" customWidth="1"/>
    <col min="4" max="4" width="15.33203125" customWidth="1"/>
    <col min="14" max="14" width="10.6640625" bestFit="1" customWidth="1"/>
    <col min="15" max="15" width="10.6640625" customWidth="1"/>
    <col min="16" max="16" width="10.6640625" bestFit="1" customWidth="1"/>
    <col min="17" max="19" width="10.6640625" customWidth="1"/>
    <col min="20" max="20" width="12" bestFit="1" customWidth="1"/>
    <col min="21" max="21" width="11.33203125" customWidth="1"/>
    <col min="22" max="22" width="47.88671875" customWidth="1"/>
  </cols>
  <sheetData>
    <row r="1" spans="1:22" ht="16.2" x14ac:dyDescent="0.3">
      <c r="A1" s="27" t="s">
        <v>150</v>
      </c>
      <c r="B1" s="28"/>
      <c r="C1" s="28"/>
      <c r="E1" s="29"/>
    </row>
    <row r="2" spans="1:22" ht="15.6" x14ac:dyDescent="0.35">
      <c r="A2" s="27" t="s">
        <v>151</v>
      </c>
      <c r="D2" s="28"/>
      <c r="E2" s="29"/>
    </row>
    <row r="3" spans="1:22" ht="16.2" x14ac:dyDescent="0.3">
      <c r="A3" s="27" t="s">
        <v>152</v>
      </c>
      <c r="D3" s="28"/>
      <c r="E3" s="29"/>
    </row>
    <row r="4" spans="1:22" x14ac:dyDescent="0.3">
      <c r="A4" s="27" t="s">
        <v>153</v>
      </c>
      <c r="D4" s="28"/>
      <c r="E4" s="29"/>
    </row>
    <row r="5" spans="1:22" x14ac:dyDescent="0.3">
      <c r="A5" s="27" t="s">
        <v>154</v>
      </c>
      <c r="D5" s="28"/>
      <c r="E5" s="29"/>
    </row>
    <row r="6" spans="1:22" x14ac:dyDescent="0.3">
      <c r="D6" s="28"/>
      <c r="E6" s="29"/>
    </row>
    <row r="7" spans="1:22" x14ac:dyDescent="0.3">
      <c r="B7" s="2"/>
      <c r="C7" s="2"/>
      <c r="D7" s="2"/>
      <c r="E7" s="30"/>
      <c r="F7" s="110" t="s">
        <v>155</v>
      </c>
      <c r="G7" s="111"/>
      <c r="H7" s="111"/>
      <c r="I7" s="111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31"/>
    </row>
    <row r="8" spans="1:22" ht="57.6" x14ac:dyDescent="0.3">
      <c r="A8" s="32" t="s">
        <v>156</v>
      </c>
      <c r="B8" s="24" t="s">
        <v>157</v>
      </c>
      <c r="C8" s="24" t="s">
        <v>158</v>
      </c>
      <c r="D8" s="24" t="s">
        <v>159</v>
      </c>
      <c r="E8" s="33" t="s">
        <v>160</v>
      </c>
      <c r="F8" s="24" t="s">
        <v>130</v>
      </c>
      <c r="G8" s="24" t="s">
        <v>131</v>
      </c>
      <c r="H8" s="34" t="s">
        <v>161</v>
      </c>
      <c r="I8" s="34" t="s">
        <v>162</v>
      </c>
      <c r="J8" s="35">
        <v>5.0000000000000002E-5</v>
      </c>
      <c r="K8" s="35">
        <v>1.0000000000000001E-5</v>
      </c>
      <c r="L8" s="35">
        <v>5.0000000000000004E-6</v>
      </c>
      <c r="M8" s="35">
        <v>9.9999999999999995E-7</v>
      </c>
      <c r="N8" s="36">
        <v>4.9999999999999998E-7</v>
      </c>
      <c r="O8" s="36">
        <v>2.9999999999999999E-7</v>
      </c>
      <c r="P8" s="36">
        <v>1.9999999999999999E-7</v>
      </c>
      <c r="Q8" s="36"/>
      <c r="R8" s="36"/>
      <c r="S8" s="36"/>
      <c r="T8" s="37" t="s">
        <v>163</v>
      </c>
      <c r="U8" s="24" t="s">
        <v>164</v>
      </c>
      <c r="V8" s="24" t="s">
        <v>165</v>
      </c>
    </row>
    <row r="9" spans="1:22" x14ac:dyDescent="0.3">
      <c r="A9" s="22">
        <v>44057</v>
      </c>
      <c r="B9" s="4">
        <v>1</v>
      </c>
      <c r="C9" s="4">
        <v>1</v>
      </c>
      <c r="D9" s="2" t="s">
        <v>166</v>
      </c>
      <c r="E9" s="2">
        <v>2</v>
      </c>
      <c r="F9" s="2">
        <v>161</v>
      </c>
      <c r="G9" s="26">
        <v>0.01</v>
      </c>
      <c r="H9" s="2"/>
      <c r="I9" s="26">
        <f t="shared" ref="I9:I20" si="0">F9/G9</f>
        <v>16100</v>
      </c>
      <c r="J9" s="2"/>
      <c r="K9" s="2"/>
      <c r="L9" s="2"/>
      <c r="M9" s="2"/>
      <c r="N9" s="2">
        <v>282</v>
      </c>
      <c r="O9" s="2"/>
      <c r="P9" s="2"/>
      <c r="Q9" s="2"/>
      <c r="R9" s="2"/>
      <c r="S9" s="2"/>
      <c r="T9" s="26">
        <f>N9/N8</f>
        <v>564000000</v>
      </c>
      <c r="U9" s="26">
        <f t="shared" ref="U9:U20" si="1">LN(T9/I9)/(0.667*LN(2))</f>
        <v>22.633203678910981</v>
      </c>
      <c r="V9" s="2"/>
    </row>
    <row r="10" spans="1:22" x14ac:dyDescent="0.3">
      <c r="A10" s="22">
        <v>44057</v>
      </c>
      <c r="B10" s="4">
        <v>2</v>
      </c>
      <c r="C10" s="4">
        <v>2</v>
      </c>
      <c r="D10" s="2" t="s">
        <v>138</v>
      </c>
      <c r="E10" s="2">
        <v>1</v>
      </c>
      <c r="F10" s="2">
        <v>173</v>
      </c>
      <c r="G10" s="26">
        <v>0.01</v>
      </c>
      <c r="H10" s="2"/>
      <c r="I10" s="26">
        <f t="shared" si="0"/>
        <v>17300</v>
      </c>
      <c r="J10" s="2"/>
      <c r="K10" s="2"/>
      <c r="L10" s="2"/>
      <c r="M10" s="2">
        <v>242</v>
      </c>
      <c r="N10" s="2"/>
      <c r="O10" s="2"/>
      <c r="P10" s="2"/>
      <c r="Q10" s="2"/>
      <c r="R10" s="2"/>
      <c r="S10" s="2"/>
      <c r="T10" s="26">
        <f>M10/M8</f>
        <v>242000000</v>
      </c>
      <c r="U10" s="26">
        <f t="shared" si="1"/>
        <v>20.64759728513841</v>
      </c>
      <c r="V10" s="2"/>
    </row>
    <row r="11" spans="1:22" x14ac:dyDescent="0.3">
      <c r="A11" s="22">
        <v>44057</v>
      </c>
      <c r="B11" s="4">
        <v>3</v>
      </c>
      <c r="C11" s="4">
        <v>3</v>
      </c>
      <c r="D11" s="2" t="s">
        <v>139</v>
      </c>
      <c r="E11" s="2">
        <v>1</v>
      </c>
      <c r="F11" s="2">
        <v>167</v>
      </c>
      <c r="G11" s="26">
        <v>0.01</v>
      </c>
      <c r="H11" s="2"/>
      <c r="I11" s="26">
        <f t="shared" si="0"/>
        <v>16700</v>
      </c>
      <c r="J11" s="2"/>
      <c r="K11" s="2"/>
      <c r="L11" s="2"/>
      <c r="M11" s="25">
        <v>500</v>
      </c>
      <c r="N11" s="2"/>
      <c r="O11" s="2"/>
      <c r="P11" s="2"/>
      <c r="Q11" s="2"/>
      <c r="R11" s="2"/>
      <c r="S11" s="2"/>
      <c r="T11" s="26">
        <f>M11/M8</f>
        <v>500000000</v>
      </c>
      <c r="U11" s="26">
        <f t="shared" si="1"/>
        <v>22.293541786712868</v>
      </c>
      <c r="V11" s="25" t="s">
        <v>167</v>
      </c>
    </row>
    <row r="12" spans="1:22" x14ac:dyDescent="0.3">
      <c r="A12" s="22">
        <v>44057</v>
      </c>
      <c r="B12" s="4">
        <v>4</v>
      </c>
      <c r="C12" s="4">
        <v>4</v>
      </c>
      <c r="D12" s="2" t="s">
        <v>140</v>
      </c>
      <c r="E12" s="2">
        <v>1</v>
      </c>
      <c r="F12" s="2">
        <v>202</v>
      </c>
      <c r="G12" s="26">
        <v>0.01</v>
      </c>
      <c r="H12" s="2"/>
      <c r="I12" s="26">
        <f t="shared" si="0"/>
        <v>20200</v>
      </c>
      <c r="J12" s="2"/>
      <c r="K12" s="2"/>
      <c r="L12" s="2"/>
      <c r="M12" s="25">
        <v>500</v>
      </c>
      <c r="N12" s="2"/>
      <c r="O12" s="2"/>
      <c r="P12" s="2"/>
      <c r="Q12" s="2"/>
      <c r="R12" s="2"/>
      <c r="S12" s="2"/>
      <c r="T12" s="26">
        <f>M12/M8</f>
        <v>500000000</v>
      </c>
      <c r="U12" s="26">
        <f t="shared" si="1"/>
        <v>21.881986778800211</v>
      </c>
      <c r="V12" s="25" t="s">
        <v>167</v>
      </c>
    </row>
    <row r="13" spans="1:22" x14ac:dyDescent="0.3">
      <c r="A13" s="22">
        <v>44057</v>
      </c>
      <c r="B13" s="4">
        <v>5</v>
      </c>
      <c r="C13" s="4">
        <v>5</v>
      </c>
      <c r="D13" s="2" t="s">
        <v>141</v>
      </c>
      <c r="E13" s="2">
        <v>1</v>
      </c>
      <c r="F13" s="2">
        <v>157</v>
      </c>
      <c r="G13" s="26">
        <v>0.01</v>
      </c>
      <c r="H13" s="2"/>
      <c r="I13" s="26">
        <f t="shared" si="0"/>
        <v>15700</v>
      </c>
      <c r="J13" s="2"/>
      <c r="K13" s="2"/>
      <c r="L13" s="2"/>
      <c r="M13" s="25">
        <v>500</v>
      </c>
      <c r="N13" s="2"/>
      <c r="O13" s="2"/>
      <c r="P13" s="2"/>
      <c r="Q13" s="2"/>
      <c r="R13" s="2"/>
      <c r="S13" s="2"/>
      <c r="T13" s="26">
        <f>M13/M8</f>
        <v>500000000</v>
      </c>
      <c r="U13" s="26">
        <f t="shared" si="1"/>
        <v>22.427100322818454</v>
      </c>
      <c r="V13" s="25" t="s">
        <v>167</v>
      </c>
    </row>
    <row r="14" spans="1:22" x14ac:dyDescent="0.3">
      <c r="A14" s="22">
        <v>44057</v>
      </c>
      <c r="B14" s="4">
        <v>6</v>
      </c>
      <c r="C14" s="4">
        <v>6</v>
      </c>
      <c r="D14" s="2" t="s">
        <v>142</v>
      </c>
      <c r="E14" s="2">
        <v>1</v>
      </c>
      <c r="F14" s="2">
        <v>187</v>
      </c>
      <c r="G14" s="26">
        <v>0.01</v>
      </c>
      <c r="H14" s="2"/>
      <c r="I14" s="26">
        <f t="shared" si="0"/>
        <v>18700</v>
      </c>
      <c r="J14" s="2"/>
      <c r="K14" s="2"/>
      <c r="L14" s="2"/>
      <c r="M14" s="2">
        <v>333</v>
      </c>
      <c r="N14" s="2"/>
      <c r="O14" s="2"/>
      <c r="P14" s="2"/>
      <c r="Q14" s="2"/>
      <c r="R14" s="2"/>
      <c r="S14" s="2"/>
      <c r="T14" s="26">
        <f>M14/M8</f>
        <v>333000000</v>
      </c>
      <c r="U14" s="26">
        <f t="shared" si="1"/>
        <v>21.169709575311956</v>
      </c>
      <c r="V14" s="2"/>
    </row>
    <row r="15" spans="1:22" x14ac:dyDescent="0.3">
      <c r="A15" s="22">
        <v>44057</v>
      </c>
      <c r="B15" s="4">
        <v>7</v>
      </c>
      <c r="C15" s="4">
        <v>7</v>
      </c>
      <c r="D15" s="2" t="s">
        <v>143</v>
      </c>
      <c r="E15" s="2">
        <v>1</v>
      </c>
      <c r="F15" s="2">
        <v>157</v>
      </c>
      <c r="G15" s="26">
        <v>0.01</v>
      </c>
      <c r="H15" s="2"/>
      <c r="I15" s="26">
        <f t="shared" si="0"/>
        <v>15700</v>
      </c>
      <c r="J15" s="2"/>
      <c r="K15" s="2"/>
      <c r="L15" s="2"/>
      <c r="M15" s="25">
        <v>500</v>
      </c>
      <c r="N15" s="2"/>
      <c r="O15" s="2"/>
      <c r="P15" s="2"/>
      <c r="Q15" s="2"/>
      <c r="R15" s="2"/>
      <c r="S15" s="2"/>
      <c r="T15" s="26">
        <f>M15/M8</f>
        <v>500000000</v>
      </c>
      <c r="U15" s="26">
        <f t="shared" si="1"/>
        <v>22.427100322818454</v>
      </c>
      <c r="V15" s="25" t="s">
        <v>167</v>
      </c>
    </row>
    <row r="16" spans="1:22" x14ac:dyDescent="0.3">
      <c r="A16" s="22">
        <v>44057</v>
      </c>
      <c r="B16" s="4">
        <v>8</v>
      </c>
      <c r="C16" s="4">
        <v>8</v>
      </c>
      <c r="D16" s="2" t="s">
        <v>144</v>
      </c>
      <c r="E16" s="2">
        <v>1</v>
      </c>
      <c r="F16" s="2">
        <v>188</v>
      </c>
      <c r="G16" s="26">
        <v>0.01</v>
      </c>
      <c r="H16" s="2"/>
      <c r="I16" s="26">
        <f t="shared" si="0"/>
        <v>18800</v>
      </c>
      <c r="J16" s="2"/>
      <c r="K16" s="2"/>
      <c r="L16" s="2"/>
      <c r="M16" s="2">
        <v>409</v>
      </c>
      <c r="N16" s="2"/>
      <c r="O16" s="2"/>
      <c r="P16" s="2"/>
      <c r="Q16" s="2"/>
      <c r="R16" s="2"/>
      <c r="S16" s="2"/>
      <c r="T16" s="26">
        <f>M16/M8</f>
        <v>409000000</v>
      </c>
      <c r="U16" s="26">
        <f t="shared" si="1"/>
        <v>21.602819431504589</v>
      </c>
      <c r="V16" s="2"/>
    </row>
    <row r="17" spans="1:22" x14ac:dyDescent="0.3">
      <c r="A17" s="22">
        <v>44057</v>
      </c>
      <c r="B17" s="4">
        <v>9</v>
      </c>
      <c r="C17" s="4">
        <v>9</v>
      </c>
      <c r="D17" s="2" t="s">
        <v>145</v>
      </c>
      <c r="E17" s="2">
        <v>1</v>
      </c>
      <c r="F17" s="2">
        <v>160</v>
      </c>
      <c r="G17" s="26">
        <v>0.01</v>
      </c>
      <c r="H17" s="2"/>
      <c r="I17" s="26">
        <f t="shared" si="0"/>
        <v>16000</v>
      </c>
      <c r="J17" s="2"/>
      <c r="K17" s="2"/>
      <c r="L17" s="2"/>
      <c r="M17" s="2">
        <v>226</v>
      </c>
      <c r="N17" s="2"/>
      <c r="O17" s="2"/>
      <c r="P17" s="2"/>
      <c r="Q17" s="2"/>
      <c r="R17" s="2"/>
      <c r="S17" s="2"/>
      <c r="T17" s="26">
        <f>M17/M8</f>
        <v>226000000</v>
      </c>
      <c r="U17" s="26">
        <f t="shared" si="1"/>
        <v>20.668610565333246</v>
      </c>
      <c r="V17" s="2"/>
    </row>
    <row r="18" spans="1:22" x14ac:dyDescent="0.3">
      <c r="A18" s="22">
        <v>44057</v>
      </c>
      <c r="B18" s="4">
        <v>10</v>
      </c>
      <c r="C18" s="4">
        <v>10</v>
      </c>
      <c r="D18" s="2" t="s">
        <v>146</v>
      </c>
      <c r="E18" s="2">
        <v>1</v>
      </c>
      <c r="F18" s="2">
        <v>124</v>
      </c>
      <c r="G18" s="26">
        <v>0.01</v>
      </c>
      <c r="H18" s="2"/>
      <c r="I18" s="26">
        <f t="shared" si="0"/>
        <v>12400</v>
      </c>
      <c r="J18" s="2"/>
      <c r="K18" s="2"/>
      <c r="L18" s="25">
        <v>1000</v>
      </c>
      <c r="M18" s="2">
        <v>0</v>
      </c>
      <c r="N18" s="2"/>
      <c r="O18" s="2"/>
      <c r="P18" s="2"/>
      <c r="Q18" s="2"/>
      <c r="R18" s="2"/>
      <c r="S18" s="2"/>
      <c r="T18" s="26">
        <f>L18/L8</f>
        <v>199999999.99999997</v>
      </c>
      <c r="U18" s="26">
        <f t="shared" si="1"/>
        <v>20.955580598106895</v>
      </c>
      <c r="V18" s="25" t="s">
        <v>167</v>
      </c>
    </row>
    <row r="19" spans="1:22" x14ac:dyDescent="0.3">
      <c r="A19" s="22">
        <v>44057</v>
      </c>
      <c r="B19" s="5">
        <v>11</v>
      </c>
      <c r="C19" s="46">
        <v>11</v>
      </c>
      <c r="D19" s="2" t="s">
        <v>147</v>
      </c>
      <c r="E19" s="2">
        <v>1</v>
      </c>
      <c r="F19" s="2">
        <v>147</v>
      </c>
      <c r="G19" s="26">
        <v>0.01</v>
      </c>
      <c r="H19" s="2"/>
      <c r="I19" s="26">
        <f t="shared" si="0"/>
        <v>14700</v>
      </c>
      <c r="J19" s="2"/>
      <c r="K19" s="2"/>
      <c r="L19" s="2"/>
      <c r="M19" s="2">
        <v>272</v>
      </c>
      <c r="N19" s="2"/>
      <c r="O19" s="2"/>
      <c r="P19" s="2"/>
      <c r="Q19" s="2"/>
      <c r="R19" s="2"/>
      <c r="S19" s="2"/>
      <c r="T19" s="26">
        <f>M19/M8</f>
        <v>272000000</v>
      </c>
      <c r="U19" s="26">
        <f t="shared" si="1"/>
        <v>21.252627999945165</v>
      </c>
      <c r="V19" s="2"/>
    </row>
    <row r="20" spans="1:22" x14ac:dyDescent="0.3">
      <c r="A20" s="22">
        <v>44057</v>
      </c>
      <c r="B20" s="4">
        <v>12</v>
      </c>
      <c r="C20" s="4">
        <v>12</v>
      </c>
      <c r="D20" s="2" t="s">
        <v>148</v>
      </c>
      <c r="E20" s="2">
        <v>1</v>
      </c>
      <c r="F20" s="2">
        <v>141</v>
      </c>
      <c r="G20" s="26">
        <v>0.01</v>
      </c>
      <c r="H20" s="2"/>
      <c r="I20" s="26">
        <f t="shared" si="0"/>
        <v>14100</v>
      </c>
      <c r="J20" s="2"/>
      <c r="K20" s="2"/>
      <c r="L20" s="2"/>
      <c r="M20" s="2">
        <v>343</v>
      </c>
      <c r="N20" s="2"/>
      <c r="O20" s="2"/>
      <c r="P20" s="2"/>
      <c r="Q20" s="2"/>
      <c r="R20" s="2"/>
      <c r="S20" s="2"/>
      <c r="T20" s="26">
        <f>M20/M8</f>
        <v>343000000</v>
      </c>
      <c r="U20" s="26">
        <f t="shared" si="1"/>
        <v>21.844416481744329</v>
      </c>
      <c r="V20" s="2"/>
    </row>
    <row r="21" spans="1:22" x14ac:dyDescent="0.3">
      <c r="A21" s="38"/>
      <c r="B21" s="14"/>
      <c r="C21" s="14"/>
      <c r="D21" s="39"/>
      <c r="E21" s="39"/>
      <c r="F21" s="39"/>
      <c r="G21" s="40"/>
      <c r="H21" s="39"/>
      <c r="I21" s="40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40"/>
      <c r="U21" s="26"/>
    </row>
    <row r="22" spans="1:22" x14ac:dyDescent="0.3">
      <c r="A22" s="22">
        <v>44062</v>
      </c>
      <c r="B22" s="4">
        <v>1</v>
      </c>
      <c r="C22" s="4">
        <v>7</v>
      </c>
      <c r="D22" s="2" t="s">
        <v>143</v>
      </c>
      <c r="E22" s="2">
        <v>1</v>
      </c>
      <c r="F22" s="2">
        <v>99</v>
      </c>
      <c r="G22" s="26">
        <v>0.01</v>
      </c>
      <c r="H22" s="2"/>
      <c r="I22" s="26">
        <f>F22/G22</f>
        <v>9900</v>
      </c>
      <c r="J22" s="2"/>
      <c r="K22" s="2"/>
      <c r="L22" s="2"/>
      <c r="M22" s="2"/>
      <c r="N22" s="2">
        <v>103</v>
      </c>
      <c r="O22" s="2"/>
      <c r="P22" s="2"/>
      <c r="Q22" s="2"/>
      <c r="R22" s="2"/>
      <c r="S22" s="2"/>
      <c r="T22" s="26">
        <f>N22/N8</f>
        <v>206000000</v>
      </c>
      <c r="U22" s="26">
        <f t="shared" ref="U22:U33" si="2">LN(T22/I22)/(0.667*LN(2))</f>
        <v>21.506531164397391</v>
      </c>
      <c r="V22" s="2"/>
    </row>
    <row r="23" spans="1:22" x14ac:dyDescent="0.3">
      <c r="A23" s="22">
        <v>44062</v>
      </c>
      <c r="B23" s="4">
        <v>2</v>
      </c>
      <c r="C23" s="46">
        <v>11</v>
      </c>
      <c r="D23" s="2" t="s">
        <v>147</v>
      </c>
      <c r="E23" s="2">
        <v>1</v>
      </c>
      <c r="F23" s="2">
        <v>103</v>
      </c>
      <c r="G23" s="26">
        <v>0.01</v>
      </c>
      <c r="H23" s="2"/>
      <c r="I23" s="26">
        <f t="shared" ref="I23:I86" si="3">F23/G23</f>
        <v>10300</v>
      </c>
      <c r="J23" s="2"/>
      <c r="K23" s="2"/>
      <c r="L23" s="2"/>
      <c r="M23" s="2"/>
      <c r="N23" s="2">
        <v>236</v>
      </c>
      <c r="O23" s="2"/>
      <c r="P23" s="2"/>
      <c r="Q23" s="2"/>
      <c r="R23" s="2"/>
      <c r="S23" s="2"/>
      <c r="T23" s="26">
        <f>N23/N8</f>
        <v>472000000</v>
      </c>
      <c r="U23" s="26">
        <f t="shared" si="2"/>
        <v>23.214175264959628</v>
      </c>
      <c r="V23" s="2"/>
    </row>
    <row r="24" spans="1:22" x14ac:dyDescent="0.3">
      <c r="A24" s="22">
        <v>44062</v>
      </c>
      <c r="B24" s="4">
        <v>3</v>
      </c>
      <c r="C24" s="4">
        <v>10</v>
      </c>
      <c r="D24" s="2" t="s">
        <v>146</v>
      </c>
      <c r="E24" s="2">
        <v>1</v>
      </c>
      <c r="F24" s="2">
        <v>109</v>
      </c>
      <c r="G24" s="26">
        <v>0.01</v>
      </c>
      <c r="H24" s="2"/>
      <c r="I24" s="26">
        <f t="shared" si="3"/>
        <v>10900</v>
      </c>
      <c r="J24" s="2"/>
      <c r="K24" s="2"/>
      <c r="L24" s="2"/>
      <c r="M24" s="2"/>
      <c r="N24" s="2">
        <v>159</v>
      </c>
      <c r="O24" s="2"/>
      <c r="P24" s="2"/>
      <c r="Q24" s="2"/>
      <c r="R24" s="2"/>
      <c r="S24" s="2"/>
      <c r="T24" s="26">
        <f>N24/N8</f>
        <v>318000000</v>
      </c>
      <c r="U24" s="26">
        <f t="shared" si="2"/>
        <v>22.237497766202214</v>
      </c>
      <c r="V24" s="2"/>
    </row>
    <row r="25" spans="1:22" x14ac:dyDescent="0.3">
      <c r="A25" s="22">
        <v>44062</v>
      </c>
      <c r="B25" s="4">
        <v>4</v>
      </c>
      <c r="C25" s="4">
        <v>8</v>
      </c>
      <c r="D25" s="2" t="s">
        <v>144</v>
      </c>
      <c r="E25" s="2">
        <v>1</v>
      </c>
      <c r="F25" s="2">
        <v>108</v>
      </c>
      <c r="G25" s="26">
        <v>0.01</v>
      </c>
      <c r="H25" s="2"/>
      <c r="I25" s="26">
        <f t="shared" si="3"/>
        <v>10800</v>
      </c>
      <c r="J25" s="2"/>
      <c r="K25" s="2"/>
      <c r="L25" s="2"/>
      <c r="M25" s="2"/>
      <c r="N25" s="2">
        <v>217</v>
      </c>
      <c r="O25" s="2"/>
      <c r="P25" s="2"/>
      <c r="Q25" s="2"/>
      <c r="R25" s="2"/>
      <c r="S25" s="2"/>
      <c r="T25" s="26">
        <f>N25/N8</f>
        <v>434000000</v>
      </c>
      <c r="U25" s="26">
        <f t="shared" si="2"/>
        <v>22.930099115188096</v>
      </c>
      <c r="V25" s="2"/>
    </row>
    <row r="26" spans="1:22" x14ac:dyDescent="0.3">
      <c r="A26" s="22">
        <v>44062</v>
      </c>
      <c r="B26" s="4">
        <v>5</v>
      </c>
      <c r="C26" s="4">
        <v>1</v>
      </c>
      <c r="D26" s="2" t="s">
        <v>166</v>
      </c>
      <c r="E26" s="2">
        <v>2</v>
      </c>
      <c r="F26" s="2">
        <v>65</v>
      </c>
      <c r="G26" s="26">
        <v>0.01</v>
      </c>
      <c r="H26" s="2"/>
      <c r="I26" s="26">
        <f t="shared" si="3"/>
        <v>6500</v>
      </c>
      <c r="J26" s="2"/>
      <c r="K26" s="2"/>
      <c r="L26" s="2"/>
      <c r="M26" s="2"/>
      <c r="N26" s="2">
        <v>114</v>
      </c>
      <c r="O26" s="2"/>
      <c r="P26" s="2"/>
      <c r="Q26" s="2"/>
      <c r="R26" s="2"/>
      <c r="S26" s="2"/>
      <c r="T26" s="26">
        <f>N26/N8</f>
        <v>228000000</v>
      </c>
      <c r="U26" s="26">
        <f t="shared" si="2"/>
        <v>22.636033854101555</v>
      </c>
      <c r="V26" s="2"/>
    </row>
    <row r="27" spans="1:22" x14ac:dyDescent="0.3">
      <c r="A27" s="22">
        <v>44062</v>
      </c>
      <c r="B27" s="4">
        <v>6</v>
      </c>
      <c r="C27" s="4">
        <v>5</v>
      </c>
      <c r="D27" s="2" t="s">
        <v>141</v>
      </c>
      <c r="E27" s="2">
        <v>1</v>
      </c>
      <c r="F27" s="2">
        <v>61</v>
      </c>
      <c r="G27" s="26">
        <v>0.01</v>
      </c>
      <c r="H27" s="2"/>
      <c r="I27" s="26">
        <f t="shared" si="3"/>
        <v>6100</v>
      </c>
      <c r="J27" s="2"/>
      <c r="K27" s="2"/>
      <c r="L27" s="2"/>
      <c r="M27" s="2"/>
      <c r="N27" s="2">
        <v>236</v>
      </c>
      <c r="O27" s="2"/>
      <c r="P27" s="2"/>
      <c r="Q27" s="2"/>
      <c r="R27" s="2"/>
      <c r="S27" s="2"/>
      <c r="T27" s="26">
        <f>N27/N8</f>
        <v>472000000</v>
      </c>
      <c r="U27" s="26">
        <f t="shared" si="2"/>
        <v>24.347253510267471</v>
      </c>
      <c r="V27" s="2"/>
    </row>
    <row r="28" spans="1:22" x14ac:dyDescent="0.3">
      <c r="A28" s="22">
        <v>44062</v>
      </c>
      <c r="B28" s="4">
        <v>7</v>
      </c>
      <c r="C28" s="4">
        <v>9</v>
      </c>
      <c r="D28" s="2" t="s">
        <v>145</v>
      </c>
      <c r="E28" s="2">
        <v>1</v>
      </c>
      <c r="F28" s="2">
        <v>91</v>
      </c>
      <c r="G28" s="26">
        <v>0.01</v>
      </c>
      <c r="H28" s="2"/>
      <c r="I28" s="26">
        <f t="shared" si="3"/>
        <v>9100</v>
      </c>
      <c r="J28" s="2"/>
      <c r="K28" s="2"/>
      <c r="L28" s="2"/>
      <c r="M28" s="2"/>
      <c r="N28" s="2">
        <v>112</v>
      </c>
      <c r="O28" s="2"/>
      <c r="P28" s="2"/>
      <c r="Q28" s="2"/>
      <c r="R28" s="2"/>
      <c r="S28" s="2"/>
      <c r="T28" s="26">
        <f>N28/N8</f>
        <v>224000000</v>
      </c>
      <c r="U28" s="26">
        <f t="shared" si="2"/>
        <v>21.869974005109981</v>
      </c>
      <c r="V28" s="2"/>
    </row>
    <row r="29" spans="1:22" x14ac:dyDescent="0.3">
      <c r="A29" s="22">
        <v>44062</v>
      </c>
      <c r="B29" s="4">
        <v>8</v>
      </c>
      <c r="C29" s="4">
        <v>6</v>
      </c>
      <c r="D29" s="2" t="s">
        <v>142</v>
      </c>
      <c r="E29" s="2">
        <v>1</v>
      </c>
      <c r="F29" s="2">
        <v>76</v>
      </c>
      <c r="G29" s="26">
        <v>0.01</v>
      </c>
      <c r="H29" s="2"/>
      <c r="I29" s="26">
        <f t="shared" si="3"/>
        <v>7600</v>
      </c>
      <c r="J29" s="2"/>
      <c r="K29" s="2"/>
      <c r="L29" s="2"/>
      <c r="M29" s="2"/>
      <c r="N29" s="2">
        <v>145</v>
      </c>
      <c r="O29" s="2"/>
      <c r="P29" s="2"/>
      <c r="Q29" s="2"/>
      <c r="R29" s="2"/>
      <c r="S29" s="2"/>
      <c r="T29" s="26">
        <f>N29/N8</f>
        <v>290000000</v>
      </c>
      <c r="U29" s="26">
        <f t="shared" si="2"/>
        <v>22.818131868247075</v>
      </c>
      <c r="V29" s="2"/>
    </row>
    <row r="30" spans="1:22" x14ac:dyDescent="0.3">
      <c r="A30" s="22">
        <v>44062</v>
      </c>
      <c r="B30" s="4">
        <v>9</v>
      </c>
      <c r="C30" s="4">
        <v>3</v>
      </c>
      <c r="D30" s="2" t="s">
        <v>139</v>
      </c>
      <c r="E30" s="2">
        <v>1</v>
      </c>
      <c r="F30" s="2">
        <v>83</v>
      </c>
      <c r="G30" s="26">
        <v>0.01</v>
      </c>
      <c r="H30" s="2"/>
      <c r="I30" s="26">
        <f t="shared" si="3"/>
        <v>8300</v>
      </c>
      <c r="J30" s="2"/>
      <c r="K30" s="2"/>
      <c r="L30" s="2"/>
      <c r="M30" s="2"/>
      <c r="N30" s="2">
        <v>102</v>
      </c>
      <c r="O30" s="2"/>
      <c r="P30" s="2"/>
      <c r="Q30" s="2"/>
      <c r="R30" s="2"/>
      <c r="S30" s="2"/>
      <c r="T30" s="26">
        <f>N30/N8</f>
        <v>204000000</v>
      </c>
      <c r="U30" s="26">
        <f t="shared" si="2"/>
        <v>21.866714078221918</v>
      </c>
      <c r="V30" s="2"/>
    </row>
    <row r="31" spans="1:22" x14ac:dyDescent="0.3">
      <c r="A31" s="22">
        <v>44062</v>
      </c>
      <c r="B31" s="4">
        <v>10</v>
      </c>
      <c r="C31" s="4">
        <v>4</v>
      </c>
      <c r="D31" s="2" t="s">
        <v>140</v>
      </c>
      <c r="E31" s="2">
        <v>1</v>
      </c>
      <c r="F31" s="2">
        <v>79</v>
      </c>
      <c r="G31" s="26">
        <v>0.01</v>
      </c>
      <c r="H31" s="2"/>
      <c r="I31" s="26">
        <f t="shared" si="3"/>
        <v>7900</v>
      </c>
      <c r="J31" s="2"/>
      <c r="K31" s="2"/>
      <c r="L31" s="2"/>
      <c r="M31" s="2"/>
      <c r="N31" s="2">
        <v>168</v>
      </c>
      <c r="O31" s="2"/>
      <c r="P31" s="2"/>
      <c r="Q31" s="2"/>
      <c r="R31" s="2"/>
      <c r="S31" s="2"/>
      <c r="T31" s="26">
        <f>N31/N8</f>
        <v>336000000</v>
      </c>
      <c r="U31" s="26">
        <f t="shared" si="2"/>
        <v>23.052847157647836</v>
      </c>
      <c r="V31" s="2"/>
    </row>
    <row r="32" spans="1:22" x14ac:dyDescent="0.3">
      <c r="A32" s="22">
        <v>44062</v>
      </c>
      <c r="B32" s="5">
        <v>11</v>
      </c>
      <c r="C32" s="4">
        <v>2</v>
      </c>
      <c r="D32" s="2" t="s">
        <v>138</v>
      </c>
      <c r="E32" s="2">
        <v>1</v>
      </c>
      <c r="F32" s="2">
        <v>82</v>
      </c>
      <c r="G32" s="26">
        <v>0.01</v>
      </c>
      <c r="H32" s="2"/>
      <c r="I32" s="26">
        <f t="shared" si="3"/>
        <v>8200</v>
      </c>
      <c r="J32" s="2"/>
      <c r="K32" s="2"/>
      <c r="L32" s="2"/>
      <c r="M32" s="2"/>
      <c r="N32" s="2">
        <v>149</v>
      </c>
      <c r="O32" s="2"/>
      <c r="P32" s="2"/>
      <c r="Q32" s="2"/>
      <c r="R32" s="2"/>
      <c r="S32" s="2"/>
      <c r="T32" s="26">
        <f>N32/N8</f>
        <v>298000000</v>
      </c>
      <c r="U32" s="26">
        <f t="shared" si="2"/>
        <v>22.712637024578004</v>
      </c>
      <c r="V32" s="2"/>
    </row>
    <row r="33" spans="1:22" ht="15" thickBot="1" x14ac:dyDescent="0.35">
      <c r="A33" s="51">
        <v>44062</v>
      </c>
      <c r="B33" s="52">
        <v>12</v>
      </c>
      <c r="C33" s="52">
        <v>12</v>
      </c>
      <c r="D33" s="53" t="s">
        <v>148</v>
      </c>
      <c r="E33" s="53">
        <v>1</v>
      </c>
      <c r="F33" s="53">
        <v>109</v>
      </c>
      <c r="G33" s="54">
        <v>0.01</v>
      </c>
      <c r="H33" s="53"/>
      <c r="I33" s="54">
        <f t="shared" si="3"/>
        <v>10900</v>
      </c>
      <c r="J33" s="53"/>
      <c r="K33" s="53"/>
      <c r="L33" s="53"/>
      <c r="M33" s="53"/>
      <c r="N33" s="53">
        <v>224</v>
      </c>
      <c r="O33" s="53"/>
      <c r="P33" s="53"/>
      <c r="Q33" s="53"/>
      <c r="R33" s="53"/>
      <c r="S33" s="53"/>
      <c r="T33" s="54">
        <f>N33/N8</f>
        <v>448000000</v>
      </c>
      <c r="U33" s="54">
        <f t="shared" si="2"/>
        <v>22.978835047721329</v>
      </c>
      <c r="V33" s="53"/>
    </row>
    <row r="34" spans="1:22" x14ac:dyDescent="0.3">
      <c r="A34" s="48"/>
      <c r="B34" s="41"/>
      <c r="C34" s="41"/>
      <c r="D34" s="41"/>
      <c r="E34" s="41"/>
      <c r="F34" s="41"/>
      <c r="G34" s="41"/>
      <c r="H34" s="41"/>
      <c r="I34" s="49"/>
      <c r="J34" s="41"/>
      <c r="K34" s="41"/>
      <c r="L34" s="41"/>
      <c r="M34" s="41"/>
      <c r="N34" s="50">
        <v>4.9999999999999998E-7</v>
      </c>
      <c r="O34" s="50">
        <v>2.9999999999999999E-7</v>
      </c>
      <c r="P34" s="50">
        <v>1.9999999999999999E-7</v>
      </c>
      <c r="Q34" s="50"/>
      <c r="R34" s="50"/>
      <c r="S34" s="50"/>
      <c r="T34" s="41"/>
      <c r="U34" s="49"/>
      <c r="V34" s="41"/>
    </row>
    <row r="35" spans="1:22" x14ac:dyDescent="0.3">
      <c r="A35" s="22">
        <v>44063</v>
      </c>
      <c r="B35" s="4">
        <v>1</v>
      </c>
      <c r="C35" s="4">
        <v>2</v>
      </c>
      <c r="D35" s="2" t="s">
        <v>138</v>
      </c>
      <c r="E35" s="2">
        <v>1</v>
      </c>
      <c r="F35" s="2">
        <v>58</v>
      </c>
      <c r="G35" s="26">
        <v>0.01</v>
      </c>
      <c r="H35" s="2"/>
      <c r="I35" s="26">
        <f t="shared" si="3"/>
        <v>5800</v>
      </c>
      <c r="J35" s="2"/>
      <c r="K35" s="2"/>
      <c r="L35" s="2"/>
      <c r="M35" s="2"/>
      <c r="N35" s="2">
        <v>109</v>
      </c>
      <c r="O35" s="2"/>
      <c r="P35" s="2"/>
      <c r="Q35" s="2"/>
      <c r="R35" s="2"/>
      <c r="S35" s="2"/>
      <c r="T35" s="26">
        <f>N35/N34</f>
        <v>218000000</v>
      </c>
      <c r="U35" s="26">
        <f t="shared" ref="U35:U46" si="4">LN(T35/I35)/(0.667*LN(2))</f>
        <v>22.785480823386514</v>
      </c>
      <c r="V35" s="2"/>
    </row>
    <row r="36" spans="1:22" x14ac:dyDescent="0.3">
      <c r="A36" s="22">
        <v>44063</v>
      </c>
      <c r="B36" s="4">
        <v>2</v>
      </c>
      <c r="C36" s="4">
        <v>6</v>
      </c>
      <c r="D36" s="2" t="s">
        <v>142</v>
      </c>
      <c r="E36" s="2">
        <v>1</v>
      </c>
      <c r="F36" s="2">
        <v>84</v>
      </c>
      <c r="G36" s="26">
        <v>0.01</v>
      </c>
      <c r="H36" s="2"/>
      <c r="I36" s="26">
        <f t="shared" si="3"/>
        <v>8400</v>
      </c>
      <c r="J36" s="2"/>
      <c r="K36" s="2"/>
      <c r="L36" s="2"/>
      <c r="M36" s="2"/>
      <c r="N36" s="2">
        <v>101</v>
      </c>
      <c r="O36" s="2"/>
      <c r="P36" s="2"/>
      <c r="Q36" s="2"/>
      <c r="R36" s="2"/>
      <c r="S36" s="2"/>
      <c r="T36" s="26">
        <f>N36/N34</f>
        <v>202000000</v>
      </c>
      <c r="U36" s="26">
        <f t="shared" si="4"/>
        <v>21.819499909329064</v>
      </c>
      <c r="V36" s="2"/>
    </row>
    <row r="37" spans="1:22" x14ac:dyDescent="0.3">
      <c r="A37" s="22">
        <v>44063</v>
      </c>
      <c r="B37" s="4">
        <v>3</v>
      </c>
      <c r="C37" s="4">
        <v>10</v>
      </c>
      <c r="D37" s="2" t="s">
        <v>146</v>
      </c>
      <c r="E37" s="2">
        <v>1</v>
      </c>
      <c r="F37" s="2">
        <v>67</v>
      </c>
      <c r="G37" s="26">
        <v>0.01</v>
      </c>
      <c r="H37" s="2"/>
      <c r="I37" s="26">
        <f t="shared" si="3"/>
        <v>6700</v>
      </c>
      <c r="J37" s="2"/>
      <c r="K37" s="2"/>
      <c r="L37" s="2"/>
      <c r="M37" s="2"/>
      <c r="N37" s="2">
        <v>55</v>
      </c>
      <c r="O37" s="2"/>
      <c r="P37" s="2"/>
      <c r="Q37" s="2"/>
      <c r="R37" s="2"/>
      <c r="S37" s="2"/>
      <c r="T37" s="26">
        <f>N37/N34</f>
        <v>110000000</v>
      </c>
      <c r="U37" s="26">
        <f t="shared" si="4"/>
        <v>20.993977365241882</v>
      </c>
      <c r="V37" s="2"/>
    </row>
    <row r="38" spans="1:22" ht="15" customHeight="1" x14ac:dyDescent="0.3">
      <c r="A38" s="22">
        <v>44063</v>
      </c>
      <c r="B38" s="4">
        <v>4</v>
      </c>
      <c r="C38" s="4">
        <v>12</v>
      </c>
      <c r="D38" s="2" t="s">
        <v>148</v>
      </c>
      <c r="E38" s="2">
        <v>1</v>
      </c>
      <c r="F38" s="2">
        <v>63</v>
      </c>
      <c r="G38" s="26">
        <v>0.01</v>
      </c>
      <c r="H38" s="2"/>
      <c r="I38" s="26">
        <f t="shared" si="3"/>
        <v>6300</v>
      </c>
      <c r="J38" s="2"/>
      <c r="K38" s="2"/>
      <c r="L38" s="2"/>
      <c r="M38" s="2"/>
      <c r="N38" s="2"/>
      <c r="O38" s="2">
        <v>52</v>
      </c>
      <c r="P38" s="2"/>
      <c r="Q38" s="2"/>
      <c r="R38" s="2"/>
      <c r="S38" s="2"/>
      <c r="T38" s="26">
        <f>O38/O34</f>
        <v>173333333.33333334</v>
      </c>
      <c r="U38" s="26">
        <f t="shared" si="4"/>
        <v>22.110701301884305</v>
      </c>
      <c r="V38" s="2"/>
    </row>
    <row r="39" spans="1:22" x14ac:dyDescent="0.3">
      <c r="A39" s="22">
        <v>44063</v>
      </c>
      <c r="B39" s="4">
        <v>5</v>
      </c>
      <c r="C39" s="4">
        <v>1</v>
      </c>
      <c r="D39" s="2" t="s">
        <v>166</v>
      </c>
      <c r="E39" s="2">
        <v>2</v>
      </c>
      <c r="F39" s="2">
        <v>112</v>
      </c>
      <c r="G39" s="26">
        <v>0.01</v>
      </c>
      <c r="H39" s="2"/>
      <c r="I39" s="26">
        <f t="shared" si="3"/>
        <v>11200</v>
      </c>
      <c r="J39" s="2"/>
      <c r="K39" s="2"/>
      <c r="L39" s="2"/>
      <c r="M39" s="2"/>
      <c r="N39" s="2">
        <v>182</v>
      </c>
      <c r="O39" s="2"/>
      <c r="P39" s="2"/>
      <c r="Q39" s="2"/>
      <c r="R39" s="2"/>
      <c r="S39" s="2"/>
      <c r="T39" s="26">
        <f>N39/N34</f>
        <v>364000000</v>
      </c>
      <c r="U39" s="26">
        <f t="shared" si="4"/>
        <v>22.470992650210707</v>
      </c>
      <c r="V39" s="2"/>
    </row>
    <row r="40" spans="1:22" x14ac:dyDescent="0.3">
      <c r="A40" s="22">
        <v>44063</v>
      </c>
      <c r="B40" s="4">
        <v>6</v>
      </c>
      <c r="C40" s="4">
        <v>8</v>
      </c>
      <c r="D40" s="2" t="s">
        <v>144</v>
      </c>
      <c r="E40" s="2">
        <v>1</v>
      </c>
      <c r="F40" s="2">
        <v>75</v>
      </c>
      <c r="G40" s="26">
        <v>0.01</v>
      </c>
      <c r="H40" s="2"/>
      <c r="I40" s="26">
        <f t="shared" si="3"/>
        <v>7500</v>
      </c>
      <c r="J40" s="2"/>
      <c r="K40" s="2"/>
      <c r="L40" s="2"/>
      <c r="M40" s="2"/>
      <c r="N40" s="2"/>
      <c r="O40" s="2">
        <v>47</v>
      </c>
      <c r="P40" s="2"/>
      <c r="Q40" s="2"/>
      <c r="R40" s="2"/>
      <c r="S40" s="2"/>
      <c r="T40" s="26">
        <f>O40/O34</f>
        <v>156666666.66666669</v>
      </c>
      <c r="U40" s="26">
        <f t="shared" si="4"/>
        <v>21.51491474497363</v>
      </c>
      <c r="V40" s="2"/>
    </row>
    <row r="41" spans="1:22" x14ac:dyDescent="0.3">
      <c r="A41" s="22">
        <v>44063</v>
      </c>
      <c r="B41" s="4">
        <v>7</v>
      </c>
      <c r="C41" s="4">
        <v>7</v>
      </c>
      <c r="D41" s="2" t="s">
        <v>143</v>
      </c>
      <c r="E41" s="2">
        <v>1</v>
      </c>
      <c r="F41" s="2">
        <v>79</v>
      </c>
      <c r="G41" s="26">
        <v>0.01</v>
      </c>
      <c r="H41" s="2"/>
      <c r="I41" s="26">
        <f t="shared" si="3"/>
        <v>7900</v>
      </c>
      <c r="J41" s="2"/>
      <c r="K41" s="2"/>
      <c r="L41" s="2"/>
      <c r="M41" s="2"/>
      <c r="N41" s="2">
        <v>73</v>
      </c>
      <c r="O41" s="2"/>
      <c r="P41" s="2"/>
      <c r="Q41" s="2"/>
      <c r="R41" s="2"/>
      <c r="S41" s="2"/>
      <c r="T41" s="26">
        <f>N41/N34</f>
        <v>146000000</v>
      </c>
      <c r="U41" s="26">
        <f t="shared" si="4"/>
        <v>21.250009280738176</v>
      </c>
      <c r="V41" s="2"/>
    </row>
    <row r="42" spans="1:22" x14ac:dyDescent="0.3">
      <c r="A42" s="22">
        <v>44063</v>
      </c>
      <c r="B42" s="4">
        <v>8</v>
      </c>
      <c r="C42" s="4">
        <v>5</v>
      </c>
      <c r="D42" s="2" t="s">
        <v>141</v>
      </c>
      <c r="E42" s="2">
        <v>1</v>
      </c>
      <c r="F42" s="2">
        <v>110</v>
      </c>
      <c r="G42" s="26">
        <v>0.01</v>
      </c>
      <c r="H42" s="2"/>
      <c r="I42" s="26">
        <f t="shared" si="3"/>
        <v>11000</v>
      </c>
      <c r="J42" s="2"/>
      <c r="K42" s="2"/>
      <c r="L42" s="2"/>
      <c r="M42" s="2"/>
      <c r="N42" s="2"/>
      <c r="O42" s="2">
        <v>43</v>
      </c>
      <c r="P42" s="2"/>
      <c r="Q42" s="2"/>
      <c r="R42" s="2"/>
      <c r="S42" s="2"/>
      <c r="T42" s="26">
        <f>O42/O34</f>
        <v>143333333.33333334</v>
      </c>
      <c r="U42" s="26">
        <f t="shared" si="4"/>
        <v>20.49412745861034</v>
      </c>
      <c r="V42" s="2"/>
    </row>
    <row r="43" spans="1:22" x14ac:dyDescent="0.3">
      <c r="A43" s="22">
        <v>44063</v>
      </c>
      <c r="B43" s="4">
        <v>9</v>
      </c>
      <c r="C43" s="46">
        <v>11</v>
      </c>
      <c r="D43" s="2" t="s">
        <v>147</v>
      </c>
      <c r="E43" s="2">
        <v>1</v>
      </c>
      <c r="F43" s="2">
        <v>71</v>
      </c>
      <c r="G43" s="26">
        <v>0.01</v>
      </c>
      <c r="H43" s="2"/>
      <c r="I43" s="26">
        <f t="shared" si="3"/>
        <v>7100</v>
      </c>
      <c r="J43" s="2"/>
      <c r="K43" s="2"/>
      <c r="L43" s="2"/>
      <c r="M43" s="2"/>
      <c r="N43" s="2"/>
      <c r="O43" s="2"/>
      <c r="P43" s="25">
        <v>28</v>
      </c>
      <c r="Q43" s="25"/>
      <c r="R43" s="25"/>
      <c r="S43" s="25"/>
      <c r="T43" s="26">
        <f>P43/P34</f>
        <v>140000000</v>
      </c>
      <c r="U43" s="26">
        <f t="shared" si="4"/>
        <v>21.390177326821188</v>
      </c>
      <c r="V43" s="2"/>
    </row>
    <row r="44" spans="1:22" x14ac:dyDescent="0.3">
      <c r="A44" s="22">
        <v>44063</v>
      </c>
      <c r="B44" s="4">
        <v>10</v>
      </c>
      <c r="C44" s="4">
        <v>3</v>
      </c>
      <c r="D44" s="2" t="s">
        <v>139</v>
      </c>
      <c r="E44" s="2">
        <v>1</v>
      </c>
      <c r="F44" s="2">
        <v>89</v>
      </c>
      <c r="G44" s="26">
        <v>0.01</v>
      </c>
      <c r="H44" s="2"/>
      <c r="I44" s="26">
        <f t="shared" si="3"/>
        <v>8900</v>
      </c>
      <c r="J44" s="2"/>
      <c r="K44" s="2"/>
      <c r="L44" s="2"/>
      <c r="M44" s="2"/>
      <c r="N44" s="2">
        <v>213</v>
      </c>
      <c r="O44" s="2"/>
      <c r="P44" s="2"/>
      <c r="Q44" s="2"/>
      <c r="R44" s="2"/>
      <c r="S44" s="2"/>
      <c r="T44" s="26">
        <f>N44/N34</f>
        <v>426000000</v>
      </c>
      <c r="U44" s="26">
        <f t="shared" si="4"/>
        <v>23.308378663881395</v>
      </c>
      <c r="V44" s="2"/>
    </row>
    <row r="45" spans="1:22" x14ac:dyDescent="0.3">
      <c r="A45" s="22">
        <v>44063</v>
      </c>
      <c r="B45" s="5">
        <v>11</v>
      </c>
      <c r="C45" s="4">
        <v>9</v>
      </c>
      <c r="D45" s="2" t="s">
        <v>145</v>
      </c>
      <c r="E45" s="2">
        <v>1</v>
      </c>
      <c r="F45" s="2">
        <v>94</v>
      </c>
      <c r="G45" s="26">
        <v>0.01</v>
      </c>
      <c r="H45" s="2"/>
      <c r="I45" s="26">
        <f t="shared" si="3"/>
        <v>9400</v>
      </c>
      <c r="J45" s="2"/>
      <c r="K45" s="2"/>
      <c r="L45" s="2"/>
      <c r="M45" s="2"/>
      <c r="N45" s="2">
        <v>76</v>
      </c>
      <c r="O45" s="2"/>
      <c r="P45" s="2"/>
      <c r="Q45" s="2"/>
      <c r="R45" s="2"/>
      <c r="S45" s="2"/>
      <c r="T45" s="26">
        <f>N45/N34</f>
        <v>152000000</v>
      </c>
      <c r="U45" s="26">
        <f t="shared" si="4"/>
        <v>20.961096013966113</v>
      </c>
      <c r="V45" s="2"/>
    </row>
    <row r="46" spans="1:22" ht="15" thickBot="1" x14ac:dyDescent="0.35">
      <c r="A46" s="51">
        <v>44063</v>
      </c>
      <c r="B46" s="52">
        <v>12</v>
      </c>
      <c r="C46" s="52">
        <v>4</v>
      </c>
      <c r="D46" s="53" t="s">
        <v>140</v>
      </c>
      <c r="E46" s="53">
        <v>1</v>
      </c>
      <c r="F46" s="56">
        <v>88</v>
      </c>
      <c r="G46" s="54">
        <v>0.01</v>
      </c>
      <c r="H46" s="53"/>
      <c r="I46" s="54">
        <f t="shared" si="3"/>
        <v>8800</v>
      </c>
      <c r="J46" s="53"/>
      <c r="K46" s="53"/>
      <c r="L46" s="53"/>
      <c r="M46" s="53"/>
      <c r="N46" s="53">
        <v>77</v>
      </c>
      <c r="O46" s="53"/>
      <c r="P46" s="53"/>
      <c r="Q46" s="53"/>
      <c r="R46" s="53"/>
      <c r="S46" s="53"/>
      <c r="T46" s="54">
        <f>N46/N34</f>
        <v>154000000</v>
      </c>
      <c r="U46" s="54">
        <f t="shared" si="4"/>
        <v>21.13203493494311</v>
      </c>
      <c r="V46" s="53"/>
    </row>
    <row r="47" spans="1:22" x14ac:dyDescent="0.3">
      <c r="A47" s="41"/>
      <c r="B47" s="41"/>
      <c r="C47" s="41"/>
      <c r="D47" s="41"/>
      <c r="E47" s="41"/>
      <c r="F47" s="41"/>
      <c r="G47" s="41"/>
      <c r="H47" s="41"/>
      <c r="I47" s="49"/>
      <c r="J47" s="41"/>
      <c r="K47" s="41"/>
      <c r="L47" s="41"/>
      <c r="M47" s="55">
        <v>6.9999999999999997E-7</v>
      </c>
      <c r="N47" s="50">
        <v>4.9999999999999998E-7</v>
      </c>
      <c r="O47" s="50">
        <v>3.9999999999999998E-7</v>
      </c>
      <c r="P47" s="50">
        <v>2.9999999999999999E-7</v>
      </c>
      <c r="Q47" s="50"/>
      <c r="R47" s="50"/>
      <c r="S47" s="50"/>
      <c r="T47" s="41"/>
      <c r="U47" s="49"/>
      <c r="V47" s="41"/>
    </row>
    <row r="48" spans="1:22" x14ac:dyDescent="0.3">
      <c r="A48" s="22">
        <v>44067</v>
      </c>
      <c r="B48" s="4">
        <v>1</v>
      </c>
      <c r="C48" s="2">
        <v>6</v>
      </c>
      <c r="D48" s="2" t="s">
        <v>142</v>
      </c>
      <c r="E48" s="2">
        <v>1</v>
      </c>
      <c r="F48" s="2">
        <v>64</v>
      </c>
      <c r="G48" s="26">
        <v>0.01</v>
      </c>
      <c r="H48" s="2"/>
      <c r="I48" s="40">
        <f t="shared" si="3"/>
        <v>6400</v>
      </c>
      <c r="J48" s="2"/>
      <c r="K48" s="2"/>
      <c r="L48" s="2"/>
      <c r="M48" s="2"/>
      <c r="N48" s="2">
        <v>56</v>
      </c>
      <c r="O48" s="2"/>
      <c r="P48" s="2"/>
      <c r="Q48" s="2"/>
      <c r="R48" s="2"/>
      <c r="S48" s="2"/>
      <c r="T48" s="26">
        <f>N48/N47</f>
        <v>112000000</v>
      </c>
      <c r="U48" s="26">
        <f t="shared" ref="U48:U59" si="5">LN(T48/I48)/(0.667*LN(2))</f>
        <v>21.13203493494311</v>
      </c>
      <c r="V48" s="2"/>
    </row>
    <row r="49" spans="1:22" x14ac:dyDescent="0.3">
      <c r="A49" s="22">
        <v>44067</v>
      </c>
      <c r="B49" s="4">
        <v>2</v>
      </c>
      <c r="C49" s="2">
        <v>1</v>
      </c>
      <c r="D49" s="2" t="s">
        <v>166</v>
      </c>
      <c r="E49" s="2">
        <v>2</v>
      </c>
      <c r="F49" s="2">
        <v>73</v>
      </c>
      <c r="G49" s="26">
        <v>0.01</v>
      </c>
      <c r="H49" s="2"/>
      <c r="I49" s="26">
        <f t="shared" si="3"/>
        <v>7300</v>
      </c>
      <c r="J49" s="2"/>
      <c r="K49" s="2"/>
      <c r="L49" s="2"/>
      <c r="M49" s="2"/>
      <c r="N49" s="2">
        <v>61</v>
      </c>
      <c r="O49" s="2"/>
      <c r="P49" s="2"/>
      <c r="Q49" s="2"/>
      <c r="R49" s="2"/>
      <c r="S49" s="2"/>
      <c r="T49" s="26">
        <f>N49/N47</f>
        <v>122000000</v>
      </c>
      <c r="U49" s="40">
        <f t="shared" si="5"/>
        <v>21.032421526585185</v>
      </c>
      <c r="V49" s="2"/>
    </row>
    <row r="50" spans="1:22" x14ac:dyDescent="0.3">
      <c r="A50" s="22">
        <v>44067</v>
      </c>
      <c r="B50" s="4">
        <v>3</v>
      </c>
      <c r="C50" s="2">
        <v>7</v>
      </c>
      <c r="D50" s="2" t="s">
        <v>143</v>
      </c>
      <c r="E50" s="2">
        <v>1</v>
      </c>
      <c r="F50" s="2">
        <v>68</v>
      </c>
      <c r="G50" s="26">
        <v>0.01</v>
      </c>
      <c r="H50" s="2"/>
      <c r="I50" s="40">
        <f t="shared" si="3"/>
        <v>6800</v>
      </c>
      <c r="J50" s="2"/>
      <c r="K50" s="2"/>
      <c r="L50" s="2"/>
      <c r="M50" s="2"/>
      <c r="N50" s="2">
        <v>50</v>
      </c>
      <c r="O50" s="2"/>
      <c r="P50" s="2"/>
      <c r="Q50" s="2"/>
      <c r="R50" s="2"/>
      <c r="S50" s="2"/>
      <c r="T50" s="26">
        <f>N50/N47</f>
        <v>100000000</v>
      </c>
      <c r="U50" s="26">
        <f t="shared" si="5"/>
        <v>20.755780701759871</v>
      </c>
      <c r="V50" s="2"/>
    </row>
    <row r="51" spans="1:22" x14ac:dyDescent="0.3">
      <c r="A51" s="22">
        <v>44067</v>
      </c>
      <c r="B51" s="4">
        <v>4</v>
      </c>
      <c r="C51" s="2">
        <v>9</v>
      </c>
      <c r="D51" s="2" t="s">
        <v>145</v>
      </c>
      <c r="E51" s="2">
        <v>1</v>
      </c>
      <c r="F51" s="2">
        <v>79</v>
      </c>
      <c r="G51" s="26">
        <v>0.01</v>
      </c>
      <c r="H51" s="2"/>
      <c r="I51" s="26">
        <f t="shared" si="3"/>
        <v>7900</v>
      </c>
      <c r="J51" s="2"/>
      <c r="K51" s="2"/>
      <c r="L51" s="2"/>
      <c r="M51" s="2"/>
      <c r="N51" s="25">
        <v>19</v>
      </c>
      <c r="O51" s="2"/>
      <c r="P51" s="2"/>
      <c r="Q51" s="2"/>
      <c r="R51" s="2"/>
      <c r="S51" s="2"/>
      <c r="T51" s="26">
        <f>N51/N47</f>
        <v>38000000</v>
      </c>
      <c r="U51" s="26">
        <f t="shared" si="5"/>
        <v>18.338619407520138</v>
      </c>
      <c r="V51" s="2"/>
    </row>
    <row r="52" spans="1:22" x14ac:dyDescent="0.3">
      <c r="A52" s="22">
        <v>44067</v>
      </c>
      <c r="B52" s="4">
        <v>5</v>
      </c>
      <c r="C52" s="2">
        <v>5</v>
      </c>
      <c r="D52" s="2" t="s">
        <v>141</v>
      </c>
      <c r="E52" s="2">
        <v>1</v>
      </c>
      <c r="F52" s="2">
        <v>70</v>
      </c>
      <c r="G52" s="26">
        <v>0.01</v>
      </c>
      <c r="H52" s="2"/>
      <c r="I52" s="40">
        <f t="shared" si="3"/>
        <v>7000</v>
      </c>
      <c r="J52" s="2"/>
      <c r="K52" s="2"/>
      <c r="L52" s="2"/>
      <c r="M52" s="2">
        <v>103</v>
      </c>
      <c r="N52" s="2"/>
      <c r="O52" s="2"/>
      <c r="P52" s="2"/>
      <c r="Q52" s="2"/>
      <c r="R52" s="2"/>
      <c r="S52" s="2"/>
      <c r="T52" s="26">
        <f>M52/M47</f>
        <v>147142857.14285716</v>
      </c>
      <c r="U52" s="40">
        <f t="shared" si="5"/>
        <v>21.528490348751816</v>
      </c>
      <c r="V52" s="2"/>
    </row>
    <row r="53" spans="1:22" x14ac:dyDescent="0.3">
      <c r="A53" s="22">
        <v>44067</v>
      </c>
      <c r="B53" s="4">
        <v>6</v>
      </c>
      <c r="C53" s="2">
        <v>8</v>
      </c>
      <c r="D53" s="2" t="s">
        <v>144</v>
      </c>
      <c r="E53" s="2">
        <v>1</v>
      </c>
      <c r="F53" s="2">
        <v>79</v>
      </c>
      <c r="G53" s="26">
        <v>0.01</v>
      </c>
      <c r="H53" s="2"/>
      <c r="I53" s="26">
        <f t="shared" si="3"/>
        <v>7900</v>
      </c>
      <c r="J53" s="2"/>
      <c r="K53" s="2"/>
      <c r="L53" s="2"/>
      <c r="M53" s="2"/>
      <c r="N53" s="2">
        <v>88</v>
      </c>
      <c r="O53" s="2"/>
      <c r="P53" s="2"/>
      <c r="Q53" s="2"/>
      <c r="R53" s="2"/>
      <c r="S53" s="2"/>
      <c r="T53" s="26">
        <f>N53/N47</f>
        <v>176000000</v>
      </c>
      <c r="U53" s="26">
        <f t="shared" si="5"/>
        <v>21.654217766131403</v>
      </c>
      <c r="V53" s="2"/>
    </row>
    <row r="54" spans="1:22" x14ac:dyDescent="0.3">
      <c r="A54" s="22">
        <v>44067</v>
      </c>
      <c r="B54" s="4">
        <v>7</v>
      </c>
      <c r="C54" s="2">
        <v>3</v>
      </c>
      <c r="D54" s="2" t="s">
        <v>139</v>
      </c>
      <c r="E54" s="2">
        <v>1</v>
      </c>
      <c r="F54" s="2">
        <v>83</v>
      </c>
      <c r="G54" s="26">
        <v>0.01</v>
      </c>
      <c r="H54" s="2"/>
      <c r="I54" s="40">
        <f t="shared" si="3"/>
        <v>8300</v>
      </c>
      <c r="J54" s="2"/>
      <c r="K54" s="2"/>
      <c r="L54" s="2"/>
      <c r="M54" s="2"/>
      <c r="N54" s="2"/>
      <c r="O54" s="2"/>
      <c r="P54" s="2">
        <v>36</v>
      </c>
      <c r="Q54" s="2"/>
      <c r="R54" s="2"/>
      <c r="S54" s="2"/>
      <c r="T54" s="26">
        <f>P54/P47</f>
        <v>120000000</v>
      </c>
      <c r="U54" s="26">
        <f t="shared" si="5"/>
        <v>20.718985822805163</v>
      </c>
      <c r="V54" s="2"/>
    </row>
    <row r="55" spans="1:22" x14ac:dyDescent="0.3">
      <c r="A55" s="22">
        <v>44067</v>
      </c>
      <c r="B55" s="4">
        <v>8</v>
      </c>
      <c r="C55" s="2">
        <v>2</v>
      </c>
      <c r="D55" s="2" t="s">
        <v>138</v>
      </c>
      <c r="E55" s="2">
        <v>1</v>
      </c>
      <c r="F55" s="2">
        <v>102</v>
      </c>
      <c r="G55" s="26">
        <v>0.01</v>
      </c>
      <c r="H55" s="2"/>
      <c r="I55" s="26">
        <f t="shared" si="3"/>
        <v>10200</v>
      </c>
      <c r="J55" s="2"/>
      <c r="K55" s="2"/>
      <c r="L55" s="2"/>
      <c r="M55" s="2"/>
      <c r="N55" s="2">
        <v>51</v>
      </c>
      <c r="O55" s="2"/>
      <c r="P55" s="2"/>
      <c r="Q55" s="2"/>
      <c r="R55" s="2"/>
      <c r="S55" s="2"/>
      <c r="T55" s="26">
        <f>N55/N47</f>
        <v>102000000</v>
      </c>
      <c r="U55" s="40">
        <f t="shared" si="5"/>
        <v>19.921607765441454</v>
      </c>
      <c r="V55" s="2"/>
    </row>
    <row r="56" spans="1:22" x14ac:dyDescent="0.3">
      <c r="A56" s="22">
        <v>44067</v>
      </c>
      <c r="B56" s="4">
        <v>9</v>
      </c>
      <c r="C56" s="2">
        <v>12</v>
      </c>
      <c r="D56" s="2" t="s">
        <v>148</v>
      </c>
      <c r="E56" s="2">
        <v>1</v>
      </c>
      <c r="F56" s="2">
        <v>85</v>
      </c>
      <c r="G56" s="26">
        <v>0.01</v>
      </c>
      <c r="H56" s="2"/>
      <c r="I56" s="40">
        <f t="shared" si="3"/>
        <v>8500</v>
      </c>
      <c r="J56" s="2"/>
      <c r="K56" s="2"/>
      <c r="L56" s="2"/>
      <c r="M56" s="2"/>
      <c r="N56" s="2"/>
      <c r="O56" s="2">
        <v>50</v>
      </c>
      <c r="P56" s="2"/>
      <c r="Q56" s="2"/>
      <c r="R56" s="2"/>
      <c r="S56" s="2"/>
      <c r="T56" s="26">
        <f>O56/O47</f>
        <v>125000000</v>
      </c>
      <c r="U56" s="26">
        <f t="shared" si="5"/>
        <v>20.755780701759871</v>
      </c>
      <c r="V56" s="2"/>
    </row>
    <row r="57" spans="1:22" x14ac:dyDescent="0.3">
      <c r="A57" s="22">
        <v>44067</v>
      </c>
      <c r="B57" s="4">
        <v>10</v>
      </c>
      <c r="C57" s="2">
        <v>10</v>
      </c>
      <c r="D57" s="2" t="s">
        <v>146</v>
      </c>
      <c r="E57" s="2">
        <v>1</v>
      </c>
      <c r="F57" s="2">
        <v>88</v>
      </c>
      <c r="G57" s="26">
        <v>0.01</v>
      </c>
      <c r="H57" s="2"/>
      <c r="I57" s="26">
        <f t="shared" si="3"/>
        <v>8800</v>
      </c>
      <c r="J57" s="2"/>
      <c r="K57" s="2"/>
      <c r="L57" s="2"/>
      <c r="M57" s="2"/>
      <c r="N57" s="2">
        <v>36</v>
      </c>
      <c r="O57" s="2"/>
      <c r="P57" s="2"/>
      <c r="Q57" s="2"/>
      <c r="R57" s="2"/>
      <c r="S57" s="2"/>
      <c r="T57" s="26">
        <f>N57/N47</f>
        <v>72000000</v>
      </c>
      <c r="U57" s="26">
        <f t="shared" si="5"/>
        <v>19.487564861101145</v>
      </c>
      <c r="V57" s="2"/>
    </row>
    <row r="58" spans="1:22" x14ac:dyDescent="0.3">
      <c r="A58" s="22">
        <v>44067</v>
      </c>
      <c r="B58" s="5">
        <v>11</v>
      </c>
      <c r="C58" s="2">
        <v>4</v>
      </c>
      <c r="D58" s="2" t="s">
        <v>140</v>
      </c>
      <c r="E58" s="2">
        <v>1</v>
      </c>
      <c r="F58" s="2">
        <v>75</v>
      </c>
      <c r="G58" s="26">
        <v>0.01</v>
      </c>
      <c r="H58" s="2"/>
      <c r="I58" s="40">
        <f t="shared" si="3"/>
        <v>7500</v>
      </c>
      <c r="J58" s="2"/>
      <c r="K58" s="2"/>
      <c r="L58" s="2"/>
      <c r="M58" s="2"/>
      <c r="N58" s="2">
        <v>64</v>
      </c>
      <c r="O58" s="2"/>
      <c r="P58" s="2"/>
      <c r="Q58" s="2"/>
      <c r="R58" s="2"/>
      <c r="S58" s="2"/>
      <c r="T58" s="26">
        <f>N58/N47</f>
        <v>128000000</v>
      </c>
      <c r="U58" s="40">
        <f t="shared" si="5"/>
        <v>21.077801632763972</v>
      </c>
      <c r="V58" s="2"/>
    </row>
    <row r="59" spans="1:22" ht="15" thickBot="1" x14ac:dyDescent="0.35">
      <c r="A59" s="51">
        <v>44067</v>
      </c>
      <c r="B59" s="52">
        <v>12</v>
      </c>
      <c r="C59" s="57">
        <v>11</v>
      </c>
      <c r="D59" s="58" t="s">
        <v>147</v>
      </c>
      <c r="E59" s="2">
        <v>1</v>
      </c>
      <c r="F59" s="53">
        <v>63</v>
      </c>
      <c r="G59" s="54">
        <v>0.01</v>
      </c>
      <c r="H59" s="53"/>
      <c r="I59" s="54">
        <f t="shared" si="3"/>
        <v>6300</v>
      </c>
      <c r="J59" s="53"/>
      <c r="K59" s="53"/>
      <c r="L59" s="53"/>
      <c r="M59" s="53"/>
      <c r="N59" s="53">
        <v>118</v>
      </c>
      <c r="O59" s="53"/>
      <c r="P59" s="53"/>
      <c r="Q59" s="53"/>
      <c r="R59" s="53"/>
      <c r="S59" s="53"/>
      <c r="T59" s="54">
        <f>N59/N47</f>
        <v>236000000</v>
      </c>
      <c r="U59" s="54">
        <f t="shared" si="5"/>
        <v>22.778224146044039</v>
      </c>
      <c r="V59" s="53"/>
    </row>
    <row r="60" spans="1:22" x14ac:dyDescent="0.3">
      <c r="A60" s="41"/>
      <c r="B60" s="41"/>
      <c r="C60" s="41"/>
      <c r="D60" s="41"/>
      <c r="E60" s="41"/>
      <c r="F60" s="41"/>
      <c r="G60" s="41"/>
      <c r="H60" s="41"/>
      <c r="I60" s="40"/>
      <c r="J60" s="41"/>
      <c r="K60" s="49">
        <v>5.0000000000000002E-5</v>
      </c>
      <c r="L60" s="55">
        <v>5.0000000000000004E-6</v>
      </c>
      <c r="M60" s="55">
        <v>9.9999999999999995E-7</v>
      </c>
      <c r="N60" s="55">
        <v>4.9999999999999998E-7</v>
      </c>
      <c r="O60" s="41"/>
      <c r="P60" s="41"/>
      <c r="Q60" s="41"/>
      <c r="R60" s="41"/>
      <c r="S60" s="41"/>
      <c r="T60" s="41"/>
      <c r="U60" s="26"/>
      <c r="V60" s="41"/>
    </row>
    <row r="61" spans="1:22" x14ac:dyDescent="0.3">
      <c r="A61" s="22">
        <v>44069</v>
      </c>
      <c r="B61" s="4">
        <v>1</v>
      </c>
      <c r="C61" s="2">
        <v>22</v>
      </c>
      <c r="D61" s="10" t="s">
        <v>187</v>
      </c>
      <c r="E61" s="2">
        <v>1</v>
      </c>
      <c r="F61" s="2">
        <v>66</v>
      </c>
      <c r="G61" s="26">
        <v>0.01</v>
      </c>
      <c r="H61" s="2"/>
      <c r="I61" s="26">
        <f t="shared" si="3"/>
        <v>6600</v>
      </c>
      <c r="J61" s="2"/>
      <c r="K61" s="2"/>
      <c r="L61" s="2">
        <v>55</v>
      </c>
      <c r="M61" s="2"/>
      <c r="N61" s="2"/>
      <c r="O61" s="2"/>
      <c r="P61" s="2"/>
      <c r="Q61" s="2"/>
      <c r="R61" s="2"/>
      <c r="S61" s="2"/>
      <c r="T61" s="26">
        <f>L61/L60</f>
        <v>11000000</v>
      </c>
      <c r="U61" s="40">
        <f t="shared" ref="U61:U124" si="6">LN(T61/I61)/(0.667*LN(2))</f>
        <v>16.046101767358763</v>
      </c>
      <c r="V61" s="2"/>
    </row>
    <row r="62" spans="1:22" x14ac:dyDescent="0.3">
      <c r="A62" s="22">
        <v>44069</v>
      </c>
      <c r="B62" s="4">
        <v>2</v>
      </c>
      <c r="C62" s="2">
        <v>19</v>
      </c>
      <c r="D62" s="8" t="s">
        <v>174</v>
      </c>
      <c r="E62" s="2">
        <v>3</v>
      </c>
      <c r="F62" s="2">
        <v>100</v>
      </c>
      <c r="G62" s="26">
        <v>0.01</v>
      </c>
      <c r="H62" s="2"/>
      <c r="I62" s="26">
        <f t="shared" si="3"/>
        <v>10000</v>
      </c>
      <c r="J62" s="2"/>
      <c r="K62" s="2"/>
      <c r="L62" s="2">
        <v>249</v>
      </c>
      <c r="M62" s="2">
        <v>46</v>
      </c>
      <c r="N62" s="2"/>
      <c r="O62" s="2"/>
      <c r="P62" s="2"/>
      <c r="Q62" s="2"/>
      <c r="R62" s="2"/>
      <c r="S62" s="2"/>
      <c r="T62" s="26">
        <f>M62/M60</f>
        <v>46000000</v>
      </c>
      <c r="U62" s="26">
        <f t="shared" si="6"/>
        <v>18.242006215639787</v>
      </c>
      <c r="V62" s="26">
        <f>L62/L60</f>
        <v>49799999.999999993</v>
      </c>
    </row>
    <row r="63" spans="1:22" x14ac:dyDescent="0.3">
      <c r="A63" s="22">
        <v>44069</v>
      </c>
      <c r="B63" s="4">
        <v>3</v>
      </c>
      <c r="C63" s="2">
        <v>17</v>
      </c>
      <c r="D63" s="8" t="s">
        <v>172</v>
      </c>
      <c r="E63" s="2">
        <v>1</v>
      </c>
      <c r="F63" s="2">
        <v>72</v>
      </c>
      <c r="G63" s="26">
        <v>0.01</v>
      </c>
      <c r="H63" s="2"/>
      <c r="I63" s="26">
        <f t="shared" si="3"/>
        <v>7200</v>
      </c>
      <c r="J63" s="2"/>
      <c r="K63" s="2"/>
      <c r="L63" s="25">
        <v>7</v>
      </c>
      <c r="M63" s="2"/>
      <c r="N63" s="2"/>
      <c r="O63" s="2"/>
      <c r="P63" s="2"/>
      <c r="Q63" s="2"/>
      <c r="R63" s="2"/>
      <c r="S63" s="2"/>
      <c r="T63" s="59">
        <f>L63/L60</f>
        <v>1400000</v>
      </c>
      <c r="U63" s="26">
        <f t="shared" si="6"/>
        <v>11.399121747042548</v>
      </c>
      <c r="V63" s="2"/>
    </row>
    <row r="64" spans="1:22" x14ac:dyDescent="0.3">
      <c r="A64" s="22">
        <v>44069</v>
      </c>
      <c r="B64" s="4">
        <v>4</v>
      </c>
      <c r="C64" s="2">
        <v>14</v>
      </c>
      <c r="D64" s="8" t="s">
        <v>169</v>
      </c>
      <c r="E64" s="2">
        <v>1</v>
      </c>
      <c r="F64" s="2">
        <v>80</v>
      </c>
      <c r="G64" s="26">
        <v>0.01</v>
      </c>
      <c r="H64" s="2"/>
      <c r="I64" s="26">
        <f t="shared" si="3"/>
        <v>8000</v>
      </c>
      <c r="J64" s="2"/>
      <c r="K64" s="2"/>
      <c r="L64" s="2">
        <v>271</v>
      </c>
      <c r="M64" s="2">
        <v>34</v>
      </c>
      <c r="N64" s="2"/>
      <c r="O64" s="2"/>
      <c r="P64" s="2"/>
      <c r="Q64" s="2"/>
      <c r="R64" s="2"/>
      <c r="S64" s="2"/>
      <c r="T64" s="26">
        <f>M64/M60</f>
        <v>34000000</v>
      </c>
      <c r="U64" s="26">
        <f t="shared" si="6"/>
        <v>18.070835271233026</v>
      </c>
      <c r="V64" s="26">
        <f>L64/L60</f>
        <v>54199999.999999993</v>
      </c>
    </row>
    <row r="65" spans="1:22" x14ac:dyDescent="0.3">
      <c r="A65" s="22">
        <v>44069</v>
      </c>
      <c r="B65" s="4">
        <v>5</v>
      </c>
      <c r="C65" s="2">
        <v>18</v>
      </c>
      <c r="D65" s="8" t="s">
        <v>173</v>
      </c>
      <c r="E65" s="2">
        <v>1</v>
      </c>
      <c r="F65" s="2">
        <v>88</v>
      </c>
      <c r="G65" s="26">
        <v>0.01</v>
      </c>
      <c r="H65" s="2"/>
      <c r="I65" s="26">
        <f t="shared" si="3"/>
        <v>8800</v>
      </c>
      <c r="J65" s="2"/>
      <c r="K65" s="2"/>
      <c r="L65" s="2">
        <v>236</v>
      </c>
      <c r="M65" s="2">
        <v>42</v>
      </c>
      <c r="N65" s="2"/>
      <c r="O65" s="2"/>
      <c r="P65" s="2"/>
      <c r="Q65" s="2"/>
      <c r="R65" s="2"/>
      <c r="S65" s="2"/>
      <c r="T65" s="26">
        <f>M65/M60</f>
        <v>42000000</v>
      </c>
      <c r="U65" s="26">
        <f t="shared" si="6"/>
        <v>18.321736407332704</v>
      </c>
      <c r="V65" s="26">
        <f>L65/L60</f>
        <v>47199999.999999993</v>
      </c>
    </row>
    <row r="66" spans="1:22" x14ac:dyDescent="0.3">
      <c r="A66" s="22">
        <v>44069</v>
      </c>
      <c r="B66" s="4">
        <v>6</v>
      </c>
      <c r="C66" s="2">
        <v>23</v>
      </c>
      <c r="D66" s="10" t="s">
        <v>188</v>
      </c>
      <c r="E66" s="2">
        <v>1</v>
      </c>
      <c r="F66" s="2">
        <v>78</v>
      </c>
      <c r="G66" s="26">
        <v>0.01</v>
      </c>
      <c r="H66" s="2"/>
      <c r="I66" s="26">
        <f t="shared" si="3"/>
        <v>7800</v>
      </c>
      <c r="J66" s="2"/>
      <c r="K66" s="2"/>
      <c r="L66" s="2"/>
      <c r="M66" s="2">
        <v>87</v>
      </c>
      <c r="N66" s="2">
        <v>28</v>
      </c>
      <c r="O66" s="2"/>
      <c r="P66" s="2"/>
      <c r="Q66" s="2"/>
      <c r="R66" s="2"/>
      <c r="S66" s="2"/>
      <c r="T66" s="26">
        <f>M66/M60</f>
        <v>87000000</v>
      </c>
      <c r="U66" s="26">
        <f t="shared" si="6"/>
        <v>20.157801584011889</v>
      </c>
      <c r="V66" s="2"/>
    </row>
    <row r="67" spans="1:22" x14ac:dyDescent="0.3">
      <c r="A67" s="22">
        <v>44069</v>
      </c>
      <c r="B67" s="4">
        <v>7</v>
      </c>
      <c r="C67" s="2">
        <v>1</v>
      </c>
      <c r="D67" s="2" t="s">
        <v>166</v>
      </c>
      <c r="E67" s="2">
        <v>2</v>
      </c>
      <c r="F67" s="2">
        <v>116</v>
      </c>
      <c r="G67" s="26">
        <v>0.01</v>
      </c>
      <c r="H67" s="2"/>
      <c r="I67" s="26">
        <f t="shared" si="3"/>
        <v>11600</v>
      </c>
      <c r="J67" s="2"/>
      <c r="K67" s="2"/>
      <c r="L67" s="2"/>
      <c r="M67" s="2"/>
      <c r="N67" s="2">
        <v>82</v>
      </c>
      <c r="O67" s="2"/>
      <c r="P67" s="2"/>
      <c r="Q67" s="2"/>
      <c r="R67" s="2"/>
      <c r="S67" s="2"/>
      <c r="T67" s="26">
        <f>N67/N60</f>
        <v>164000000</v>
      </c>
      <c r="U67" s="40">
        <f t="shared" si="6"/>
        <v>20.670589788665609</v>
      </c>
      <c r="V67" s="2"/>
    </row>
    <row r="68" spans="1:22" x14ac:dyDescent="0.3">
      <c r="A68" s="22">
        <v>44069</v>
      </c>
      <c r="B68" s="4">
        <v>8</v>
      </c>
      <c r="C68" s="2">
        <v>35</v>
      </c>
      <c r="D68" s="10" t="s">
        <v>190</v>
      </c>
      <c r="E68" s="2">
        <v>1</v>
      </c>
      <c r="F68" s="2">
        <v>76</v>
      </c>
      <c r="G68" s="26">
        <v>0.01</v>
      </c>
      <c r="H68" s="2"/>
      <c r="I68" s="26">
        <f t="shared" si="3"/>
        <v>7600</v>
      </c>
      <c r="J68" s="2"/>
      <c r="K68" s="2"/>
      <c r="L68" s="2">
        <v>236</v>
      </c>
      <c r="M68" s="2">
        <v>46</v>
      </c>
      <c r="N68" s="2"/>
      <c r="O68" s="2"/>
      <c r="P68" s="2"/>
      <c r="Q68" s="2"/>
      <c r="R68" s="2"/>
      <c r="S68" s="2"/>
      <c r="T68" s="26">
        <f>M68/M60</f>
        <v>46000000</v>
      </c>
      <c r="U68" s="40">
        <f t="shared" si="6"/>
        <v>18.835602432028299</v>
      </c>
      <c r="V68" s="26">
        <f>L68/L60</f>
        <v>47199999.999999993</v>
      </c>
    </row>
    <row r="69" spans="1:22" ht="15" thickBot="1" x14ac:dyDescent="0.35">
      <c r="A69" s="51">
        <v>44069</v>
      </c>
      <c r="B69" s="52">
        <v>9</v>
      </c>
      <c r="C69" s="53">
        <v>15</v>
      </c>
      <c r="D69" s="68" t="s">
        <v>170</v>
      </c>
      <c r="E69" s="53">
        <v>1</v>
      </c>
      <c r="F69" s="53">
        <v>85</v>
      </c>
      <c r="G69" s="54">
        <v>0.01</v>
      </c>
      <c r="H69" s="53"/>
      <c r="I69" s="54">
        <f t="shared" si="3"/>
        <v>8500</v>
      </c>
      <c r="J69" s="53"/>
      <c r="K69" s="53"/>
      <c r="L69" s="53">
        <v>159</v>
      </c>
      <c r="M69" s="53">
        <v>26</v>
      </c>
      <c r="N69" s="53"/>
      <c r="O69" s="53"/>
      <c r="P69" s="53"/>
      <c r="Q69" s="53"/>
      <c r="R69" s="53"/>
      <c r="S69" s="53"/>
      <c r="T69" s="54">
        <f>L69/L60</f>
        <v>31799999.999999996</v>
      </c>
      <c r="U69" s="54">
        <f t="shared" si="6"/>
        <v>17.795016947239493</v>
      </c>
      <c r="V69" s="53"/>
    </row>
    <row r="70" spans="1:22" x14ac:dyDescent="0.3">
      <c r="A70" s="48"/>
      <c r="B70" s="15"/>
      <c r="C70" s="41"/>
      <c r="D70" s="41"/>
      <c r="E70" s="41"/>
      <c r="F70" s="41"/>
      <c r="G70" s="49"/>
      <c r="H70" s="41"/>
      <c r="I70" s="49"/>
      <c r="J70" s="41"/>
      <c r="K70" s="55">
        <v>5.0000000000000002E-5</v>
      </c>
      <c r="L70" s="55">
        <v>5.0000000000000004E-6</v>
      </c>
      <c r="M70" s="55">
        <v>9.9999999999999995E-7</v>
      </c>
      <c r="N70" s="55">
        <v>4.9999999999999998E-7</v>
      </c>
      <c r="O70" s="41"/>
      <c r="P70" s="41"/>
      <c r="Q70" s="41"/>
      <c r="R70" s="41"/>
      <c r="S70" s="41"/>
      <c r="T70" s="41"/>
      <c r="U70" s="40"/>
      <c r="V70" s="41"/>
    </row>
    <row r="71" spans="1:22" x14ac:dyDescent="0.3">
      <c r="A71" s="22">
        <v>44070</v>
      </c>
      <c r="B71" s="4">
        <v>1</v>
      </c>
      <c r="C71" s="2">
        <v>15</v>
      </c>
      <c r="D71" s="8" t="s">
        <v>170</v>
      </c>
      <c r="E71" s="2"/>
      <c r="F71" s="2">
        <v>107</v>
      </c>
      <c r="G71" s="26">
        <v>0.01</v>
      </c>
      <c r="H71" s="2"/>
      <c r="I71" s="26">
        <f t="shared" si="3"/>
        <v>10700</v>
      </c>
      <c r="J71" s="2"/>
      <c r="K71" s="2"/>
      <c r="L71" s="2"/>
      <c r="M71" s="2">
        <v>42</v>
      </c>
      <c r="N71" s="2"/>
      <c r="O71" s="2"/>
      <c r="P71" s="2"/>
      <c r="Q71" s="2"/>
      <c r="R71" s="2"/>
      <c r="S71" s="2"/>
      <c r="T71" s="26">
        <f>M71/M70</f>
        <v>42000000</v>
      </c>
      <c r="U71" s="26">
        <f t="shared" si="6"/>
        <v>17.898894776502342</v>
      </c>
      <c r="V71" s="2"/>
    </row>
    <row r="72" spans="1:22" x14ac:dyDescent="0.3">
      <c r="A72" s="22">
        <v>44070</v>
      </c>
      <c r="B72" s="4">
        <v>2</v>
      </c>
      <c r="C72" s="2">
        <v>19</v>
      </c>
      <c r="D72" s="8" t="s">
        <v>174</v>
      </c>
      <c r="E72" s="2"/>
      <c r="F72" s="2">
        <v>98</v>
      </c>
      <c r="G72" s="26">
        <v>0.01</v>
      </c>
      <c r="H72" s="2"/>
      <c r="I72" s="26">
        <f t="shared" si="3"/>
        <v>9800</v>
      </c>
      <c r="J72" s="2"/>
      <c r="K72" s="2"/>
      <c r="L72" s="2"/>
      <c r="M72" s="2">
        <v>49</v>
      </c>
      <c r="N72" s="2"/>
      <c r="O72" s="2"/>
      <c r="P72" s="2"/>
      <c r="Q72" s="2"/>
      <c r="R72" s="2"/>
      <c r="S72" s="2"/>
      <c r="T72" s="26">
        <f>M72/M70</f>
        <v>49000000</v>
      </c>
      <c r="U72" s="26">
        <f t="shared" si="6"/>
        <v>18.422357390628861</v>
      </c>
      <c r="V72" s="2"/>
    </row>
    <row r="73" spans="1:22" x14ac:dyDescent="0.3">
      <c r="A73" s="22">
        <v>44070</v>
      </c>
      <c r="B73" s="4">
        <v>3</v>
      </c>
      <c r="C73" s="2">
        <v>1</v>
      </c>
      <c r="D73" s="2" t="s">
        <v>166</v>
      </c>
      <c r="E73" s="2"/>
      <c r="F73" s="2">
        <v>116</v>
      </c>
      <c r="G73" s="26">
        <v>0.01</v>
      </c>
      <c r="H73" s="2"/>
      <c r="I73" s="26">
        <f t="shared" si="3"/>
        <v>11600</v>
      </c>
      <c r="J73" s="2"/>
      <c r="K73" s="2"/>
      <c r="L73" s="2"/>
      <c r="M73" s="2"/>
      <c r="N73" s="2">
        <v>68</v>
      </c>
      <c r="O73" s="2"/>
      <c r="P73" s="2"/>
      <c r="Q73" s="2"/>
      <c r="R73" s="2"/>
      <c r="S73" s="2"/>
      <c r="T73" s="26">
        <f>N73/N70</f>
        <v>136000000</v>
      </c>
      <c r="U73" s="26">
        <f t="shared" si="6"/>
        <v>20.265658509253697</v>
      </c>
      <c r="V73" s="2"/>
    </row>
    <row r="74" spans="1:22" x14ac:dyDescent="0.3">
      <c r="A74" s="22">
        <v>44070</v>
      </c>
      <c r="B74" s="4">
        <v>4</v>
      </c>
      <c r="C74" s="2">
        <v>23</v>
      </c>
      <c r="D74" s="10" t="s">
        <v>188</v>
      </c>
      <c r="E74" s="2"/>
      <c r="F74" s="2">
        <v>90</v>
      </c>
      <c r="G74" s="26">
        <v>0.01</v>
      </c>
      <c r="H74" s="2"/>
      <c r="I74" s="26">
        <f t="shared" si="3"/>
        <v>9000</v>
      </c>
      <c r="J74" s="2"/>
      <c r="K74" s="2"/>
      <c r="L74" s="2"/>
      <c r="M74" s="2"/>
      <c r="N74" s="2">
        <v>53</v>
      </c>
      <c r="O74" s="2"/>
      <c r="P74" s="2"/>
      <c r="Q74" s="2"/>
      <c r="R74" s="2"/>
      <c r="S74" s="2"/>
      <c r="T74" s="26">
        <f>N74/N70</f>
        <v>106000000</v>
      </c>
      <c r="U74" s="26">
        <f t="shared" si="6"/>
        <v>20.275531840754084</v>
      </c>
      <c r="V74" s="2"/>
    </row>
    <row r="75" spans="1:22" x14ac:dyDescent="0.3">
      <c r="A75" s="22">
        <v>44070</v>
      </c>
      <c r="B75" s="4">
        <v>5</v>
      </c>
      <c r="C75" s="2">
        <v>35</v>
      </c>
      <c r="D75" s="10" t="s">
        <v>190</v>
      </c>
      <c r="E75" s="2"/>
      <c r="F75" s="2">
        <v>81</v>
      </c>
      <c r="G75" s="26">
        <v>0.01</v>
      </c>
      <c r="H75" s="2"/>
      <c r="I75" s="26">
        <f t="shared" si="3"/>
        <v>8100</v>
      </c>
      <c r="J75" s="2"/>
      <c r="K75" s="2"/>
      <c r="L75" s="2"/>
      <c r="M75" s="25">
        <v>29</v>
      </c>
      <c r="N75" s="2"/>
      <c r="O75" s="2"/>
      <c r="P75" s="2"/>
      <c r="Q75" s="2"/>
      <c r="R75" s="2"/>
      <c r="S75" s="2"/>
      <c r="T75" s="26">
        <f>M75/M70</f>
        <v>29000000</v>
      </c>
      <c r="U75" s="26">
        <f t="shared" si="6"/>
        <v>17.699915100138526</v>
      </c>
      <c r="V75" s="2"/>
    </row>
    <row r="76" spans="1:22" x14ac:dyDescent="0.3">
      <c r="A76" s="22">
        <v>44070</v>
      </c>
      <c r="B76" s="4">
        <v>6</v>
      </c>
      <c r="C76" s="2">
        <v>18</v>
      </c>
      <c r="D76" s="8" t="s">
        <v>173</v>
      </c>
      <c r="E76" s="2"/>
      <c r="F76" s="2">
        <v>95</v>
      </c>
      <c r="G76" s="26">
        <v>0.01</v>
      </c>
      <c r="H76" s="2"/>
      <c r="I76" s="26">
        <f t="shared" si="3"/>
        <v>9500</v>
      </c>
      <c r="J76" s="2"/>
      <c r="K76" s="2"/>
      <c r="L76" s="2"/>
      <c r="M76" s="2">
        <v>78</v>
      </c>
      <c r="N76" s="2"/>
      <c r="O76" s="2"/>
      <c r="P76" s="2"/>
      <c r="Q76" s="2"/>
      <c r="R76" s="2"/>
      <c r="S76" s="2"/>
      <c r="T76" s="26">
        <f>M76/M70</f>
        <v>78000000</v>
      </c>
      <c r="U76" s="26">
        <f t="shared" si="6"/>
        <v>19.495140914663793</v>
      </c>
      <c r="V76" s="2"/>
    </row>
    <row r="77" spans="1:22" x14ac:dyDescent="0.3">
      <c r="A77" s="22">
        <v>44070</v>
      </c>
      <c r="B77" s="4">
        <v>7</v>
      </c>
      <c r="C77" s="2">
        <v>14</v>
      </c>
      <c r="D77" s="8" t="s">
        <v>169</v>
      </c>
      <c r="E77" s="2"/>
      <c r="F77" s="2">
        <v>140</v>
      </c>
      <c r="G77" s="26">
        <v>0.01</v>
      </c>
      <c r="H77" s="2"/>
      <c r="I77" s="26">
        <f t="shared" si="3"/>
        <v>14000</v>
      </c>
      <c r="J77" s="2"/>
      <c r="K77" s="2"/>
      <c r="L77" s="2"/>
      <c r="M77" s="2">
        <v>174</v>
      </c>
      <c r="N77" s="2"/>
      <c r="O77" s="2"/>
      <c r="P77" s="2"/>
      <c r="Q77" s="2"/>
      <c r="R77" s="2"/>
      <c r="S77" s="2"/>
      <c r="T77" s="26">
        <f>M77/M70</f>
        <v>174000000</v>
      </c>
      <c r="U77" s="26">
        <f t="shared" si="6"/>
        <v>20.391863356001817</v>
      </c>
      <c r="V77" s="2"/>
    </row>
    <row r="78" spans="1:22" x14ac:dyDescent="0.3">
      <c r="A78" s="22">
        <v>44070</v>
      </c>
      <c r="B78" s="4">
        <v>8</v>
      </c>
      <c r="C78" s="2">
        <v>22</v>
      </c>
      <c r="D78" s="10" t="s">
        <v>187</v>
      </c>
      <c r="E78" s="2"/>
      <c r="F78" s="2">
        <v>117</v>
      </c>
      <c r="G78" s="26">
        <v>0.01</v>
      </c>
      <c r="H78" s="2"/>
      <c r="I78" s="26">
        <f t="shared" si="3"/>
        <v>11700</v>
      </c>
      <c r="J78" s="2"/>
      <c r="K78" s="2"/>
      <c r="L78" s="2">
        <v>89</v>
      </c>
      <c r="M78" s="2"/>
      <c r="N78" s="2"/>
      <c r="O78" s="2"/>
      <c r="P78" s="2"/>
      <c r="Q78" s="2"/>
      <c r="R78" s="2"/>
      <c r="S78" s="2"/>
      <c r="T78" s="26">
        <f>L78/L70</f>
        <v>17800000</v>
      </c>
      <c r="U78" s="26">
        <f t="shared" si="6"/>
        <v>15.848805091521861</v>
      </c>
      <c r="V78" s="2"/>
    </row>
    <row r="79" spans="1:22" ht="15" thickBot="1" x14ac:dyDescent="0.35">
      <c r="A79" s="51">
        <v>44070</v>
      </c>
      <c r="B79" s="52">
        <v>9</v>
      </c>
      <c r="C79" s="53">
        <v>17</v>
      </c>
      <c r="D79" s="68" t="s">
        <v>172</v>
      </c>
      <c r="E79" s="53"/>
      <c r="F79" s="53">
        <v>123</v>
      </c>
      <c r="G79" s="54">
        <v>0.01</v>
      </c>
      <c r="H79" s="53"/>
      <c r="I79" s="54">
        <f t="shared" si="3"/>
        <v>12300</v>
      </c>
      <c r="J79" s="53"/>
      <c r="K79" s="53">
        <v>159</v>
      </c>
      <c r="L79" s="53"/>
      <c r="M79" s="53"/>
      <c r="N79" s="53"/>
      <c r="O79" s="53"/>
      <c r="P79" s="53"/>
      <c r="Q79" s="53"/>
      <c r="R79" s="53"/>
      <c r="S79" s="53"/>
      <c r="T79" s="54">
        <f>K79/K70</f>
        <v>3180000</v>
      </c>
      <c r="U79" s="54">
        <f t="shared" si="6"/>
        <v>12.015329294932295</v>
      </c>
      <c r="V79" s="53"/>
    </row>
    <row r="80" spans="1:22" x14ac:dyDescent="0.3">
      <c r="I80" s="26"/>
      <c r="K80" s="55">
        <v>5.0000000000000002E-5</v>
      </c>
      <c r="L80" s="55">
        <v>9.9999999999999995E-7</v>
      </c>
      <c r="M80" s="55">
        <v>1.9999999999999999E-6</v>
      </c>
      <c r="N80" s="55">
        <v>3.9999999999999998E-6</v>
      </c>
      <c r="O80" s="67">
        <v>5.0000000000000004E-6</v>
      </c>
      <c r="P80" s="67">
        <v>4.9999999999999998E-7</v>
      </c>
      <c r="Q80" s="67"/>
      <c r="R80" s="67"/>
      <c r="S80" s="67"/>
      <c r="U80" s="26"/>
    </row>
    <row r="81" spans="1:22" x14ac:dyDescent="0.3">
      <c r="A81" s="22">
        <v>44071</v>
      </c>
      <c r="B81" s="4">
        <v>1</v>
      </c>
      <c r="C81" s="2">
        <v>17</v>
      </c>
      <c r="D81" s="8" t="s">
        <v>172</v>
      </c>
      <c r="E81" s="2"/>
      <c r="F81" s="2">
        <v>113</v>
      </c>
      <c r="G81" s="26">
        <v>0.01</v>
      </c>
      <c r="H81" s="2"/>
      <c r="I81" s="26">
        <f t="shared" si="3"/>
        <v>11300</v>
      </c>
      <c r="J81" s="2"/>
      <c r="K81" s="2">
        <v>89</v>
      </c>
      <c r="L81" s="2"/>
      <c r="M81" s="2"/>
      <c r="N81" s="2"/>
      <c r="O81" s="2"/>
      <c r="P81" s="2"/>
      <c r="Q81" s="2"/>
      <c r="R81" s="2"/>
      <c r="S81" s="2"/>
      <c r="T81" s="26">
        <f>K81/K80</f>
        <v>1780000</v>
      </c>
      <c r="U81" s="26">
        <f t="shared" si="6"/>
        <v>10.9436441654062</v>
      </c>
      <c r="V81" s="2"/>
    </row>
    <row r="82" spans="1:22" ht="15" thickBot="1" x14ac:dyDescent="0.35">
      <c r="A82" s="22">
        <v>44071</v>
      </c>
      <c r="B82" s="4">
        <v>2</v>
      </c>
      <c r="C82" s="2">
        <v>18</v>
      </c>
      <c r="D82" s="8" t="s">
        <v>173</v>
      </c>
      <c r="E82" s="2"/>
      <c r="F82" s="2">
        <v>91</v>
      </c>
      <c r="G82" s="26">
        <v>0.01</v>
      </c>
      <c r="H82" s="2"/>
      <c r="I82" s="26">
        <f t="shared" si="3"/>
        <v>9100</v>
      </c>
      <c r="J82" s="2"/>
      <c r="K82" s="2"/>
      <c r="L82" s="2"/>
      <c r="M82" s="2">
        <v>132</v>
      </c>
      <c r="N82" s="2"/>
      <c r="O82" s="2"/>
      <c r="P82" s="2"/>
      <c r="Q82" s="2"/>
      <c r="R82" s="2"/>
      <c r="S82" s="2"/>
      <c r="T82" s="26">
        <f>M82/M80</f>
        <v>66000000</v>
      </c>
      <c r="U82" s="54">
        <f t="shared" si="6"/>
        <v>19.226854360883369</v>
      </c>
      <c r="V82" s="2"/>
    </row>
    <row r="83" spans="1:22" x14ac:dyDescent="0.3">
      <c r="A83" s="22">
        <v>44071</v>
      </c>
      <c r="B83" s="4">
        <v>3</v>
      </c>
      <c r="C83" s="2">
        <v>15</v>
      </c>
      <c r="D83" s="8" t="s">
        <v>170</v>
      </c>
      <c r="E83" s="2"/>
      <c r="F83" s="2">
        <v>86</v>
      </c>
      <c r="G83" s="26">
        <v>0.01</v>
      </c>
      <c r="H83" s="2"/>
      <c r="I83" s="26">
        <f t="shared" si="3"/>
        <v>8600</v>
      </c>
      <c r="J83" s="2"/>
      <c r="K83" s="2"/>
      <c r="L83" s="2"/>
      <c r="M83" s="2">
        <v>101</v>
      </c>
      <c r="N83" s="2"/>
      <c r="O83" s="2"/>
      <c r="P83" s="2"/>
      <c r="Q83" s="2"/>
      <c r="R83" s="2"/>
      <c r="S83" s="2"/>
      <c r="T83" s="26">
        <f>M83/M80</f>
        <v>50500000</v>
      </c>
      <c r="U83" s="26">
        <f t="shared" si="6"/>
        <v>18.770103609593924</v>
      </c>
      <c r="V83" s="2"/>
    </row>
    <row r="84" spans="1:22" x14ac:dyDescent="0.3">
      <c r="A84" s="22">
        <v>44071</v>
      </c>
      <c r="B84" s="4">
        <v>4</v>
      </c>
      <c r="C84" s="2">
        <v>14</v>
      </c>
      <c r="D84" s="8" t="s">
        <v>169</v>
      </c>
      <c r="E84" s="2"/>
      <c r="F84" s="2">
        <v>140</v>
      </c>
      <c r="G84" s="26">
        <v>0.01</v>
      </c>
      <c r="H84" s="2"/>
      <c r="I84" s="26">
        <f t="shared" si="3"/>
        <v>14000</v>
      </c>
      <c r="J84" s="2"/>
      <c r="K84" s="2"/>
      <c r="L84" s="2">
        <v>170</v>
      </c>
      <c r="M84" s="2"/>
      <c r="N84" s="2"/>
      <c r="O84" s="2"/>
      <c r="P84" s="2"/>
      <c r="Q84" s="2"/>
      <c r="R84" s="2"/>
      <c r="S84" s="2"/>
      <c r="T84" s="26">
        <f>L84/L80</f>
        <v>170000000</v>
      </c>
      <c r="U84" s="26">
        <f t="shared" si="6"/>
        <v>20.341559668279139</v>
      </c>
      <c r="V84" s="2"/>
    </row>
    <row r="85" spans="1:22" ht="15" thickBot="1" x14ac:dyDescent="0.35">
      <c r="A85" s="22">
        <v>44071</v>
      </c>
      <c r="B85" s="4">
        <v>5</v>
      </c>
      <c r="C85" s="2">
        <v>23</v>
      </c>
      <c r="D85" s="10" t="s">
        <v>188</v>
      </c>
      <c r="E85" s="2"/>
      <c r="F85" s="2">
        <v>75</v>
      </c>
      <c r="G85" s="26">
        <v>0.01</v>
      </c>
      <c r="H85" s="2"/>
      <c r="I85" s="26">
        <f t="shared" si="3"/>
        <v>7500</v>
      </c>
      <c r="J85" s="2"/>
      <c r="K85" s="2"/>
      <c r="L85" s="2"/>
      <c r="M85" s="2"/>
      <c r="N85" s="2"/>
      <c r="P85" s="2">
        <v>40</v>
      </c>
      <c r="Q85" s="2"/>
      <c r="R85" s="2"/>
      <c r="S85" s="2"/>
      <c r="T85" s="26">
        <f>P85/P80</f>
        <v>80000000</v>
      </c>
      <c r="U85" s="54">
        <f t="shared" si="6"/>
        <v>20.061202074873961</v>
      </c>
      <c r="V85" s="2"/>
    </row>
    <row r="86" spans="1:22" x14ac:dyDescent="0.3">
      <c r="A86" s="22">
        <v>44071</v>
      </c>
      <c r="B86" s="4">
        <v>6</v>
      </c>
      <c r="C86" s="2">
        <v>35</v>
      </c>
      <c r="D86" s="10" t="s">
        <v>190</v>
      </c>
      <c r="E86" s="2"/>
      <c r="F86" s="2">
        <v>84</v>
      </c>
      <c r="G86" s="26">
        <v>0.01</v>
      </c>
      <c r="H86" s="2"/>
      <c r="I86" s="26">
        <f t="shared" si="3"/>
        <v>8400</v>
      </c>
      <c r="J86" s="2"/>
      <c r="K86" s="2"/>
      <c r="L86" s="2"/>
      <c r="M86" s="2"/>
      <c r="N86" s="2">
        <v>164</v>
      </c>
      <c r="O86" s="2"/>
      <c r="P86" s="2"/>
      <c r="Q86" s="2"/>
      <c r="R86" s="2"/>
      <c r="S86" s="2"/>
      <c r="T86" s="26">
        <f>N86/N80</f>
        <v>41000000</v>
      </c>
      <c r="U86" s="26">
        <f t="shared" si="6"/>
        <v>18.37023532442095</v>
      </c>
      <c r="V86" s="2"/>
    </row>
    <row r="87" spans="1:22" x14ac:dyDescent="0.3">
      <c r="A87" s="22">
        <v>44071</v>
      </c>
      <c r="B87" s="4">
        <v>7</v>
      </c>
      <c r="C87" s="2">
        <v>19</v>
      </c>
      <c r="D87" s="8" t="s">
        <v>174</v>
      </c>
      <c r="E87" s="2"/>
      <c r="F87" s="2">
        <v>72</v>
      </c>
      <c r="G87" s="26">
        <v>0.01</v>
      </c>
      <c r="H87" s="2"/>
      <c r="I87" s="26">
        <f t="shared" ref="I87:I89" si="7">F87/G87</f>
        <v>7200</v>
      </c>
      <c r="J87" s="2"/>
      <c r="K87" s="2"/>
      <c r="L87" s="2"/>
      <c r="M87" s="2">
        <v>138</v>
      </c>
      <c r="N87" s="2"/>
      <c r="O87" s="2"/>
      <c r="P87" s="2"/>
      <c r="Q87" s="2"/>
      <c r="R87" s="2"/>
      <c r="S87" s="2"/>
      <c r="T87" s="26">
        <f>M87/M80</f>
        <v>69000000</v>
      </c>
      <c r="U87" s="26">
        <f t="shared" si="6"/>
        <v>19.829552975840038</v>
      </c>
      <c r="V87" s="2"/>
    </row>
    <row r="88" spans="1:22" ht="15" thickBot="1" x14ac:dyDescent="0.35">
      <c r="A88" s="22">
        <v>44071</v>
      </c>
      <c r="B88" s="4">
        <v>8</v>
      </c>
      <c r="C88" s="2">
        <v>22</v>
      </c>
      <c r="D88" s="10" t="s">
        <v>187</v>
      </c>
      <c r="E88" s="2"/>
      <c r="F88" s="2">
        <v>99</v>
      </c>
      <c r="G88" s="26">
        <v>0.01</v>
      </c>
      <c r="H88" s="2"/>
      <c r="I88" s="26">
        <f t="shared" si="7"/>
        <v>9900</v>
      </c>
      <c r="J88" s="2"/>
      <c r="K88" s="2"/>
      <c r="L88" s="2"/>
      <c r="M88" s="2"/>
      <c r="N88" s="2"/>
      <c r="O88" s="2">
        <v>71</v>
      </c>
      <c r="P88" s="2"/>
      <c r="Q88" s="2"/>
      <c r="R88" s="2"/>
      <c r="S88" s="2"/>
      <c r="T88" s="26">
        <f>O88/O80</f>
        <v>14199999.999999998</v>
      </c>
      <c r="U88" s="54">
        <f t="shared" si="6"/>
        <v>15.721401475393042</v>
      </c>
      <c r="V88" s="2"/>
    </row>
    <row r="89" spans="1:22" ht="15" thickBot="1" x14ac:dyDescent="0.35">
      <c r="A89" s="51">
        <v>44071</v>
      </c>
      <c r="B89" s="52">
        <v>9</v>
      </c>
      <c r="C89" s="53">
        <v>1</v>
      </c>
      <c r="D89" s="53" t="s">
        <v>166</v>
      </c>
      <c r="E89" s="53"/>
      <c r="F89" s="53">
        <v>101</v>
      </c>
      <c r="G89" s="54">
        <v>0.01</v>
      </c>
      <c r="H89" s="53"/>
      <c r="I89" s="54">
        <f t="shared" si="7"/>
        <v>10100</v>
      </c>
      <c r="J89" s="53"/>
      <c r="K89" s="53"/>
      <c r="L89" s="53"/>
      <c r="M89" s="53"/>
      <c r="N89" s="53"/>
      <c r="O89" s="53"/>
      <c r="P89" s="53">
        <v>54</v>
      </c>
      <c r="Q89" s="53"/>
      <c r="R89" s="53"/>
      <c r="S89" s="53"/>
      <c r="T89" s="54">
        <f>P89/P80</f>
        <v>108000000</v>
      </c>
      <c r="U89" s="70">
        <f t="shared" si="6"/>
        <v>20.066549323779796</v>
      </c>
      <c r="V89" s="53"/>
    </row>
    <row r="90" spans="1:22" x14ac:dyDescent="0.3">
      <c r="A90" s="41"/>
      <c r="B90" s="41"/>
      <c r="C90" s="41"/>
      <c r="D90" s="41"/>
      <c r="E90" s="41"/>
      <c r="F90" s="41"/>
      <c r="G90" s="41"/>
      <c r="H90" s="41"/>
      <c r="I90" s="41"/>
      <c r="J90" s="41"/>
      <c r="L90" s="55">
        <v>5.0000000000000002E-5</v>
      </c>
      <c r="M90" s="55">
        <v>5.0000000000000004E-6</v>
      </c>
      <c r="N90" s="55">
        <v>4.9999999999999998E-7</v>
      </c>
      <c r="O90" s="41"/>
      <c r="P90" s="41"/>
      <c r="Q90" s="41"/>
      <c r="R90" s="41"/>
      <c r="S90" s="41"/>
      <c r="T90" s="41"/>
      <c r="U90" s="49"/>
      <c r="V90" s="41"/>
    </row>
    <row r="91" spans="1:22" x14ac:dyDescent="0.3">
      <c r="A91" s="22">
        <v>44075</v>
      </c>
      <c r="B91" s="5">
        <v>1</v>
      </c>
      <c r="C91" s="2">
        <v>26</v>
      </c>
      <c r="D91" s="8" t="s">
        <v>178</v>
      </c>
      <c r="E91" s="2"/>
      <c r="F91" s="2">
        <v>127</v>
      </c>
      <c r="G91" s="26">
        <v>0.01</v>
      </c>
      <c r="H91" s="2"/>
      <c r="I91" s="26">
        <f>F91/G91</f>
        <v>12700</v>
      </c>
      <c r="J91" s="2"/>
      <c r="K91" s="2"/>
      <c r="L91" s="2"/>
      <c r="M91" s="2"/>
      <c r="N91" s="2">
        <v>38</v>
      </c>
      <c r="O91" s="2"/>
      <c r="P91" s="2"/>
      <c r="Q91" s="2"/>
      <c r="R91" s="2"/>
      <c r="S91" s="2"/>
      <c r="T91" s="26">
        <f>N91/N90</f>
        <v>76000000</v>
      </c>
      <c r="U91" s="26">
        <f t="shared" si="6"/>
        <v>18.811027295683459</v>
      </c>
      <c r="V91" s="2"/>
    </row>
    <row r="92" spans="1:22" x14ac:dyDescent="0.3">
      <c r="A92" s="22">
        <v>44075</v>
      </c>
      <c r="B92" s="5">
        <v>2</v>
      </c>
      <c r="C92" s="2">
        <v>36</v>
      </c>
      <c r="D92" s="10" t="s">
        <v>191</v>
      </c>
      <c r="E92" s="2"/>
      <c r="F92" s="2">
        <v>86</v>
      </c>
      <c r="G92" s="26">
        <v>0.01</v>
      </c>
      <c r="H92" s="2"/>
      <c r="I92" s="26">
        <f>F92/G92</f>
        <v>8600</v>
      </c>
      <c r="J92" s="2"/>
      <c r="K92" s="2"/>
      <c r="L92" s="2"/>
      <c r="M92" s="2">
        <v>332</v>
      </c>
      <c r="N92" s="69">
        <v>25</v>
      </c>
      <c r="O92" s="2"/>
      <c r="P92" s="2"/>
      <c r="Q92" s="2"/>
      <c r="R92" s="2"/>
      <c r="S92" s="2"/>
      <c r="T92" s="26">
        <f>M92/M90</f>
        <v>66399999.999999993</v>
      </c>
      <c r="U92" s="26">
        <f t="shared" si="6"/>
        <v>19.36215736327873</v>
      </c>
      <c r="V92" s="2"/>
    </row>
    <row r="93" spans="1:22" x14ac:dyDescent="0.3">
      <c r="A93" s="22">
        <v>44075</v>
      </c>
      <c r="B93" s="5">
        <v>3</v>
      </c>
      <c r="C93" s="2">
        <v>29</v>
      </c>
      <c r="D93" s="8" t="s">
        <v>181</v>
      </c>
      <c r="E93" s="2"/>
      <c r="F93" s="2">
        <v>108</v>
      </c>
      <c r="G93" s="26">
        <v>0.01</v>
      </c>
      <c r="H93" s="2"/>
      <c r="I93" s="26">
        <f t="shared" ref="I93:I128" si="8">F93/G93</f>
        <v>10800</v>
      </c>
      <c r="J93" s="2"/>
      <c r="K93" s="2"/>
      <c r="L93" s="2"/>
      <c r="M93" s="2">
        <v>277</v>
      </c>
      <c r="N93" s="69">
        <v>17</v>
      </c>
      <c r="O93" s="2"/>
      <c r="P93" s="2"/>
      <c r="Q93" s="2"/>
      <c r="R93" s="2"/>
      <c r="S93" s="2"/>
      <c r="T93" s="26">
        <f>M93/M90</f>
        <v>55399999.999999993</v>
      </c>
      <c r="U93" s="26">
        <f t="shared" si="6"/>
        <v>18.477719563040193</v>
      </c>
      <c r="V93" s="2"/>
    </row>
    <row r="94" spans="1:22" x14ac:dyDescent="0.3">
      <c r="A94" s="22">
        <v>44075</v>
      </c>
      <c r="B94" s="5">
        <v>4</v>
      </c>
      <c r="C94" s="2">
        <v>20</v>
      </c>
      <c r="D94" s="8" t="s">
        <v>175</v>
      </c>
      <c r="E94" s="2"/>
      <c r="F94" s="69">
        <v>30</v>
      </c>
      <c r="G94" s="26">
        <v>0.01</v>
      </c>
      <c r="H94" s="2"/>
      <c r="I94" s="26">
        <f t="shared" si="8"/>
        <v>3000</v>
      </c>
      <c r="J94" s="2"/>
      <c r="K94" s="2"/>
      <c r="L94" s="69">
        <v>4</v>
      </c>
      <c r="M94" s="2"/>
      <c r="N94" s="2"/>
      <c r="O94" s="2"/>
      <c r="P94" s="2"/>
      <c r="Q94" s="2"/>
      <c r="R94" s="2"/>
      <c r="S94" s="2"/>
      <c r="T94" s="26">
        <f>L94/L90</f>
        <v>80000</v>
      </c>
      <c r="U94" s="26">
        <f t="shared" si="6"/>
        <v>7.1018974425280454</v>
      </c>
      <c r="V94" s="2" t="s">
        <v>205</v>
      </c>
    </row>
    <row r="95" spans="1:22" x14ac:dyDescent="0.3">
      <c r="A95" s="22">
        <v>44075</v>
      </c>
      <c r="B95" s="5">
        <v>5</v>
      </c>
      <c r="C95" s="2">
        <v>34</v>
      </c>
      <c r="D95" s="10" t="s">
        <v>189</v>
      </c>
      <c r="E95" s="2"/>
      <c r="F95" s="2">
        <v>108</v>
      </c>
      <c r="G95" s="26">
        <v>0.01</v>
      </c>
      <c r="H95" s="2"/>
      <c r="I95" s="26">
        <f t="shared" si="8"/>
        <v>10800</v>
      </c>
      <c r="J95" s="2"/>
      <c r="K95" s="2"/>
      <c r="L95" s="2"/>
      <c r="M95" s="2"/>
      <c r="N95" s="2">
        <v>75</v>
      </c>
      <c r="O95" s="2"/>
      <c r="P95" s="2"/>
      <c r="Q95" s="2"/>
      <c r="R95" s="2"/>
      <c r="S95" s="2"/>
      <c r="T95" s="26">
        <f>N95/N90</f>
        <v>150000000</v>
      </c>
      <c r="U95" s="26">
        <f t="shared" si="6"/>
        <v>20.632149277184201</v>
      </c>
      <c r="V95" s="2"/>
    </row>
    <row r="96" spans="1:22" x14ac:dyDescent="0.3">
      <c r="A96" s="22">
        <v>44075</v>
      </c>
      <c r="B96" s="5">
        <v>6</v>
      </c>
      <c r="C96" s="2">
        <v>24</v>
      </c>
      <c r="D96" s="8" t="s">
        <v>176</v>
      </c>
      <c r="E96" s="2"/>
      <c r="F96" s="2">
        <v>96</v>
      </c>
      <c r="G96" s="26">
        <v>0.01</v>
      </c>
      <c r="H96" s="2"/>
      <c r="I96" s="26">
        <f t="shared" si="8"/>
        <v>9600</v>
      </c>
      <c r="J96" s="2"/>
      <c r="K96" s="2"/>
      <c r="L96" s="2"/>
      <c r="M96" s="2"/>
      <c r="N96" s="2">
        <v>35</v>
      </c>
      <c r="O96" s="2"/>
      <c r="P96" s="2"/>
      <c r="Q96" s="2"/>
      <c r="R96" s="2"/>
      <c r="S96" s="2"/>
      <c r="T96" s="26">
        <f>N96/N90</f>
        <v>70000000</v>
      </c>
      <c r="U96" s="26">
        <f t="shared" si="6"/>
        <v>19.238430128595592</v>
      </c>
      <c r="V96" s="2"/>
    </row>
    <row r="97" spans="1:22" x14ac:dyDescent="0.3">
      <c r="A97" s="22">
        <v>44075</v>
      </c>
      <c r="B97" s="5">
        <v>7</v>
      </c>
      <c r="C97" s="2">
        <v>30</v>
      </c>
      <c r="D97" s="8" t="s">
        <v>182</v>
      </c>
      <c r="E97" s="2"/>
      <c r="F97" s="2">
        <v>90</v>
      </c>
      <c r="G97" s="26">
        <v>0.01</v>
      </c>
      <c r="H97" s="2"/>
      <c r="I97" s="26">
        <f t="shared" si="8"/>
        <v>9000</v>
      </c>
      <c r="J97" s="2"/>
      <c r="K97" s="2"/>
      <c r="L97" s="2"/>
      <c r="M97" s="2"/>
      <c r="N97" s="2">
        <v>38</v>
      </c>
      <c r="O97" s="2"/>
      <c r="P97" s="2"/>
      <c r="Q97" s="2"/>
      <c r="R97" s="2"/>
      <c r="S97" s="2"/>
      <c r="T97" s="26">
        <f>N97/N90</f>
        <v>76000000</v>
      </c>
      <c r="U97" s="26">
        <f t="shared" si="6"/>
        <v>19.555902243873106</v>
      </c>
      <c r="V97" s="2"/>
    </row>
    <row r="98" spans="1:22" x14ac:dyDescent="0.3">
      <c r="A98" s="22">
        <v>44075</v>
      </c>
      <c r="B98" s="5">
        <v>8</v>
      </c>
      <c r="C98" s="2">
        <v>1</v>
      </c>
      <c r="D98" s="2" t="s">
        <v>166</v>
      </c>
      <c r="E98" s="2"/>
      <c r="F98" s="2">
        <v>97</v>
      </c>
      <c r="G98" s="26">
        <v>0.01</v>
      </c>
      <c r="H98" s="2"/>
      <c r="I98" s="26">
        <f t="shared" si="8"/>
        <v>9700</v>
      </c>
      <c r="J98" s="2"/>
      <c r="K98" s="2"/>
      <c r="L98" s="2"/>
      <c r="M98" s="2"/>
      <c r="N98" s="2">
        <v>62</v>
      </c>
      <c r="O98" s="2"/>
      <c r="P98" s="2"/>
      <c r="Q98" s="2"/>
      <c r="R98" s="2"/>
      <c r="S98" s="2"/>
      <c r="T98" s="26">
        <f>N98/N90</f>
        <v>124000000</v>
      </c>
      <c r="U98" s="26">
        <f t="shared" si="6"/>
        <v>20.452767387929832</v>
      </c>
      <c r="V98" s="2"/>
    </row>
    <row r="99" spans="1:22" x14ac:dyDescent="0.3">
      <c r="A99" s="22">
        <v>44075</v>
      </c>
      <c r="B99" s="5">
        <v>9</v>
      </c>
      <c r="C99" s="2">
        <v>25</v>
      </c>
      <c r="D99" s="8" t="s">
        <v>177</v>
      </c>
      <c r="E99" s="2"/>
      <c r="F99" s="2">
        <v>115</v>
      </c>
      <c r="G99" s="26">
        <v>0.01</v>
      </c>
      <c r="H99" s="2"/>
      <c r="I99" s="26">
        <f t="shared" si="8"/>
        <v>11500</v>
      </c>
      <c r="J99" s="2"/>
      <c r="K99" s="2"/>
      <c r="L99" s="2"/>
      <c r="M99" s="2"/>
      <c r="N99" s="2">
        <v>36</v>
      </c>
      <c r="O99" s="2"/>
      <c r="P99" s="2"/>
      <c r="Q99" s="2"/>
      <c r="R99" s="2"/>
      <c r="S99" s="2"/>
      <c r="T99" s="26">
        <f>N99/N90</f>
        <v>72000000</v>
      </c>
      <c r="U99" s="26">
        <f t="shared" si="6"/>
        <v>18.908766611765198</v>
      </c>
      <c r="V99" s="2"/>
    </row>
    <row r="100" spans="1:22" x14ac:dyDescent="0.3">
      <c r="A100" s="22">
        <v>44075</v>
      </c>
      <c r="B100" s="5">
        <v>10</v>
      </c>
      <c r="C100" s="2">
        <v>31</v>
      </c>
      <c r="D100" s="8" t="s">
        <v>183</v>
      </c>
      <c r="E100" s="2"/>
      <c r="F100" s="2">
        <v>109</v>
      </c>
      <c r="G100" s="26">
        <v>0.01</v>
      </c>
      <c r="H100" s="2"/>
      <c r="I100" s="26">
        <f t="shared" si="8"/>
        <v>10900</v>
      </c>
      <c r="J100" s="2"/>
      <c r="K100" s="2"/>
      <c r="L100" s="2"/>
      <c r="M100" s="2"/>
      <c r="N100" s="2">
        <v>31</v>
      </c>
      <c r="O100" s="2"/>
      <c r="P100" s="2"/>
      <c r="Q100" s="2"/>
      <c r="R100" s="2"/>
      <c r="S100" s="2"/>
      <c r="T100" s="26">
        <f>N100/N90</f>
        <v>62000000</v>
      </c>
      <c r="U100" s="26">
        <f t="shared" si="6"/>
        <v>18.70123592977421</v>
      </c>
      <c r="V100" s="2"/>
    </row>
    <row r="101" spans="1:22" x14ac:dyDescent="0.3">
      <c r="A101" s="22">
        <v>44075</v>
      </c>
      <c r="B101" s="5">
        <v>11</v>
      </c>
      <c r="C101" s="2">
        <v>27</v>
      </c>
      <c r="D101" s="8" t="s">
        <v>179</v>
      </c>
      <c r="E101" s="2"/>
      <c r="F101" s="2">
        <v>114</v>
      </c>
      <c r="G101" s="26">
        <v>0.01</v>
      </c>
      <c r="H101" s="2"/>
      <c r="I101" s="26">
        <f t="shared" si="8"/>
        <v>11400</v>
      </c>
      <c r="J101" s="2"/>
      <c r="K101" s="2"/>
      <c r="L101" s="2"/>
      <c r="M101" s="2">
        <v>242</v>
      </c>
      <c r="N101" s="69">
        <v>22</v>
      </c>
      <c r="O101" s="2"/>
      <c r="P101" s="2"/>
      <c r="Q101" s="2"/>
      <c r="R101" s="2"/>
      <c r="S101" s="2"/>
      <c r="T101" s="26">
        <f>M101/M90</f>
        <v>48399999.999999993</v>
      </c>
      <c r="U101" s="26">
        <f t="shared" si="6"/>
        <v>18.068601960677569</v>
      </c>
      <c r="V101" s="2"/>
    </row>
    <row r="102" spans="1:22" ht="15" thickBot="1" x14ac:dyDescent="0.35">
      <c r="A102" s="51">
        <v>44075</v>
      </c>
      <c r="B102" s="71">
        <v>12</v>
      </c>
      <c r="C102" s="53">
        <v>28</v>
      </c>
      <c r="D102" s="68" t="s">
        <v>180</v>
      </c>
      <c r="E102" s="53"/>
      <c r="F102" s="53">
        <v>45</v>
      </c>
      <c r="G102" s="54">
        <v>0.01</v>
      </c>
      <c r="H102" s="53"/>
      <c r="I102" s="54">
        <f t="shared" si="8"/>
        <v>4500</v>
      </c>
      <c r="J102" s="53"/>
      <c r="K102" s="53"/>
      <c r="L102" s="53"/>
      <c r="M102" s="53">
        <v>210</v>
      </c>
      <c r="N102" s="72">
        <v>27</v>
      </c>
      <c r="O102" s="53"/>
      <c r="P102" s="53"/>
      <c r="Q102" s="53"/>
      <c r="R102" s="53"/>
      <c r="S102" s="53"/>
      <c r="T102" s="54">
        <f>M102/M90</f>
        <v>42000000</v>
      </c>
      <c r="U102" s="54">
        <f t="shared" si="6"/>
        <v>19.772378869563024</v>
      </c>
      <c r="V102" s="53"/>
    </row>
    <row r="103" spans="1:22" x14ac:dyDescent="0.3">
      <c r="A103" s="41"/>
      <c r="B103" s="41"/>
      <c r="C103" s="41"/>
      <c r="D103" s="41"/>
      <c r="E103" s="41"/>
      <c r="F103" s="41"/>
      <c r="G103" s="41"/>
      <c r="H103" s="41"/>
      <c r="I103" s="26"/>
      <c r="J103" s="41"/>
      <c r="K103" s="41"/>
      <c r="L103" s="55">
        <v>0.01</v>
      </c>
      <c r="M103" s="55">
        <v>1.9999999999999999E-6</v>
      </c>
      <c r="N103" s="55">
        <v>7.9999999999999996E-7</v>
      </c>
      <c r="O103" s="55">
        <v>6.9999999999999997E-7</v>
      </c>
      <c r="P103" s="41"/>
      <c r="Q103" s="41"/>
      <c r="R103" s="41"/>
      <c r="S103" s="41"/>
      <c r="T103" s="41"/>
      <c r="U103" s="26"/>
      <c r="V103" s="113" t="s">
        <v>207</v>
      </c>
    </row>
    <row r="104" spans="1:22" x14ac:dyDescent="0.3">
      <c r="A104" s="22">
        <v>44076</v>
      </c>
      <c r="B104" s="5">
        <v>1</v>
      </c>
      <c r="C104" s="2">
        <v>28</v>
      </c>
      <c r="D104" s="8" t="s">
        <v>180</v>
      </c>
      <c r="E104" s="2"/>
      <c r="F104" s="2">
        <v>113</v>
      </c>
      <c r="G104" s="26">
        <v>0.01</v>
      </c>
      <c r="H104" s="2"/>
      <c r="I104" s="26">
        <f t="shared" si="8"/>
        <v>11300</v>
      </c>
      <c r="J104" s="2"/>
      <c r="K104" s="2"/>
      <c r="L104" s="2"/>
      <c r="M104" s="2">
        <v>101</v>
      </c>
      <c r="N104" s="2"/>
      <c r="O104" s="2"/>
      <c r="P104" s="2"/>
      <c r="Q104" s="2"/>
      <c r="R104" s="2"/>
      <c r="S104" s="2"/>
      <c r="T104" s="26">
        <f>M104/M103</f>
        <v>50500000</v>
      </c>
      <c r="U104" s="26">
        <f t="shared" si="6"/>
        <v>18.179527586036066</v>
      </c>
      <c r="V104" s="114"/>
    </row>
    <row r="105" spans="1:22" x14ac:dyDescent="0.3">
      <c r="A105" s="22">
        <v>44076</v>
      </c>
      <c r="B105" s="5">
        <v>2</v>
      </c>
      <c r="C105" s="2">
        <v>25</v>
      </c>
      <c r="D105" s="8" t="s">
        <v>177</v>
      </c>
      <c r="E105" s="2"/>
      <c r="F105" s="2">
        <v>100</v>
      </c>
      <c r="G105" s="26">
        <v>0.01</v>
      </c>
      <c r="H105" s="2"/>
      <c r="I105" s="26">
        <f t="shared" si="8"/>
        <v>10000</v>
      </c>
      <c r="J105" s="2"/>
      <c r="K105" s="2"/>
      <c r="L105" s="2"/>
      <c r="M105" s="2">
        <v>156</v>
      </c>
      <c r="N105" s="2"/>
      <c r="O105" s="2"/>
      <c r="P105" s="2"/>
      <c r="Q105" s="2"/>
      <c r="R105" s="2"/>
      <c r="S105" s="2"/>
      <c r="T105" s="26">
        <f>M105/M103</f>
        <v>78000000</v>
      </c>
      <c r="U105" s="26">
        <f t="shared" si="6"/>
        <v>19.38419551519786</v>
      </c>
      <c r="V105" s="114"/>
    </row>
    <row r="106" spans="1:22" x14ac:dyDescent="0.3">
      <c r="A106" s="22">
        <v>44076</v>
      </c>
      <c r="B106" s="5">
        <v>3</v>
      </c>
      <c r="C106" s="2">
        <v>30</v>
      </c>
      <c r="D106" s="8" t="s">
        <v>182</v>
      </c>
      <c r="E106" s="2"/>
      <c r="F106" s="2">
        <v>103</v>
      </c>
      <c r="G106" s="26">
        <v>0.01</v>
      </c>
      <c r="H106" s="2"/>
      <c r="I106" s="26">
        <f t="shared" si="8"/>
        <v>10300</v>
      </c>
      <c r="J106" s="2"/>
      <c r="K106" s="2"/>
      <c r="L106" s="2"/>
      <c r="M106" s="2">
        <v>178</v>
      </c>
      <c r="N106" s="2"/>
      <c r="O106" s="2"/>
      <c r="P106" s="2"/>
      <c r="Q106" s="2"/>
      <c r="R106" s="2"/>
      <c r="S106" s="2"/>
      <c r="T106" s="26">
        <f>M106/M103</f>
        <v>89000000</v>
      </c>
      <c r="U106" s="26">
        <f t="shared" si="6"/>
        <v>19.605615117440223</v>
      </c>
      <c r="V106" s="115"/>
    </row>
    <row r="107" spans="1:22" x14ac:dyDescent="0.3">
      <c r="A107" s="22">
        <v>44076</v>
      </c>
      <c r="B107" s="5">
        <v>4</v>
      </c>
      <c r="C107" s="2">
        <v>29</v>
      </c>
      <c r="D107" s="8" t="s">
        <v>181</v>
      </c>
      <c r="E107" s="2"/>
      <c r="F107" s="2">
        <v>117</v>
      </c>
      <c r="G107" s="26">
        <v>0.01</v>
      </c>
      <c r="H107" s="2"/>
      <c r="I107" s="26">
        <f t="shared" si="8"/>
        <v>11700</v>
      </c>
      <c r="J107" s="2"/>
      <c r="K107" s="2"/>
      <c r="L107" s="2"/>
      <c r="M107" s="2">
        <v>86</v>
      </c>
      <c r="N107" s="2"/>
      <c r="O107" s="2"/>
      <c r="P107" s="2"/>
      <c r="Q107" s="2"/>
      <c r="R107" s="2"/>
      <c r="S107" s="2"/>
      <c r="T107" s="26">
        <f>M107/M103</f>
        <v>43000000</v>
      </c>
      <c r="U107" s="26">
        <f t="shared" si="6"/>
        <v>17.756540351826303</v>
      </c>
      <c r="V107" s="2"/>
    </row>
    <row r="108" spans="1:22" x14ac:dyDescent="0.3">
      <c r="A108" s="22">
        <v>44076</v>
      </c>
      <c r="B108" s="5">
        <v>5</v>
      </c>
      <c r="C108" s="2">
        <v>34</v>
      </c>
      <c r="D108" s="10" t="s">
        <v>189</v>
      </c>
      <c r="E108" s="2"/>
      <c r="F108" s="2">
        <v>88</v>
      </c>
      <c r="G108" s="26">
        <v>0.01</v>
      </c>
      <c r="H108" s="2"/>
      <c r="I108" s="26">
        <f t="shared" si="8"/>
        <v>8800</v>
      </c>
      <c r="J108" s="2"/>
      <c r="K108" s="2"/>
      <c r="L108" s="2"/>
      <c r="M108" s="2"/>
      <c r="N108" s="2"/>
      <c r="O108" s="2">
        <v>71</v>
      </c>
      <c r="P108" s="2"/>
      <c r="Q108" s="2"/>
      <c r="R108" s="2"/>
      <c r="S108" s="2"/>
      <c r="T108" s="26">
        <f>O108/O103</f>
        <v>101428571.42857143</v>
      </c>
      <c r="U108" s="26">
        <f t="shared" si="6"/>
        <v>20.228787186276751</v>
      </c>
      <c r="V108" s="2"/>
    </row>
    <row r="109" spans="1:22" x14ac:dyDescent="0.3">
      <c r="A109" s="22">
        <v>44076</v>
      </c>
      <c r="B109" s="5">
        <v>6</v>
      </c>
      <c r="C109" s="2">
        <v>24</v>
      </c>
      <c r="D109" s="8" t="s">
        <v>176</v>
      </c>
      <c r="E109" s="2"/>
      <c r="F109" s="2">
        <v>90</v>
      </c>
      <c r="G109" s="26">
        <v>0.01</v>
      </c>
      <c r="H109" s="2"/>
      <c r="I109" s="26">
        <f t="shared" si="8"/>
        <v>9000</v>
      </c>
      <c r="J109" s="2"/>
      <c r="K109" s="2"/>
      <c r="L109" s="2"/>
      <c r="M109" s="2">
        <v>96</v>
      </c>
      <c r="N109" s="2"/>
      <c r="O109" s="2"/>
      <c r="P109" s="2"/>
      <c r="Q109" s="2"/>
      <c r="R109" s="2"/>
      <c r="S109" s="2"/>
      <c r="T109" s="26">
        <f>M109/M103</f>
        <v>48000000</v>
      </c>
      <c r="U109" s="26">
        <f t="shared" si="6"/>
        <v>18.561951700061368</v>
      </c>
      <c r="V109" s="2"/>
    </row>
    <row r="110" spans="1:22" x14ac:dyDescent="0.3">
      <c r="A110" s="22">
        <v>44076</v>
      </c>
      <c r="B110" s="5">
        <v>7</v>
      </c>
      <c r="C110" s="2">
        <v>36</v>
      </c>
      <c r="D110" s="10" t="s">
        <v>191</v>
      </c>
      <c r="E110" s="2"/>
      <c r="F110" s="2">
        <v>104</v>
      </c>
      <c r="G110" s="26">
        <v>0.01</v>
      </c>
      <c r="H110" s="2"/>
      <c r="I110" s="26">
        <f t="shared" si="8"/>
        <v>10400</v>
      </c>
      <c r="J110" s="2"/>
      <c r="K110" s="2"/>
      <c r="L110" s="2"/>
      <c r="M110" s="2">
        <v>148</v>
      </c>
      <c r="N110" s="2"/>
      <c r="O110" s="2"/>
      <c r="P110" s="2"/>
      <c r="Q110" s="2"/>
      <c r="R110" s="2"/>
      <c r="S110" s="2"/>
      <c r="T110" s="26">
        <f>M110/M103</f>
        <v>74000000</v>
      </c>
      <c r="U110" s="26">
        <f t="shared" si="6"/>
        <v>19.185496292409756</v>
      </c>
      <c r="V110" s="2"/>
    </row>
    <row r="111" spans="1:22" x14ac:dyDescent="0.3">
      <c r="A111" s="22">
        <v>44076</v>
      </c>
      <c r="B111" s="5">
        <v>8</v>
      </c>
      <c r="C111" s="2">
        <v>27</v>
      </c>
      <c r="D111" s="8" t="s">
        <v>179</v>
      </c>
      <c r="E111" s="2"/>
      <c r="F111" s="2">
        <v>91</v>
      </c>
      <c r="G111" s="26">
        <v>0.01</v>
      </c>
      <c r="H111" s="2"/>
      <c r="I111" s="26">
        <f t="shared" si="8"/>
        <v>9100</v>
      </c>
      <c r="J111" s="2"/>
      <c r="K111" s="2"/>
      <c r="L111" s="2"/>
      <c r="M111" s="2">
        <v>127</v>
      </c>
      <c r="N111" s="2"/>
      <c r="O111" s="2"/>
      <c r="P111" s="2"/>
      <c r="Q111" s="2"/>
      <c r="R111" s="2"/>
      <c r="S111" s="2"/>
      <c r="T111" s="26">
        <f>M111/M103</f>
        <v>63500000</v>
      </c>
      <c r="U111" s="26">
        <f t="shared" si="6"/>
        <v>19.143331973197778</v>
      </c>
      <c r="V111" s="2"/>
    </row>
    <row r="112" spans="1:22" x14ac:dyDescent="0.3">
      <c r="A112" s="22">
        <v>44076</v>
      </c>
      <c r="B112" s="5">
        <v>9</v>
      </c>
      <c r="C112" s="2">
        <v>31</v>
      </c>
      <c r="D112" s="8" t="s">
        <v>183</v>
      </c>
      <c r="E112" s="2"/>
      <c r="F112" s="2">
        <v>145</v>
      </c>
      <c r="G112" s="26">
        <v>0.01</v>
      </c>
      <c r="H112" s="2"/>
      <c r="I112" s="26">
        <f t="shared" si="8"/>
        <v>14500</v>
      </c>
      <c r="J112" s="2"/>
      <c r="K112" s="2"/>
      <c r="L112" s="2"/>
      <c r="M112" s="2">
        <v>172</v>
      </c>
      <c r="N112" s="2"/>
      <c r="O112" s="2"/>
      <c r="P112" s="2"/>
      <c r="Q112" s="2"/>
      <c r="R112" s="2"/>
      <c r="S112" s="2"/>
      <c r="T112" s="26">
        <f>M112/M103</f>
        <v>86000000</v>
      </c>
      <c r="U112" s="26">
        <f t="shared" si="6"/>
        <v>18.791706213248297</v>
      </c>
      <c r="V112" s="2"/>
    </row>
    <row r="113" spans="1:23" x14ac:dyDescent="0.3">
      <c r="A113" s="22">
        <v>44076</v>
      </c>
      <c r="B113" s="5">
        <v>10</v>
      </c>
      <c r="C113" s="2">
        <v>1</v>
      </c>
      <c r="D113" s="2" t="s">
        <v>166</v>
      </c>
      <c r="E113" s="2"/>
      <c r="F113" s="2">
        <v>74</v>
      </c>
      <c r="G113" s="26">
        <v>0.01</v>
      </c>
      <c r="H113" s="2"/>
      <c r="I113" s="26">
        <f t="shared" si="8"/>
        <v>7400</v>
      </c>
      <c r="J113" s="2"/>
      <c r="K113" s="2"/>
      <c r="L113" s="2"/>
      <c r="M113" s="2"/>
      <c r="N113" s="2">
        <v>81</v>
      </c>
      <c r="O113" s="2"/>
      <c r="P113" s="2"/>
      <c r="Q113" s="2"/>
      <c r="R113" s="2"/>
      <c r="S113" s="2"/>
      <c r="T113" s="26">
        <f>N113/N103</f>
        <v>101250000</v>
      </c>
      <c r="U113" s="26">
        <f t="shared" si="6"/>
        <v>20.599755789643908</v>
      </c>
      <c r="V113" s="2"/>
    </row>
    <row r="114" spans="1:23" x14ac:dyDescent="0.3">
      <c r="A114" s="22">
        <v>44076</v>
      </c>
      <c r="B114" s="5">
        <v>11</v>
      </c>
      <c r="C114" s="2">
        <v>20</v>
      </c>
      <c r="D114" s="8" t="s">
        <v>175</v>
      </c>
      <c r="E114" s="2"/>
      <c r="F114" s="2">
        <v>168</v>
      </c>
      <c r="G114" s="26">
        <v>0.1</v>
      </c>
      <c r="H114" s="2"/>
      <c r="I114" s="26">
        <f t="shared" si="8"/>
        <v>1680</v>
      </c>
      <c r="J114" s="2"/>
      <c r="K114" s="2"/>
      <c r="L114" s="2">
        <v>355</v>
      </c>
      <c r="M114" s="2"/>
      <c r="N114" s="2"/>
      <c r="O114" s="2"/>
      <c r="P114" s="2"/>
      <c r="Q114" s="2"/>
      <c r="R114" s="2"/>
      <c r="S114" s="2"/>
      <c r="T114" s="26">
        <f>L114/L103</f>
        <v>35500</v>
      </c>
      <c r="U114" s="26">
        <f t="shared" si="6"/>
        <v>6.5986295149934735</v>
      </c>
      <c r="V114" s="2"/>
    </row>
    <row r="115" spans="1:23" ht="15" thickBot="1" x14ac:dyDescent="0.35">
      <c r="A115" s="51">
        <v>44076</v>
      </c>
      <c r="B115" s="71">
        <v>12</v>
      </c>
      <c r="C115" s="53">
        <v>26</v>
      </c>
      <c r="D115" s="68" t="s">
        <v>178</v>
      </c>
      <c r="E115" s="53"/>
      <c r="F115" s="53">
        <v>110</v>
      </c>
      <c r="G115" s="54">
        <v>0.01</v>
      </c>
      <c r="H115" s="53"/>
      <c r="I115" s="54">
        <f t="shared" si="8"/>
        <v>11000</v>
      </c>
      <c r="J115" s="53"/>
      <c r="K115" s="53"/>
      <c r="L115" s="53"/>
      <c r="M115" s="53">
        <v>166</v>
      </c>
      <c r="N115" s="53"/>
      <c r="O115" s="53"/>
      <c r="P115" s="53"/>
      <c r="Q115" s="53"/>
      <c r="R115" s="53"/>
      <c r="S115" s="53"/>
      <c r="T115" s="54">
        <f>M115/M103</f>
        <v>83000000</v>
      </c>
      <c r="U115" s="54">
        <f t="shared" si="6"/>
        <v>19.312431930092526</v>
      </c>
      <c r="V115" s="53"/>
    </row>
    <row r="116" spans="1:23" x14ac:dyDescent="0.3">
      <c r="A116" s="41"/>
      <c r="B116" s="41"/>
      <c r="C116" s="41"/>
      <c r="D116" s="41"/>
      <c r="E116" s="41"/>
      <c r="F116" s="41"/>
      <c r="G116" s="41"/>
      <c r="H116" s="41"/>
      <c r="I116" s="26"/>
      <c r="J116" s="41"/>
      <c r="K116" s="41"/>
      <c r="L116" s="55">
        <v>3.0000000000000001E-3</v>
      </c>
      <c r="M116" s="55">
        <v>9.9999999999999995E-7</v>
      </c>
      <c r="N116" s="55">
        <v>1.9999999999999999E-6</v>
      </c>
      <c r="O116" s="55">
        <v>7.9999999999999996E-7</v>
      </c>
      <c r="P116" s="41"/>
      <c r="Q116" s="41"/>
      <c r="R116" s="41"/>
      <c r="S116" s="41"/>
      <c r="T116" s="41"/>
      <c r="U116" s="26"/>
      <c r="V116" s="41"/>
      <c r="W116" s="41"/>
    </row>
    <row r="117" spans="1:23" x14ac:dyDescent="0.3">
      <c r="A117" s="22">
        <v>44077</v>
      </c>
      <c r="B117" s="5">
        <v>1</v>
      </c>
      <c r="C117" s="2">
        <v>26</v>
      </c>
      <c r="D117" s="8" t="s">
        <v>178</v>
      </c>
      <c r="E117" s="2"/>
      <c r="F117" s="2">
        <v>118</v>
      </c>
      <c r="G117" s="26">
        <v>0.01</v>
      </c>
      <c r="H117" s="2"/>
      <c r="I117" s="26">
        <f t="shared" si="8"/>
        <v>11800</v>
      </c>
      <c r="J117" s="2"/>
      <c r="K117" s="2"/>
      <c r="L117" s="2"/>
      <c r="M117" s="2"/>
      <c r="N117" s="2">
        <v>281</v>
      </c>
      <c r="O117" s="2"/>
      <c r="P117" s="2"/>
      <c r="Q117" s="2"/>
      <c r="R117" s="2"/>
      <c r="S117" s="2"/>
      <c r="T117" s="26">
        <f>N117/N116</f>
        <v>140500000</v>
      </c>
      <c r="U117" s="26">
        <f t="shared" si="6"/>
        <v>20.299093928648475</v>
      </c>
      <c r="V117" s="2"/>
      <c r="W117" s="2"/>
    </row>
    <row r="118" spans="1:23" x14ac:dyDescent="0.3">
      <c r="A118" s="22">
        <v>44077</v>
      </c>
      <c r="B118" s="5">
        <v>2</v>
      </c>
      <c r="C118" s="2">
        <v>27</v>
      </c>
      <c r="D118" s="8" t="s">
        <v>179</v>
      </c>
      <c r="E118" s="2"/>
      <c r="F118" s="2">
        <v>90</v>
      </c>
      <c r="G118" s="26">
        <v>0.01</v>
      </c>
      <c r="H118" s="2"/>
      <c r="I118" s="26">
        <f t="shared" si="8"/>
        <v>9000</v>
      </c>
      <c r="J118" s="2"/>
      <c r="K118" s="2"/>
      <c r="L118" s="2"/>
      <c r="M118" s="2"/>
      <c r="N118" s="2">
        <v>92</v>
      </c>
      <c r="O118" s="2"/>
      <c r="P118" s="2"/>
      <c r="Q118" s="2"/>
      <c r="R118" s="2"/>
      <c r="S118" s="2"/>
      <c r="T118" s="26">
        <f>N118/N116</f>
        <v>46000000</v>
      </c>
      <c r="U118" s="26">
        <f t="shared" si="6"/>
        <v>18.469896910459951</v>
      </c>
      <c r="V118" s="2"/>
      <c r="W118" s="2"/>
    </row>
    <row r="119" spans="1:23" x14ac:dyDescent="0.3">
      <c r="A119" s="22">
        <v>44077</v>
      </c>
      <c r="B119" s="5">
        <v>3</v>
      </c>
      <c r="C119" s="2">
        <v>36</v>
      </c>
      <c r="D119" s="10" t="s">
        <v>191</v>
      </c>
      <c r="E119" s="2"/>
      <c r="F119" s="2">
        <v>85</v>
      </c>
      <c r="G119" s="26">
        <v>0.01</v>
      </c>
      <c r="H119" s="2"/>
      <c r="I119" s="26">
        <f t="shared" si="8"/>
        <v>8500</v>
      </c>
      <c r="J119" s="2"/>
      <c r="K119" s="2"/>
      <c r="L119" s="2"/>
      <c r="M119" s="2"/>
      <c r="N119" s="2">
        <v>113</v>
      </c>
      <c r="O119" s="2"/>
      <c r="P119" s="2"/>
      <c r="Q119" s="2"/>
      <c r="R119" s="2"/>
      <c r="S119" s="2"/>
      <c r="T119" s="26">
        <f>N119/N116</f>
        <v>56500000</v>
      </c>
      <c r="U119" s="26">
        <f t="shared" si="6"/>
        <v>19.038231492993908</v>
      </c>
      <c r="V119" s="2"/>
      <c r="W119" s="2"/>
    </row>
    <row r="120" spans="1:23" x14ac:dyDescent="0.3">
      <c r="A120" s="22">
        <v>44077</v>
      </c>
      <c r="B120" s="5">
        <v>4</v>
      </c>
      <c r="C120" s="2">
        <v>34</v>
      </c>
      <c r="D120" s="10" t="s">
        <v>189</v>
      </c>
      <c r="E120" s="2"/>
      <c r="F120" s="2">
        <v>105</v>
      </c>
      <c r="G120" s="26">
        <v>0.01</v>
      </c>
      <c r="H120" s="2"/>
      <c r="I120" s="26">
        <f t="shared" si="8"/>
        <v>10500</v>
      </c>
      <c r="J120" s="2"/>
      <c r="K120" s="2"/>
      <c r="L120" s="2"/>
      <c r="M120" s="2">
        <v>93</v>
      </c>
      <c r="N120" s="2"/>
      <c r="O120" s="2"/>
      <c r="P120" s="2"/>
      <c r="Q120" s="2"/>
      <c r="R120" s="2"/>
      <c r="S120" s="2"/>
      <c r="T120" s="26">
        <f>M120/M116</f>
        <v>93000000</v>
      </c>
      <c r="U120" s="26">
        <f t="shared" si="6"/>
        <v>19.659108955009533</v>
      </c>
      <c r="V120" s="2"/>
      <c r="W120" s="2"/>
    </row>
    <row r="121" spans="1:23" x14ac:dyDescent="0.3">
      <c r="A121" s="22">
        <v>44077</v>
      </c>
      <c r="B121" s="5">
        <v>5</v>
      </c>
      <c r="C121" s="2">
        <v>28</v>
      </c>
      <c r="D121" s="8" t="s">
        <v>180</v>
      </c>
      <c r="E121" s="2"/>
      <c r="F121" s="2">
        <v>71</v>
      </c>
      <c r="G121" s="26">
        <v>0.01</v>
      </c>
      <c r="H121" s="2"/>
      <c r="I121" s="26">
        <f t="shared" si="8"/>
        <v>7100</v>
      </c>
      <c r="J121" s="2"/>
      <c r="K121" s="2"/>
      <c r="L121" s="2"/>
      <c r="M121" s="2"/>
      <c r="N121" s="2">
        <v>148</v>
      </c>
      <c r="O121" s="2"/>
      <c r="P121" s="2"/>
      <c r="Q121" s="2"/>
      <c r="R121" s="2"/>
      <c r="S121" s="2"/>
      <c r="T121" s="26">
        <f>N121/N116</f>
        <v>74000000</v>
      </c>
      <c r="U121" s="26">
        <f t="shared" si="6"/>
        <v>20.011122377321914</v>
      </c>
      <c r="V121" s="2"/>
      <c r="W121" s="2"/>
    </row>
    <row r="122" spans="1:23" x14ac:dyDescent="0.3">
      <c r="A122" s="22">
        <v>44077</v>
      </c>
      <c r="B122" s="5">
        <v>6</v>
      </c>
      <c r="C122" s="2">
        <v>25</v>
      </c>
      <c r="D122" s="8" t="s">
        <v>177</v>
      </c>
      <c r="E122" s="2"/>
      <c r="F122" s="2">
        <v>104</v>
      </c>
      <c r="G122" s="26">
        <v>0.01</v>
      </c>
      <c r="H122" s="2"/>
      <c r="I122" s="26">
        <f t="shared" si="8"/>
        <v>10400</v>
      </c>
      <c r="J122" s="2"/>
      <c r="K122" s="2"/>
      <c r="L122" s="2"/>
      <c r="M122" s="2"/>
      <c r="N122" s="2">
        <v>175</v>
      </c>
      <c r="O122" s="2"/>
      <c r="P122" s="2"/>
      <c r="Q122" s="2"/>
      <c r="R122" s="2"/>
      <c r="S122" s="2"/>
      <c r="T122" s="26">
        <f>N122/N116</f>
        <v>87500000</v>
      </c>
      <c r="U122" s="26">
        <f t="shared" si="6"/>
        <v>19.547951684019019</v>
      </c>
      <c r="V122" s="2"/>
      <c r="W122" s="2"/>
    </row>
    <row r="123" spans="1:23" x14ac:dyDescent="0.3">
      <c r="A123" s="22">
        <v>44077</v>
      </c>
      <c r="B123" s="5">
        <v>7</v>
      </c>
      <c r="C123" s="2">
        <v>24</v>
      </c>
      <c r="D123" s="8" t="s">
        <v>176</v>
      </c>
      <c r="E123" s="2"/>
      <c r="F123" s="2">
        <v>99</v>
      </c>
      <c r="G123" s="26">
        <v>0.01</v>
      </c>
      <c r="H123" s="2"/>
      <c r="I123" s="26">
        <f t="shared" si="8"/>
        <v>9900</v>
      </c>
      <c r="J123" s="2"/>
      <c r="K123" s="2"/>
      <c r="L123" s="2"/>
      <c r="M123" s="2"/>
      <c r="N123" s="2">
        <v>90</v>
      </c>
      <c r="O123" s="2"/>
      <c r="P123" s="2"/>
      <c r="Q123" s="2"/>
      <c r="R123" s="2"/>
      <c r="S123" s="2"/>
      <c r="T123" s="26">
        <f>N123/N116</f>
        <v>45000000</v>
      </c>
      <c r="U123" s="26">
        <f t="shared" si="6"/>
        <v>18.216205181108716</v>
      </c>
      <c r="V123" s="2"/>
      <c r="W123" s="2"/>
    </row>
    <row r="124" spans="1:23" x14ac:dyDescent="0.3">
      <c r="A124" s="22">
        <v>44077</v>
      </c>
      <c r="B124" s="5">
        <v>8</v>
      </c>
      <c r="C124" s="2">
        <v>1</v>
      </c>
      <c r="D124" s="2" t="s">
        <v>166</v>
      </c>
      <c r="E124" s="2"/>
      <c r="F124" s="2">
        <v>114</v>
      </c>
      <c r="G124" s="26">
        <v>0.01</v>
      </c>
      <c r="H124" s="2"/>
      <c r="I124" s="26">
        <f t="shared" si="8"/>
        <v>11400</v>
      </c>
      <c r="J124" s="2"/>
      <c r="K124" s="2"/>
      <c r="L124" s="2"/>
      <c r="M124" s="2"/>
      <c r="N124" s="2"/>
      <c r="O124" s="2">
        <v>162</v>
      </c>
      <c r="P124" s="2"/>
      <c r="Q124" s="2"/>
      <c r="R124" s="2"/>
      <c r="S124" s="2"/>
      <c r="T124" s="26">
        <f>O124/O116</f>
        <v>202500000</v>
      </c>
      <c r="U124" s="26">
        <f t="shared" si="6"/>
        <v>21.164318535467309</v>
      </c>
      <c r="V124" s="2"/>
      <c r="W124" s="2"/>
    </row>
    <row r="125" spans="1:23" x14ac:dyDescent="0.3">
      <c r="A125" s="22">
        <v>44077</v>
      </c>
      <c r="B125" s="5">
        <v>9</v>
      </c>
      <c r="C125" s="2">
        <v>20</v>
      </c>
      <c r="D125" s="8" t="s">
        <v>175</v>
      </c>
      <c r="E125" s="2"/>
      <c r="F125" s="2">
        <v>92</v>
      </c>
      <c r="G125" s="26">
        <v>0.1</v>
      </c>
      <c r="H125" s="2"/>
      <c r="I125" s="26">
        <f t="shared" si="8"/>
        <v>920</v>
      </c>
      <c r="J125" s="2"/>
      <c r="K125" s="2"/>
      <c r="L125" s="2">
        <v>73</v>
      </c>
      <c r="M125" s="2"/>
      <c r="N125" s="2"/>
      <c r="O125" s="2"/>
      <c r="P125" s="2"/>
      <c r="Q125" s="2"/>
      <c r="R125" s="2"/>
      <c r="S125" s="2"/>
      <c r="T125" s="26">
        <f>L125/L116</f>
        <v>24333.333333333332</v>
      </c>
      <c r="U125" s="26">
        <f t="shared" ref="U125:U128" si="9">LN(T125/I125)/(0.667*LN(2))</f>
        <v>7.0841923416440373</v>
      </c>
      <c r="V125" s="2"/>
      <c r="W125" s="2"/>
    </row>
    <row r="126" spans="1:23" x14ac:dyDescent="0.3">
      <c r="A126" s="22">
        <v>44077</v>
      </c>
      <c r="B126" s="5">
        <v>10</v>
      </c>
      <c r="C126" s="2">
        <v>29</v>
      </c>
      <c r="D126" s="8" t="s">
        <v>181</v>
      </c>
      <c r="E126" s="2"/>
      <c r="F126" s="2">
        <v>100</v>
      </c>
      <c r="G126" s="26">
        <v>0.01</v>
      </c>
      <c r="H126" s="2"/>
      <c r="I126" s="26">
        <f t="shared" si="8"/>
        <v>10000</v>
      </c>
      <c r="J126" s="2"/>
      <c r="K126" s="2"/>
      <c r="L126" s="2"/>
      <c r="M126" s="2"/>
      <c r="N126" s="2">
        <v>89</v>
      </c>
      <c r="O126" s="2"/>
      <c r="P126" s="2"/>
      <c r="Q126" s="2"/>
      <c r="R126" s="2"/>
      <c r="S126" s="2"/>
      <c r="T126" s="26">
        <f>N126/N116</f>
        <v>44500000</v>
      </c>
      <c r="U126" s="26">
        <f t="shared" si="9"/>
        <v>18.17029928147095</v>
      </c>
      <c r="V126" s="2"/>
      <c r="W126" s="2"/>
    </row>
    <row r="127" spans="1:23" x14ac:dyDescent="0.3">
      <c r="A127" s="22">
        <v>44077</v>
      </c>
      <c r="B127" s="5">
        <v>11</v>
      </c>
      <c r="C127" s="2">
        <v>30</v>
      </c>
      <c r="D127" s="8" t="s">
        <v>182</v>
      </c>
      <c r="E127" s="2"/>
      <c r="F127" s="2">
        <v>70</v>
      </c>
      <c r="G127" s="26">
        <v>0.01</v>
      </c>
      <c r="H127" s="2"/>
      <c r="I127" s="26">
        <f t="shared" si="8"/>
        <v>7000</v>
      </c>
      <c r="J127" s="2"/>
      <c r="K127" s="2"/>
      <c r="L127" s="2"/>
      <c r="M127" s="2"/>
      <c r="N127" s="2">
        <v>140</v>
      </c>
      <c r="O127" s="2"/>
      <c r="P127" s="2"/>
      <c r="Q127" s="2"/>
      <c r="R127" s="2"/>
      <c r="S127" s="2"/>
      <c r="T127" s="26">
        <f>N127/N116</f>
        <v>70000000</v>
      </c>
      <c r="U127" s="26">
        <f t="shared" si="9"/>
        <v>19.921607765441454</v>
      </c>
      <c r="V127" s="2"/>
      <c r="W127" s="2"/>
    </row>
    <row r="128" spans="1:23" ht="15" thickBot="1" x14ac:dyDescent="0.35">
      <c r="A128" s="51">
        <v>44077</v>
      </c>
      <c r="B128" s="71">
        <v>12</v>
      </c>
      <c r="C128" s="53">
        <v>31</v>
      </c>
      <c r="D128" s="68" t="s">
        <v>183</v>
      </c>
      <c r="E128" s="53"/>
      <c r="F128" s="53">
        <v>106</v>
      </c>
      <c r="G128" s="54">
        <v>0.01</v>
      </c>
      <c r="H128" s="53"/>
      <c r="I128" s="54">
        <f t="shared" si="8"/>
        <v>10600</v>
      </c>
      <c r="J128" s="53"/>
      <c r="K128" s="53"/>
      <c r="L128" s="53"/>
      <c r="M128" s="53"/>
      <c r="N128" s="53">
        <v>287</v>
      </c>
      <c r="O128" s="53"/>
      <c r="P128" s="53"/>
      <c r="Q128" s="53"/>
      <c r="R128" s="53"/>
      <c r="S128" s="53"/>
      <c r="T128" s="54">
        <f>N128/N116</f>
        <v>143500000</v>
      </c>
      <c r="U128" s="54">
        <f t="shared" si="9"/>
        <v>20.576759897544136</v>
      </c>
      <c r="V128" s="53"/>
      <c r="W128" s="53"/>
    </row>
    <row r="129" spans="1:22" x14ac:dyDescent="0.3">
      <c r="A129" s="41"/>
      <c r="B129" s="41"/>
      <c r="C129" s="41"/>
      <c r="D129" s="41"/>
      <c r="E129" s="41"/>
      <c r="F129" s="41"/>
      <c r="G129" s="41"/>
      <c r="H129" s="41"/>
      <c r="I129" s="49"/>
      <c r="J129" s="41"/>
      <c r="K129" s="55">
        <v>1.0000000000000001E-5</v>
      </c>
      <c r="L129" s="55">
        <v>9.9999999999999995E-7</v>
      </c>
      <c r="M129" s="55">
        <v>7.9999999999999996E-7</v>
      </c>
      <c r="N129" s="55">
        <v>4.9999999999999998E-7</v>
      </c>
      <c r="O129" s="55">
        <v>9.9999999999999995E-8</v>
      </c>
      <c r="P129" s="41"/>
      <c r="Q129" s="41"/>
      <c r="R129" s="41"/>
      <c r="S129" s="41"/>
      <c r="T129" s="41"/>
      <c r="U129" s="49"/>
      <c r="V129" s="41"/>
    </row>
    <row r="130" spans="1:22" x14ac:dyDescent="0.3">
      <c r="A130" s="22">
        <v>44111</v>
      </c>
      <c r="B130" s="5">
        <v>1</v>
      </c>
      <c r="C130" s="2">
        <v>32</v>
      </c>
      <c r="D130" s="8" t="s">
        <v>184</v>
      </c>
      <c r="E130" s="2"/>
      <c r="F130" s="2">
        <v>80</v>
      </c>
      <c r="G130" s="26">
        <v>0.01</v>
      </c>
      <c r="H130" s="2"/>
      <c r="I130" s="26">
        <f t="shared" ref="I130:I141" si="10">F130/G130</f>
        <v>8000</v>
      </c>
      <c r="J130" s="2"/>
      <c r="K130" s="2">
        <v>253</v>
      </c>
      <c r="L130" s="2">
        <v>30</v>
      </c>
      <c r="M130" s="2"/>
      <c r="N130" s="2"/>
      <c r="O130" s="2"/>
      <c r="P130" s="2"/>
      <c r="Q130" s="2"/>
      <c r="R130" s="2"/>
      <c r="S130" s="2"/>
      <c r="T130" s="26">
        <f>K130/K129</f>
        <v>25299999.999999996</v>
      </c>
      <c r="U130" s="79">
        <f t="shared" ref="U130:U141" si="11">LN(T130/I130)/(0.667*LN(2))</f>
        <v>17.431558867269917</v>
      </c>
      <c r="V130" s="2"/>
    </row>
    <row r="131" spans="1:22" x14ac:dyDescent="0.3">
      <c r="A131" s="22">
        <v>44111</v>
      </c>
      <c r="B131" s="5">
        <v>2</v>
      </c>
      <c r="C131" s="2">
        <v>33</v>
      </c>
      <c r="D131" s="8" t="s">
        <v>185</v>
      </c>
      <c r="E131" s="2"/>
      <c r="F131" s="2">
        <v>69</v>
      </c>
      <c r="G131" s="26">
        <v>0.01</v>
      </c>
      <c r="H131" s="2"/>
      <c r="I131" s="26">
        <f t="shared" si="10"/>
        <v>6900</v>
      </c>
      <c r="J131" s="2"/>
      <c r="K131" s="2"/>
      <c r="L131" s="2">
        <v>89</v>
      </c>
      <c r="M131" s="2"/>
      <c r="N131" s="2"/>
      <c r="O131" s="2"/>
      <c r="P131" s="2"/>
      <c r="Q131" s="2"/>
      <c r="R131" s="2"/>
      <c r="S131" s="2"/>
      <c r="T131" s="26">
        <f>L131/L129</f>
        <v>89000000</v>
      </c>
      <c r="U131" s="79">
        <f t="shared" si="11"/>
        <v>20.472145957627703</v>
      </c>
      <c r="V131" s="2"/>
    </row>
    <row r="132" spans="1:22" x14ac:dyDescent="0.3">
      <c r="A132" s="22">
        <v>44111</v>
      </c>
      <c r="B132" s="5">
        <v>3</v>
      </c>
      <c r="C132" s="2">
        <v>1</v>
      </c>
      <c r="D132" s="2" t="s">
        <v>166</v>
      </c>
      <c r="E132" s="2"/>
      <c r="F132" s="2">
        <v>89</v>
      </c>
      <c r="G132" s="26">
        <v>0.01</v>
      </c>
      <c r="H132" s="2"/>
      <c r="I132" s="26">
        <f t="shared" si="10"/>
        <v>8900</v>
      </c>
      <c r="J132" s="2"/>
      <c r="K132" s="2"/>
      <c r="L132" s="2"/>
      <c r="M132" s="2">
        <v>68</v>
      </c>
      <c r="N132" s="2">
        <v>53</v>
      </c>
      <c r="O132" s="2"/>
      <c r="P132" s="2"/>
      <c r="Q132" s="2"/>
      <c r="R132" s="2"/>
      <c r="S132" s="2"/>
      <c r="T132" s="26">
        <f>N132/N129</f>
        <v>106000000</v>
      </c>
      <c r="U132" s="79">
        <f t="shared" si="11"/>
        <v>20.299699255091831</v>
      </c>
      <c r="V132" s="2"/>
    </row>
    <row r="133" spans="1:22" x14ac:dyDescent="0.3">
      <c r="A133" s="22">
        <v>44111</v>
      </c>
      <c r="B133" s="5">
        <v>4</v>
      </c>
      <c r="C133" s="2">
        <v>37</v>
      </c>
      <c r="D133" s="10" t="s">
        <v>228</v>
      </c>
      <c r="E133" s="2"/>
      <c r="F133" s="2">
        <v>167</v>
      </c>
      <c r="G133" s="26">
        <v>0.01</v>
      </c>
      <c r="H133" s="2"/>
      <c r="I133" s="26">
        <f t="shared" si="10"/>
        <v>16700</v>
      </c>
      <c r="J133" s="2"/>
      <c r="K133" s="2"/>
      <c r="L133" s="2">
        <v>71</v>
      </c>
      <c r="M133" s="2"/>
      <c r="N133" s="2"/>
      <c r="O133" s="2"/>
      <c r="P133" s="2"/>
      <c r="Q133" s="2"/>
      <c r="R133" s="2"/>
      <c r="S133" s="2"/>
      <c r="T133" s="26">
        <f>L133/L129</f>
        <v>71000000</v>
      </c>
      <c r="U133" s="79">
        <f t="shared" si="11"/>
        <v>18.071597011364439</v>
      </c>
      <c r="V133" s="2"/>
    </row>
    <row r="134" spans="1:22" x14ac:dyDescent="0.3">
      <c r="A134" s="22">
        <v>44111</v>
      </c>
      <c r="B134" s="5">
        <v>5</v>
      </c>
      <c r="C134" s="2">
        <v>38</v>
      </c>
      <c r="D134" s="10" t="s">
        <v>229</v>
      </c>
      <c r="E134" s="2"/>
      <c r="F134" s="2">
        <v>115</v>
      </c>
      <c r="G134" s="26">
        <v>0.01</v>
      </c>
      <c r="H134" s="2"/>
      <c r="I134" s="26">
        <f t="shared" si="10"/>
        <v>11500</v>
      </c>
      <c r="J134" s="2"/>
      <c r="K134" s="2"/>
      <c r="L134" s="2">
        <v>73</v>
      </c>
      <c r="M134" s="2"/>
      <c r="N134" s="2"/>
      <c r="O134" s="2"/>
      <c r="P134" s="2"/>
      <c r="Q134" s="2"/>
      <c r="R134" s="2"/>
      <c r="S134" s="2"/>
      <c r="T134" s="26">
        <f>L134/L129</f>
        <v>73000000</v>
      </c>
      <c r="U134" s="79">
        <f t="shared" si="11"/>
        <v>18.938601030712281</v>
      </c>
      <c r="V134" s="2"/>
    </row>
    <row r="135" spans="1:22" x14ac:dyDescent="0.3">
      <c r="A135" s="22">
        <v>44111</v>
      </c>
      <c r="B135" s="5">
        <v>6</v>
      </c>
      <c r="C135" s="2">
        <v>39</v>
      </c>
      <c r="D135" s="10" t="s">
        <v>230</v>
      </c>
      <c r="E135" s="2"/>
      <c r="F135" s="2">
        <v>170</v>
      </c>
      <c r="G135" s="26">
        <v>0.01</v>
      </c>
      <c r="H135" s="2"/>
      <c r="I135" s="26">
        <f t="shared" si="10"/>
        <v>17000</v>
      </c>
      <c r="J135" s="2"/>
      <c r="K135" s="2"/>
      <c r="L135" s="2">
        <v>66</v>
      </c>
      <c r="M135" s="2"/>
      <c r="N135" s="2"/>
      <c r="O135" s="2"/>
      <c r="P135" s="2"/>
      <c r="Q135" s="2"/>
      <c r="R135" s="2"/>
      <c r="S135" s="2"/>
      <c r="T135" s="26">
        <f>L135/L129</f>
        <v>66000000</v>
      </c>
      <c r="U135" s="79">
        <f t="shared" si="11"/>
        <v>17.875135776267168</v>
      </c>
      <c r="V135" s="2"/>
    </row>
    <row r="136" spans="1:22" x14ac:dyDescent="0.3">
      <c r="A136" s="22">
        <v>44111</v>
      </c>
      <c r="B136" s="5">
        <v>7</v>
      </c>
      <c r="C136" s="2">
        <v>40</v>
      </c>
      <c r="D136" s="8" t="s">
        <v>231</v>
      </c>
      <c r="E136" s="2"/>
      <c r="F136" s="2">
        <v>131</v>
      </c>
      <c r="G136" s="26">
        <v>0.01</v>
      </c>
      <c r="H136" s="2"/>
      <c r="I136" s="26">
        <f t="shared" si="10"/>
        <v>13100</v>
      </c>
      <c r="J136" s="2"/>
      <c r="K136" s="2">
        <v>281</v>
      </c>
      <c r="L136" s="2">
        <v>27</v>
      </c>
      <c r="M136" s="2"/>
      <c r="N136" s="2"/>
      <c r="O136" s="2"/>
      <c r="P136" s="2"/>
      <c r="Q136" s="2"/>
      <c r="R136" s="2"/>
      <c r="S136" s="2"/>
      <c r="T136" s="26">
        <f>L136/L129</f>
        <v>27000000</v>
      </c>
      <c r="U136" s="79">
        <f t="shared" si="11"/>
        <v>16.505512563981213</v>
      </c>
      <c r="V136" s="2"/>
    </row>
    <row r="137" spans="1:22" x14ac:dyDescent="0.3">
      <c r="A137" s="22">
        <v>44111</v>
      </c>
      <c r="B137" s="5">
        <v>8</v>
      </c>
      <c r="C137" s="2">
        <v>41</v>
      </c>
      <c r="D137" s="8" t="s">
        <v>232</v>
      </c>
      <c r="E137" s="2"/>
      <c r="F137" s="2">
        <v>122</v>
      </c>
      <c r="G137" s="26">
        <v>0.01</v>
      </c>
      <c r="H137" s="2"/>
      <c r="I137" s="26">
        <f t="shared" si="10"/>
        <v>12200</v>
      </c>
      <c r="J137" s="2"/>
      <c r="K137" s="2">
        <v>236</v>
      </c>
      <c r="L137" s="2">
        <v>22</v>
      </c>
      <c r="M137" s="2"/>
      <c r="N137" s="2"/>
      <c r="O137" s="2"/>
      <c r="P137" s="2"/>
      <c r="Q137" s="2"/>
      <c r="R137" s="2"/>
      <c r="S137" s="2"/>
      <c r="T137" s="26">
        <f>K137/K129</f>
        <v>23599999.999999996</v>
      </c>
      <c r="U137" s="79">
        <f t="shared" si="11"/>
        <v>16.368350819281922</v>
      </c>
      <c r="V137" s="2" t="s">
        <v>241</v>
      </c>
    </row>
    <row r="138" spans="1:22" x14ac:dyDescent="0.3">
      <c r="A138" s="22">
        <v>44111</v>
      </c>
      <c r="B138" s="5">
        <v>9</v>
      </c>
      <c r="C138" s="2">
        <v>42</v>
      </c>
      <c r="D138" s="8" t="s">
        <v>233</v>
      </c>
      <c r="E138" s="2"/>
      <c r="F138" s="2">
        <v>128</v>
      </c>
      <c r="G138" s="26">
        <v>0.1</v>
      </c>
      <c r="H138" s="2"/>
      <c r="I138" s="26">
        <f t="shared" si="10"/>
        <v>1280</v>
      </c>
      <c r="J138" s="2"/>
      <c r="K138" s="2">
        <v>125</v>
      </c>
      <c r="L138" s="2"/>
      <c r="M138" s="2"/>
      <c r="N138" s="2"/>
      <c r="O138" s="2"/>
      <c r="P138" s="2"/>
      <c r="Q138" s="2"/>
      <c r="R138" s="2"/>
      <c r="S138" s="2"/>
      <c r="T138" s="26">
        <f>K138/K129</f>
        <v>12499999.999999998</v>
      </c>
      <c r="U138" s="79">
        <f t="shared" si="11"/>
        <v>19.870309841396605</v>
      </c>
      <c r="V138" s="2"/>
    </row>
    <row r="139" spans="1:22" x14ac:dyDescent="0.3">
      <c r="A139" s="22">
        <v>44111</v>
      </c>
      <c r="B139" s="5">
        <v>10</v>
      </c>
      <c r="C139" s="2">
        <v>43</v>
      </c>
      <c r="D139" s="8" t="s">
        <v>234</v>
      </c>
      <c r="E139" s="2"/>
      <c r="F139" s="2">
        <v>85</v>
      </c>
      <c r="G139" s="26">
        <v>0.01</v>
      </c>
      <c r="H139" s="2"/>
      <c r="I139" s="26">
        <f t="shared" si="10"/>
        <v>8500</v>
      </c>
      <c r="J139" s="2"/>
      <c r="K139" s="69">
        <v>0</v>
      </c>
      <c r="L139" s="2"/>
      <c r="M139" s="2"/>
      <c r="N139" s="2"/>
      <c r="O139" s="2"/>
      <c r="P139" s="2"/>
      <c r="Q139" s="2"/>
      <c r="R139" s="2"/>
      <c r="S139" s="2"/>
      <c r="T139" s="26">
        <f>N139/N129</f>
        <v>0</v>
      </c>
      <c r="U139" s="79" t="e">
        <f t="shared" si="11"/>
        <v>#NUM!</v>
      </c>
      <c r="V139" s="2" t="s">
        <v>239</v>
      </c>
    </row>
    <row r="140" spans="1:22" x14ac:dyDescent="0.3">
      <c r="A140" s="22">
        <v>44111</v>
      </c>
      <c r="B140" s="5">
        <v>11</v>
      </c>
      <c r="C140" s="2">
        <v>44</v>
      </c>
      <c r="D140" s="8" t="s">
        <v>235</v>
      </c>
      <c r="E140" s="2"/>
      <c r="F140" s="2">
        <v>89</v>
      </c>
      <c r="G140" s="26">
        <v>0.01</v>
      </c>
      <c r="H140" s="2"/>
      <c r="I140" s="26">
        <f t="shared" si="10"/>
        <v>8900</v>
      </c>
      <c r="J140" s="2"/>
      <c r="K140" s="69">
        <v>5</v>
      </c>
      <c r="L140" s="2"/>
      <c r="M140" s="2"/>
      <c r="N140" s="2"/>
      <c r="O140" s="2"/>
      <c r="P140" s="2"/>
      <c r="Q140" s="2"/>
      <c r="R140" s="2"/>
      <c r="S140" s="2"/>
      <c r="T140" s="26">
        <f>K140/K129</f>
        <v>499999.99999999994</v>
      </c>
      <c r="U140" s="79">
        <f t="shared" si="11"/>
        <v>8.7136116170660447</v>
      </c>
      <c r="V140" s="2" t="s">
        <v>239</v>
      </c>
    </row>
    <row r="141" spans="1:22" ht="15" thickBot="1" x14ac:dyDescent="0.35">
      <c r="A141" s="51">
        <v>44111</v>
      </c>
      <c r="B141" s="71">
        <v>12</v>
      </c>
      <c r="C141" s="53">
        <v>45</v>
      </c>
      <c r="D141" s="68" t="s">
        <v>236</v>
      </c>
      <c r="E141" s="53"/>
      <c r="F141" s="53">
        <v>122</v>
      </c>
      <c r="G141" s="54">
        <v>0.01</v>
      </c>
      <c r="H141" s="53"/>
      <c r="I141" s="54">
        <f t="shared" si="10"/>
        <v>12200</v>
      </c>
      <c r="J141" s="53"/>
      <c r="K141" s="72">
        <v>28</v>
      </c>
      <c r="L141" s="53"/>
      <c r="M141" s="53"/>
      <c r="N141" s="53"/>
      <c r="O141" s="53"/>
      <c r="P141" s="53"/>
      <c r="Q141" s="53"/>
      <c r="R141" s="53"/>
      <c r="S141" s="53"/>
      <c r="T141" s="54">
        <f>K141/K129</f>
        <v>2800000</v>
      </c>
      <c r="U141" s="80">
        <f t="shared" si="11"/>
        <v>11.757723941764326</v>
      </c>
      <c r="V141" s="53" t="s">
        <v>240</v>
      </c>
    </row>
    <row r="142" spans="1:22" x14ac:dyDescent="0.3">
      <c r="A142" s="41"/>
      <c r="B142" s="41"/>
      <c r="C142" s="41"/>
      <c r="D142" s="41"/>
      <c r="E142" s="41"/>
      <c r="F142" s="41"/>
      <c r="G142" s="41"/>
      <c r="H142" s="41"/>
      <c r="I142" s="49"/>
      <c r="J142" s="55">
        <v>1E-3</v>
      </c>
      <c r="K142" s="55">
        <v>5.0000000000000001E-4</v>
      </c>
      <c r="L142" s="67">
        <v>2.0000000000000001E-4</v>
      </c>
      <c r="M142" s="55">
        <v>1E-4</v>
      </c>
      <c r="N142" s="55">
        <v>5.0000000000000002E-5</v>
      </c>
      <c r="O142" s="55">
        <v>1.0000000000000001E-5</v>
      </c>
      <c r="P142" s="67">
        <v>5.0000000000000004E-6</v>
      </c>
      <c r="Q142" s="55">
        <v>1.9999999999999999E-6</v>
      </c>
      <c r="R142" s="55">
        <v>9.9999999999999995E-7</v>
      </c>
      <c r="S142" s="55">
        <v>7.9999999999999996E-7</v>
      </c>
      <c r="T142" s="41"/>
      <c r="U142" s="49"/>
      <c r="V142" s="41"/>
    </row>
    <row r="143" spans="1:22" x14ac:dyDescent="0.3">
      <c r="A143" s="22">
        <v>44112</v>
      </c>
      <c r="B143" s="5">
        <v>1</v>
      </c>
      <c r="C143" s="2">
        <v>33</v>
      </c>
      <c r="D143" s="8" t="s">
        <v>185</v>
      </c>
      <c r="E143" s="2"/>
      <c r="F143" s="2">
        <v>82</v>
      </c>
      <c r="G143" s="26">
        <v>0.01</v>
      </c>
      <c r="H143" s="2"/>
      <c r="I143" s="26">
        <f t="shared" ref="I143:I154" si="12">F143/G143</f>
        <v>8200</v>
      </c>
      <c r="J143" s="2"/>
      <c r="K143" s="2"/>
      <c r="L143" s="2"/>
      <c r="M143" s="2"/>
      <c r="N143" s="2"/>
      <c r="O143" s="2"/>
      <c r="P143" s="2"/>
      <c r="Q143" s="2"/>
      <c r="R143" s="2">
        <v>112</v>
      </c>
      <c r="S143" s="2"/>
      <c r="T143" s="26">
        <f>R143/R142</f>
        <v>112000000</v>
      </c>
      <c r="U143" s="79">
        <f t="shared" ref="U143:U154" si="13">LN(T143/I143)/(0.667*LN(2))</f>
        <v>20.595974958004454</v>
      </c>
      <c r="V143" s="2"/>
    </row>
    <row r="144" spans="1:22" x14ac:dyDescent="0.3">
      <c r="A144" s="22">
        <v>44112</v>
      </c>
      <c r="B144" s="5">
        <v>2</v>
      </c>
      <c r="C144" s="2">
        <v>40</v>
      </c>
      <c r="D144" s="8" t="s">
        <v>231</v>
      </c>
      <c r="E144" s="2"/>
      <c r="F144" s="2">
        <v>75</v>
      </c>
      <c r="G144" s="26">
        <v>0.01</v>
      </c>
      <c r="H144" s="2"/>
      <c r="I144" s="26">
        <f t="shared" si="12"/>
        <v>7500</v>
      </c>
      <c r="J144" s="2"/>
      <c r="K144" s="2"/>
      <c r="L144" s="2"/>
      <c r="M144" s="2"/>
      <c r="N144" s="2"/>
      <c r="O144" s="2"/>
      <c r="P144" s="2">
        <v>196</v>
      </c>
      <c r="Q144" s="2"/>
      <c r="R144" s="2"/>
      <c r="S144" s="2"/>
      <c r="T144" s="26">
        <f>P144/P142</f>
        <v>39200000</v>
      </c>
      <c r="U144" s="79">
        <f t="shared" si="13"/>
        <v>18.518254030406919</v>
      </c>
      <c r="V144" s="2"/>
    </row>
    <row r="145" spans="1:22" x14ac:dyDescent="0.3">
      <c r="A145" s="22">
        <v>44112</v>
      </c>
      <c r="B145" s="5">
        <v>3</v>
      </c>
      <c r="C145" s="2">
        <v>43</v>
      </c>
      <c r="D145" s="8" t="s">
        <v>234</v>
      </c>
      <c r="E145" s="2"/>
      <c r="F145" s="2">
        <v>94</v>
      </c>
      <c r="G145" s="26">
        <v>0.01</v>
      </c>
      <c r="H145" s="2"/>
      <c r="I145" s="26">
        <f t="shared" si="12"/>
        <v>9400</v>
      </c>
      <c r="J145" s="2"/>
      <c r="K145" s="2"/>
      <c r="L145" s="2"/>
      <c r="M145" s="2">
        <v>128</v>
      </c>
      <c r="N145" s="2"/>
      <c r="O145" s="2"/>
      <c r="P145" s="2"/>
      <c r="Q145" s="2"/>
      <c r="R145" s="2"/>
      <c r="S145" s="2"/>
      <c r="T145" s="26">
        <f>M145/M142</f>
        <v>1280000</v>
      </c>
      <c r="U145" s="79">
        <f t="shared" si="13"/>
        <v>10.628586713788737</v>
      </c>
      <c r="V145" s="2"/>
    </row>
    <row r="146" spans="1:22" x14ac:dyDescent="0.3">
      <c r="A146" s="22">
        <v>44112</v>
      </c>
      <c r="B146" s="5">
        <v>4</v>
      </c>
      <c r="C146" s="2">
        <v>38</v>
      </c>
      <c r="D146" s="10" t="s">
        <v>229</v>
      </c>
      <c r="E146" s="2"/>
      <c r="F146" s="2">
        <v>79</v>
      </c>
      <c r="G146" s="26">
        <v>0.01</v>
      </c>
      <c r="H146" s="2"/>
      <c r="I146" s="26">
        <f t="shared" si="12"/>
        <v>7900</v>
      </c>
      <c r="J146" s="2"/>
      <c r="K146" s="2"/>
      <c r="L146" s="2"/>
      <c r="M146" s="2"/>
      <c r="N146" s="2"/>
      <c r="O146" s="2"/>
      <c r="P146" s="2"/>
      <c r="Q146" s="2">
        <v>304</v>
      </c>
      <c r="R146" s="2"/>
      <c r="S146" s="2"/>
      <c r="T146" s="26">
        <f>Q146/Q142</f>
        <v>152000000</v>
      </c>
      <c r="U146" s="79">
        <f t="shared" si="13"/>
        <v>21.337120157145325</v>
      </c>
      <c r="V146" s="2"/>
    </row>
    <row r="147" spans="1:22" x14ac:dyDescent="0.3">
      <c r="A147" s="22">
        <v>44112</v>
      </c>
      <c r="B147" s="5">
        <v>5</v>
      </c>
      <c r="C147" s="2">
        <v>37</v>
      </c>
      <c r="D147" s="10" t="s">
        <v>228</v>
      </c>
      <c r="E147" s="2"/>
      <c r="F147" s="2">
        <v>100</v>
      </c>
      <c r="G147" s="26">
        <v>0.01</v>
      </c>
      <c r="H147" s="2"/>
      <c r="I147" s="26">
        <f t="shared" si="12"/>
        <v>10000</v>
      </c>
      <c r="J147" s="2"/>
      <c r="K147" s="2"/>
      <c r="L147" s="2"/>
      <c r="M147" s="2"/>
      <c r="N147" s="2"/>
      <c r="O147" s="2"/>
      <c r="P147" s="2"/>
      <c r="Q147" s="2">
        <v>115</v>
      </c>
      <c r="R147" s="2"/>
      <c r="S147" s="2"/>
      <c r="T147" s="26">
        <f>Q147/Q142</f>
        <v>57500000</v>
      </c>
      <c r="U147" s="79">
        <f t="shared" si="13"/>
        <v>18.724657032562369</v>
      </c>
      <c r="V147" s="2"/>
    </row>
    <row r="148" spans="1:22" x14ac:dyDescent="0.3">
      <c r="A148" s="22">
        <v>44112</v>
      </c>
      <c r="B148" s="5">
        <v>6</v>
      </c>
      <c r="C148" s="2">
        <v>45</v>
      </c>
      <c r="D148" s="8" t="s">
        <v>236</v>
      </c>
      <c r="E148" s="2"/>
      <c r="F148" s="2">
        <v>73</v>
      </c>
      <c r="G148" s="26">
        <v>0.01</v>
      </c>
      <c r="H148" s="2"/>
      <c r="I148" s="26">
        <f t="shared" si="12"/>
        <v>7300</v>
      </c>
      <c r="J148" s="2"/>
      <c r="K148" s="2"/>
      <c r="L148" s="2"/>
      <c r="M148" s="2"/>
      <c r="N148" s="69">
        <v>194</v>
      </c>
      <c r="O148" s="2"/>
      <c r="P148" s="2"/>
      <c r="Q148" s="2"/>
      <c r="R148" s="2"/>
      <c r="S148" s="2"/>
      <c r="T148" s="26">
        <f>N148/N142</f>
        <v>3880000</v>
      </c>
      <c r="U148" s="79">
        <f t="shared" si="13"/>
        <v>13.574129644800353</v>
      </c>
      <c r="V148" s="69" t="s">
        <v>263</v>
      </c>
    </row>
    <row r="149" spans="1:22" x14ac:dyDescent="0.3">
      <c r="A149" s="22">
        <v>44112</v>
      </c>
      <c r="B149" s="5">
        <v>7</v>
      </c>
      <c r="C149" s="2">
        <v>1</v>
      </c>
      <c r="D149" s="2" t="s">
        <v>166</v>
      </c>
      <c r="E149" s="2"/>
      <c r="F149" s="2">
        <v>72</v>
      </c>
      <c r="G149" s="26">
        <v>0.01</v>
      </c>
      <c r="H149" s="2"/>
      <c r="I149" s="26">
        <f t="shared" si="12"/>
        <v>7200</v>
      </c>
      <c r="J149" s="2"/>
      <c r="K149" s="2"/>
      <c r="L149" s="2"/>
      <c r="M149" s="2"/>
      <c r="N149" s="2"/>
      <c r="O149" s="2"/>
      <c r="P149" s="2"/>
      <c r="Q149" s="2"/>
      <c r="R149" s="2"/>
      <c r="S149" s="69">
        <v>160</v>
      </c>
      <c r="T149" s="26">
        <f>S149/S142</f>
        <v>200000000</v>
      </c>
      <c r="U149" s="79">
        <f t="shared" si="13"/>
        <v>22.131399651996794</v>
      </c>
      <c r="V149" s="69" t="s">
        <v>264</v>
      </c>
    </row>
    <row r="150" spans="1:22" x14ac:dyDescent="0.3">
      <c r="A150" s="22">
        <v>44112</v>
      </c>
      <c r="B150" s="5">
        <v>8</v>
      </c>
      <c r="C150" s="2">
        <v>42</v>
      </c>
      <c r="D150" s="8" t="s">
        <v>233</v>
      </c>
      <c r="E150" s="2"/>
      <c r="F150" s="2">
        <v>80</v>
      </c>
      <c r="G150" s="26">
        <v>0.01</v>
      </c>
      <c r="H150" s="2"/>
      <c r="I150" s="26">
        <f t="shared" si="12"/>
        <v>8000</v>
      </c>
      <c r="J150" s="2"/>
      <c r="K150" s="2"/>
      <c r="L150" s="2"/>
      <c r="M150" s="2"/>
      <c r="N150" s="2"/>
      <c r="O150" s="2">
        <v>170</v>
      </c>
      <c r="P150" s="2"/>
      <c r="Q150" s="2"/>
      <c r="R150" s="2"/>
      <c r="S150" s="2"/>
      <c r="T150" s="26">
        <f>O150/O142</f>
        <v>17000000</v>
      </c>
      <c r="U150" s="79">
        <f t="shared" si="13"/>
        <v>16.571584896420429</v>
      </c>
      <c r="V150" t="s">
        <v>265</v>
      </c>
    </row>
    <row r="151" spans="1:22" x14ac:dyDescent="0.3">
      <c r="A151" s="22">
        <v>44112</v>
      </c>
      <c r="B151" s="5">
        <v>9</v>
      </c>
      <c r="C151" s="2">
        <v>44</v>
      </c>
      <c r="D151" s="8" t="s">
        <v>235</v>
      </c>
      <c r="E151" s="2"/>
      <c r="F151" s="2">
        <v>95</v>
      </c>
      <c r="G151" s="26">
        <v>0.1</v>
      </c>
      <c r="H151" s="2"/>
      <c r="I151" s="26">
        <f t="shared" si="12"/>
        <v>950</v>
      </c>
      <c r="J151" s="2"/>
      <c r="K151" s="2"/>
      <c r="L151" s="2">
        <v>263</v>
      </c>
      <c r="M151" s="2"/>
      <c r="N151" s="2"/>
      <c r="O151" s="2"/>
      <c r="P151" s="2"/>
      <c r="Q151" s="2"/>
      <c r="R151" s="2"/>
      <c r="S151" s="2"/>
      <c r="T151" s="26">
        <f>L151/L142</f>
        <v>1315000</v>
      </c>
      <c r="U151" s="79">
        <f t="shared" si="13"/>
        <v>15.644449273798264</v>
      </c>
      <c r="V151" s="2"/>
    </row>
    <row r="152" spans="1:22" x14ac:dyDescent="0.3">
      <c r="A152" s="22">
        <v>44112</v>
      </c>
      <c r="B152" s="5">
        <v>10</v>
      </c>
      <c r="C152" s="2">
        <v>39</v>
      </c>
      <c r="D152" s="10" t="s">
        <v>230</v>
      </c>
      <c r="E152" s="2"/>
      <c r="F152" s="2">
        <v>81</v>
      </c>
      <c r="G152" s="26">
        <v>0.01</v>
      </c>
      <c r="H152" s="2"/>
      <c r="I152" s="26">
        <f t="shared" si="12"/>
        <v>8100</v>
      </c>
      <c r="J152" s="2"/>
      <c r="K152" s="83"/>
      <c r="L152" s="2"/>
      <c r="M152" s="2"/>
      <c r="N152" s="2"/>
      <c r="O152" s="2"/>
      <c r="P152" s="2"/>
      <c r="Q152" s="2">
        <v>180</v>
      </c>
      <c r="R152" s="2"/>
      <c r="S152" s="2"/>
      <c r="T152" s="26">
        <f>Q152/Q142</f>
        <v>90000000</v>
      </c>
      <c r="U152" s="79">
        <f t="shared" si="13"/>
        <v>20.149498460261619</v>
      </c>
      <c r="V152" s="2"/>
    </row>
    <row r="153" spans="1:22" x14ac:dyDescent="0.3">
      <c r="A153" s="22">
        <v>44112</v>
      </c>
      <c r="B153" s="5">
        <v>11</v>
      </c>
      <c r="C153" s="2">
        <v>32</v>
      </c>
      <c r="D153" s="8" t="s">
        <v>184</v>
      </c>
      <c r="E153" s="2"/>
      <c r="F153" s="69" t="s">
        <v>199</v>
      </c>
      <c r="G153" s="26">
        <v>0.01</v>
      </c>
      <c r="H153" s="2"/>
      <c r="I153" s="26" t="e">
        <f t="shared" si="12"/>
        <v>#VALUE!</v>
      </c>
      <c r="J153" s="2"/>
      <c r="K153" s="83"/>
      <c r="L153" s="2"/>
      <c r="M153" s="2"/>
      <c r="N153" s="2"/>
      <c r="O153" s="2"/>
      <c r="P153" s="69" t="s">
        <v>199</v>
      </c>
      <c r="Q153" s="2"/>
      <c r="R153" s="2"/>
      <c r="S153" s="2"/>
      <c r="T153" s="26">
        <f>K153/J142</f>
        <v>0</v>
      </c>
      <c r="U153" s="79" t="e">
        <f t="shared" si="13"/>
        <v>#VALUE!</v>
      </c>
      <c r="V153" s="2"/>
    </row>
    <row r="154" spans="1:22" ht="15" thickBot="1" x14ac:dyDescent="0.35">
      <c r="A154" s="51">
        <v>44112</v>
      </c>
      <c r="B154" s="71">
        <v>12</v>
      </c>
      <c r="C154" s="53">
        <v>41</v>
      </c>
      <c r="D154" s="68" t="s">
        <v>232</v>
      </c>
      <c r="E154" s="53"/>
      <c r="F154" s="53">
        <v>108</v>
      </c>
      <c r="G154" s="54">
        <v>0.01</v>
      </c>
      <c r="H154" s="53"/>
      <c r="I154" s="54">
        <f t="shared" si="12"/>
        <v>10800</v>
      </c>
      <c r="J154" s="53"/>
      <c r="K154" s="56"/>
      <c r="L154" s="53"/>
      <c r="M154" s="53"/>
      <c r="N154" s="53"/>
      <c r="O154" s="53"/>
      <c r="P154" s="53">
        <v>139</v>
      </c>
      <c r="Q154" s="53"/>
      <c r="R154" s="53"/>
      <c r="S154" s="53"/>
      <c r="T154" s="54">
        <f>P154/P142</f>
        <v>27799999.999999996</v>
      </c>
      <c r="U154" s="80">
        <f t="shared" si="13"/>
        <v>16.986263651007686</v>
      </c>
      <c r="V154" s="53"/>
    </row>
    <row r="155" spans="1:22" x14ac:dyDescent="0.3">
      <c r="A155" s="41"/>
      <c r="B155" s="41"/>
      <c r="C155" s="41"/>
      <c r="D155" s="41"/>
      <c r="E155" s="41"/>
      <c r="F155" s="41"/>
      <c r="G155" s="41"/>
      <c r="H155" s="41"/>
      <c r="I155" s="49"/>
      <c r="J155" s="55"/>
      <c r="K155" s="55"/>
      <c r="L155" s="67">
        <v>2.0000000000000001E-4</v>
      </c>
      <c r="M155" s="55">
        <v>1E-4</v>
      </c>
      <c r="N155" s="55">
        <v>4.0000000000000003E-5</v>
      </c>
      <c r="O155" s="55">
        <v>1.0000000000000001E-5</v>
      </c>
      <c r="P155" s="67">
        <v>5.0000000000000004E-6</v>
      </c>
      <c r="Q155" s="55">
        <v>1.9999999999999999E-6</v>
      </c>
      <c r="R155" s="55">
        <v>9.9999999999999995E-7</v>
      </c>
      <c r="S155" s="55">
        <v>7.9999999999999996E-7</v>
      </c>
      <c r="T155" s="41"/>
      <c r="U155" s="49"/>
      <c r="V155" s="41"/>
    </row>
    <row r="156" spans="1:22" x14ac:dyDescent="0.3">
      <c r="A156" s="22">
        <v>44113</v>
      </c>
      <c r="B156" s="5">
        <v>1</v>
      </c>
      <c r="C156" s="2">
        <v>1</v>
      </c>
      <c r="D156" s="2" t="s">
        <v>166</v>
      </c>
      <c r="E156" s="2"/>
      <c r="F156" s="2">
        <v>89</v>
      </c>
      <c r="G156" s="26">
        <v>0.01</v>
      </c>
      <c r="H156" s="2"/>
      <c r="I156" s="26">
        <f t="shared" ref="I156:I167" si="14">F156/G156</f>
        <v>8900</v>
      </c>
      <c r="J156" s="2"/>
      <c r="K156" s="2"/>
      <c r="L156" s="2"/>
      <c r="M156" s="2"/>
      <c r="N156" s="2"/>
      <c r="O156" s="2"/>
      <c r="P156" s="2"/>
      <c r="Q156" s="2"/>
      <c r="R156" s="2"/>
      <c r="S156" s="2">
        <v>103</v>
      </c>
      <c r="T156" s="26">
        <f>S156/S155</f>
        <v>128750000</v>
      </c>
      <c r="U156" s="79">
        <f t="shared" ref="U156:U167" si="15">LN(T156/I156)/(0.667*LN(2))</f>
        <v>20.720251230365268</v>
      </c>
      <c r="V156" s="2"/>
    </row>
    <row r="157" spans="1:22" x14ac:dyDescent="0.3">
      <c r="A157" s="22">
        <v>44113</v>
      </c>
      <c r="B157" s="5">
        <v>2</v>
      </c>
      <c r="C157" s="2">
        <v>42</v>
      </c>
      <c r="D157" s="8" t="s">
        <v>233</v>
      </c>
      <c r="E157" s="2"/>
      <c r="F157" s="2">
        <v>96</v>
      </c>
      <c r="G157" s="26">
        <v>0.01</v>
      </c>
      <c r="H157" s="2"/>
      <c r="I157" s="26">
        <f t="shared" si="14"/>
        <v>9600</v>
      </c>
      <c r="J157" s="2"/>
      <c r="K157" s="2"/>
      <c r="L157" s="2"/>
      <c r="M157" s="2"/>
      <c r="N157" s="2"/>
      <c r="O157" s="2">
        <v>162</v>
      </c>
      <c r="P157" s="2"/>
      <c r="Q157" s="2"/>
      <c r="R157" s="2"/>
      <c r="S157" s="2"/>
      <c r="T157" s="26">
        <f>O157/O155</f>
        <v>16199999.999999998</v>
      </c>
      <c r="U157" s="79">
        <f t="shared" si="15"/>
        <v>16.072971194641013</v>
      </c>
      <c r="V157" s="2"/>
    </row>
    <row r="158" spans="1:22" x14ac:dyDescent="0.3">
      <c r="A158" s="22">
        <v>44113</v>
      </c>
      <c r="B158" s="5">
        <v>3</v>
      </c>
      <c r="C158" s="2">
        <v>37</v>
      </c>
      <c r="D158" s="10" t="s">
        <v>228</v>
      </c>
      <c r="E158" s="2"/>
      <c r="F158" s="2">
        <v>93</v>
      </c>
      <c r="G158" s="26">
        <v>0.01</v>
      </c>
      <c r="H158" s="2"/>
      <c r="I158" s="26">
        <f t="shared" si="14"/>
        <v>9300</v>
      </c>
      <c r="J158" s="2"/>
      <c r="K158" s="2"/>
      <c r="L158" s="2"/>
      <c r="M158" s="2"/>
      <c r="N158" s="2"/>
      <c r="O158" s="2"/>
      <c r="P158" s="2"/>
      <c r="Q158" s="2">
        <v>179</v>
      </c>
      <c r="R158" s="2"/>
      <c r="S158" s="2"/>
      <c r="T158" s="26">
        <f>Q158/Q155</f>
        <v>89500000</v>
      </c>
      <c r="U158" s="79">
        <f t="shared" si="15"/>
        <v>19.838634701207909</v>
      </c>
      <c r="V158" s="2"/>
    </row>
    <row r="159" spans="1:22" x14ac:dyDescent="0.3">
      <c r="A159" s="22">
        <v>44113</v>
      </c>
      <c r="B159" s="5">
        <v>4</v>
      </c>
      <c r="C159" s="2">
        <v>43</v>
      </c>
      <c r="D159" s="8" t="s">
        <v>234</v>
      </c>
      <c r="E159" s="2"/>
      <c r="F159" s="2">
        <v>112</v>
      </c>
      <c r="G159" s="26">
        <v>0.01</v>
      </c>
      <c r="H159" s="2"/>
      <c r="I159" s="26">
        <f t="shared" si="14"/>
        <v>11200</v>
      </c>
      <c r="J159" s="2"/>
      <c r="K159" s="2"/>
      <c r="L159" s="2"/>
      <c r="M159" s="2">
        <v>94</v>
      </c>
      <c r="N159" s="2"/>
      <c r="O159" s="2"/>
      <c r="P159" s="2"/>
      <c r="Q159" s="2"/>
      <c r="R159" s="2"/>
      <c r="S159" s="2"/>
      <c r="T159" s="26">
        <f>M159/M155</f>
        <v>940000</v>
      </c>
      <c r="U159" s="79">
        <f t="shared" si="15"/>
        <v>9.5818442569636542</v>
      </c>
      <c r="V159" s="2"/>
    </row>
    <row r="160" spans="1:22" x14ac:dyDescent="0.3">
      <c r="A160" s="22">
        <v>44113</v>
      </c>
      <c r="B160" s="5">
        <v>5</v>
      </c>
      <c r="C160" s="2">
        <v>44</v>
      </c>
      <c r="D160" s="8" t="s">
        <v>235</v>
      </c>
      <c r="E160" s="2"/>
      <c r="F160" s="2">
        <v>95</v>
      </c>
      <c r="G160" s="26">
        <v>0.01</v>
      </c>
      <c r="H160" s="2"/>
      <c r="I160" s="26">
        <f t="shared" si="14"/>
        <v>9500</v>
      </c>
      <c r="J160" s="2"/>
      <c r="K160" s="2"/>
      <c r="L160" s="2">
        <v>265</v>
      </c>
      <c r="M160" s="2"/>
      <c r="N160" s="2"/>
      <c r="O160" s="2"/>
      <c r="P160" s="2"/>
      <c r="Q160" s="2"/>
      <c r="R160" s="2"/>
      <c r="S160" s="2"/>
      <c r="T160" s="26">
        <f>L160/L155</f>
        <v>1325000</v>
      </c>
      <c r="U160" s="79">
        <f t="shared" si="15"/>
        <v>10.680433479601707</v>
      </c>
      <c r="V160" s="2"/>
    </row>
    <row r="161" spans="1:22" x14ac:dyDescent="0.3">
      <c r="A161" s="22">
        <v>44113</v>
      </c>
      <c r="B161" s="5">
        <v>6</v>
      </c>
      <c r="C161" s="2">
        <v>38</v>
      </c>
      <c r="D161" s="10" t="s">
        <v>229</v>
      </c>
      <c r="E161" s="2"/>
      <c r="F161" s="2">
        <v>70</v>
      </c>
      <c r="G161" s="26">
        <v>0.01</v>
      </c>
      <c r="H161" s="2"/>
      <c r="I161" s="26">
        <f t="shared" si="14"/>
        <v>7000</v>
      </c>
      <c r="J161" s="2"/>
      <c r="K161" s="2"/>
      <c r="L161" s="2"/>
      <c r="M161" s="2"/>
      <c r="N161" s="83"/>
      <c r="O161" s="83"/>
      <c r="P161" s="83"/>
      <c r="Q161" s="83"/>
      <c r="R161" s="83">
        <v>194</v>
      </c>
      <c r="S161" s="83"/>
      <c r="T161" s="85">
        <f>R161/R155</f>
        <v>194000000</v>
      </c>
      <c r="U161" s="86">
        <f t="shared" si="15"/>
        <v>22.126450082146341</v>
      </c>
      <c r="V161" s="83"/>
    </row>
    <row r="162" spans="1:22" x14ac:dyDescent="0.3">
      <c r="A162" s="22">
        <v>44113</v>
      </c>
      <c r="B162" s="5">
        <v>7</v>
      </c>
      <c r="C162" s="2">
        <v>45</v>
      </c>
      <c r="D162" s="8" t="s">
        <v>236</v>
      </c>
      <c r="E162" s="2"/>
      <c r="F162" s="2">
        <v>95</v>
      </c>
      <c r="G162" s="26">
        <v>0.01</v>
      </c>
      <c r="H162" s="2"/>
      <c r="I162" s="26">
        <f t="shared" si="14"/>
        <v>9500</v>
      </c>
      <c r="J162" s="2"/>
      <c r="K162" s="2"/>
      <c r="L162" s="2"/>
      <c r="M162" s="2"/>
      <c r="N162" s="83">
        <v>205</v>
      </c>
      <c r="O162" s="83"/>
      <c r="P162" s="83"/>
      <c r="Q162" s="83"/>
      <c r="R162" s="83"/>
      <c r="S162" s="83"/>
      <c r="T162" s="85">
        <f>N162/N155</f>
        <v>5125000</v>
      </c>
      <c r="U162" s="86">
        <f t="shared" si="15"/>
        <v>13.606310008750503</v>
      </c>
      <c r="V162" s="83"/>
    </row>
    <row r="163" spans="1:22" x14ac:dyDescent="0.3">
      <c r="A163" s="22">
        <v>44113</v>
      </c>
      <c r="B163" s="5">
        <v>8</v>
      </c>
      <c r="C163" s="2">
        <v>33</v>
      </c>
      <c r="D163" s="8" t="s">
        <v>185</v>
      </c>
      <c r="E163" s="2"/>
      <c r="F163" s="2">
        <v>83</v>
      </c>
      <c r="G163" s="26">
        <v>0.01</v>
      </c>
      <c r="H163" s="2"/>
      <c r="I163" s="26">
        <f t="shared" si="14"/>
        <v>8300</v>
      </c>
      <c r="J163" s="2"/>
      <c r="K163" s="2"/>
      <c r="L163" s="2"/>
      <c r="M163" s="2"/>
      <c r="N163" s="83"/>
      <c r="O163" s="83"/>
      <c r="P163" s="83"/>
      <c r="Q163" s="83"/>
      <c r="R163" s="83">
        <v>194</v>
      </c>
      <c r="S163" s="83"/>
      <c r="T163" s="85">
        <f>R163/R155</f>
        <v>194000000</v>
      </c>
      <c r="U163" s="86">
        <f t="shared" si="15"/>
        <v>21.757999685741609</v>
      </c>
      <c r="V163" s="87"/>
    </row>
    <row r="164" spans="1:22" x14ac:dyDescent="0.3">
      <c r="A164" s="22">
        <v>44113</v>
      </c>
      <c r="B164" s="5">
        <v>9</v>
      </c>
      <c r="C164" s="2">
        <v>40</v>
      </c>
      <c r="D164" s="8" t="s">
        <v>231</v>
      </c>
      <c r="E164" s="2"/>
      <c r="F164" s="2">
        <v>103</v>
      </c>
      <c r="G164" s="26">
        <v>0.1</v>
      </c>
      <c r="H164" s="2"/>
      <c r="I164" s="26">
        <f t="shared" si="14"/>
        <v>1030</v>
      </c>
      <c r="J164" s="2"/>
      <c r="K164" s="2"/>
      <c r="L164" s="2"/>
      <c r="M164" s="2"/>
      <c r="N164" s="83"/>
      <c r="O164" s="83"/>
      <c r="P164" s="83">
        <v>231</v>
      </c>
      <c r="Q164" s="83"/>
      <c r="R164" s="83"/>
      <c r="S164" s="83"/>
      <c r="T164" s="85">
        <f>P164/P155</f>
        <v>46199999.999999993</v>
      </c>
      <c r="U164" s="86">
        <f t="shared" si="15"/>
        <v>23.16785741196745</v>
      </c>
      <c r="V164" s="83"/>
    </row>
    <row r="165" spans="1:22" x14ac:dyDescent="0.3">
      <c r="A165" s="22">
        <v>44113</v>
      </c>
      <c r="B165" s="5">
        <v>10</v>
      </c>
      <c r="C165" s="2">
        <v>39</v>
      </c>
      <c r="D165" s="10" t="s">
        <v>230</v>
      </c>
      <c r="E165" s="2"/>
      <c r="F165" s="2">
        <v>85</v>
      </c>
      <c r="G165" s="26">
        <v>0.01</v>
      </c>
      <c r="H165" s="2"/>
      <c r="I165" s="26">
        <f t="shared" si="14"/>
        <v>8500</v>
      </c>
      <c r="J165" s="2"/>
      <c r="K165" s="83"/>
      <c r="L165" s="2"/>
      <c r="M165" s="2"/>
      <c r="N165" s="83"/>
      <c r="O165" s="83"/>
      <c r="P165" s="83"/>
      <c r="Q165" s="83">
        <v>227</v>
      </c>
      <c r="R165" s="83"/>
      <c r="S165" s="83"/>
      <c r="T165" s="85">
        <f>Q165/Q155</f>
        <v>113500000</v>
      </c>
      <c r="U165" s="86">
        <f t="shared" si="15"/>
        <v>20.547031380363812</v>
      </c>
      <c r="V165" s="83"/>
    </row>
    <row r="166" spans="1:22" x14ac:dyDescent="0.3">
      <c r="A166" s="22">
        <v>44113</v>
      </c>
      <c r="B166" s="5">
        <v>11</v>
      </c>
      <c r="C166" s="39">
        <v>41</v>
      </c>
      <c r="D166" s="84" t="s">
        <v>232</v>
      </c>
      <c r="E166" s="2"/>
      <c r="F166" s="83">
        <v>100</v>
      </c>
      <c r="G166" s="26">
        <v>0.01</v>
      </c>
      <c r="H166" s="2"/>
      <c r="I166" s="26">
        <f t="shared" si="14"/>
        <v>10000</v>
      </c>
      <c r="J166" s="2"/>
      <c r="K166" s="83"/>
      <c r="L166" s="2"/>
      <c r="M166" s="2"/>
      <c r="N166" s="83"/>
      <c r="O166" s="83"/>
      <c r="P166" s="83">
        <v>151</v>
      </c>
      <c r="Q166" s="83"/>
      <c r="R166" s="83"/>
      <c r="S166" s="83"/>
      <c r="T166" s="85">
        <f>P166/P155</f>
        <v>30199999.999999996</v>
      </c>
      <c r="U166" s="86">
        <f t="shared" si="15"/>
        <v>17.331833334651336</v>
      </c>
      <c r="V166" s="83"/>
    </row>
    <row r="167" spans="1:22" ht="15" thickBot="1" x14ac:dyDescent="0.35">
      <c r="A167" s="22">
        <v>44113</v>
      </c>
      <c r="B167" s="71">
        <v>12</v>
      </c>
      <c r="C167" s="53">
        <v>32</v>
      </c>
      <c r="D167" s="68" t="s">
        <v>184</v>
      </c>
      <c r="E167" s="53"/>
      <c r="F167" s="53">
        <v>111</v>
      </c>
      <c r="G167" s="54">
        <v>0.01</v>
      </c>
      <c r="H167" s="53"/>
      <c r="I167" s="54">
        <f t="shared" si="14"/>
        <v>11100</v>
      </c>
      <c r="J167" s="53"/>
      <c r="K167" s="56"/>
      <c r="L167" s="53"/>
      <c r="M167" s="53"/>
      <c r="N167" s="56"/>
      <c r="O167" s="56"/>
      <c r="P167" s="56">
        <v>233</v>
      </c>
      <c r="Q167" s="56"/>
      <c r="R167" s="56"/>
      <c r="S167" s="56"/>
      <c r="T167" s="88">
        <f>P167/P155</f>
        <v>46599999.999999993</v>
      </c>
      <c r="U167" s="89">
        <f t="shared" si="15"/>
        <v>18.044309689604589</v>
      </c>
      <c r="V167" s="56"/>
    </row>
    <row r="168" spans="1:22" x14ac:dyDescent="0.3">
      <c r="A168" s="41"/>
      <c r="B168" s="41"/>
      <c r="C168" s="41"/>
      <c r="D168" s="41"/>
      <c r="E168" s="41"/>
      <c r="F168" s="41"/>
      <c r="G168" s="41"/>
      <c r="H168" s="41"/>
      <c r="I168" s="49"/>
      <c r="J168" s="55"/>
      <c r="K168" s="55"/>
      <c r="L168" s="55">
        <v>1E-4</v>
      </c>
      <c r="M168" s="67">
        <v>2.0000000000000002E-5</v>
      </c>
      <c r="N168" s="55">
        <v>6.0000000000000002E-6</v>
      </c>
      <c r="O168" s="55">
        <v>3.9999999999999998E-6</v>
      </c>
      <c r="P168" s="55">
        <v>1.9999999999999999E-6</v>
      </c>
      <c r="Q168" s="55">
        <v>9.9999999999999995E-7</v>
      </c>
      <c r="R168" s="55">
        <v>7.9999999999999996E-7</v>
      </c>
      <c r="S168" s="67">
        <v>4.9999999999999998E-7</v>
      </c>
      <c r="T168" s="41"/>
      <c r="U168" s="49"/>
      <c r="V168" s="41"/>
    </row>
    <row r="169" spans="1:22" x14ac:dyDescent="0.3">
      <c r="A169" s="22">
        <v>44117</v>
      </c>
      <c r="B169" s="5">
        <v>1</v>
      </c>
      <c r="C169" s="2">
        <v>32</v>
      </c>
      <c r="D169" s="8" t="s">
        <v>184</v>
      </c>
      <c r="E169" s="2"/>
      <c r="F169" s="2">
        <v>110</v>
      </c>
      <c r="G169" s="26">
        <v>0.01</v>
      </c>
      <c r="H169" s="2"/>
      <c r="I169" s="26">
        <f t="shared" ref="I169:I180" si="16">F169/G169</f>
        <v>11000</v>
      </c>
      <c r="J169" s="2"/>
      <c r="K169" s="2"/>
      <c r="L169" s="2"/>
      <c r="M169" s="2"/>
      <c r="N169" s="2"/>
      <c r="O169" s="2"/>
      <c r="P169" s="2">
        <v>200</v>
      </c>
      <c r="Q169" s="2"/>
      <c r="R169" s="2"/>
      <c r="S169" s="2"/>
      <c r="T169" s="26">
        <f>P169/P168</f>
        <v>100000000</v>
      </c>
      <c r="U169" s="79">
        <f t="shared" ref="U169:U180" si="17">LN(T169/I169)/(0.667*LN(2))</f>
        <v>19.715455555921313</v>
      </c>
      <c r="V169" s="2"/>
    </row>
    <row r="170" spans="1:22" x14ac:dyDescent="0.3">
      <c r="A170" s="22">
        <v>44117</v>
      </c>
      <c r="B170" s="5">
        <v>2</v>
      </c>
      <c r="C170" s="2">
        <v>42</v>
      </c>
      <c r="D170" s="8" t="s">
        <v>233</v>
      </c>
      <c r="E170" s="2"/>
      <c r="F170" s="2">
        <v>102</v>
      </c>
      <c r="G170" s="26">
        <v>0.01</v>
      </c>
      <c r="H170" s="2"/>
      <c r="I170" s="26">
        <f t="shared" si="16"/>
        <v>10200</v>
      </c>
      <c r="J170" s="2"/>
      <c r="K170" s="2"/>
      <c r="L170" s="2"/>
      <c r="M170" s="2"/>
      <c r="N170" s="2">
        <v>77</v>
      </c>
      <c r="O170" s="2"/>
      <c r="P170" s="2"/>
      <c r="Q170" s="2"/>
      <c r="R170" s="2"/>
      <c r="S170" s="2"/>
      <c r="T170" s="26">
        <f>N170/N168</f>
        <v>12833333.333333332</v>
      </c>
      <c r="U170" s="79">
        <f t="shared" si="17"/>
        <v>15.437947642506296</v>
      </c>
      <c r="V170" s="2"/>
    </row>
    <row r="171" spans="1:22" x14ac:dyDescent="0.3">
      <c r="A171" s="22">
        <v>44117</v>
      </c>
      <c r="B171" s="5">
        <v>3</v>
      </c>
      <c r="C171" s="2">
        <v>38</v>
      </c>
      <c r="D171" s="10" t="s">
        <v>229</v>
      </c>
      <c r="E171" s="2"/>
      <c r="F171" s="2">
        <v>88</v>
      </c>
      <c r="G171" s="26">
        <v>0.01</v>
      </c>
      <c r="H171" s="2"/>
      <c r="I171" s="26">
        <f t="shared" si="16"/>
        <v>8800</v>
      </c>
      <c r="J171" s="2"/>
      <c r="K171" s="2"/>
      <c r="L171" s="2"/>
      <c r="M171" s="2"/>
      <c r="N171" s="2"/>
      <c r="O171" s="2"/>
      <c r="P171" s="2"/>
      <c r="Q171" s="2"/>
      <c r="R171" s="2"/>
      <c r="S171" s="2">
        <v>51</v>
      </c>
      <c r="T171" s="26">
        <f>S171/S168</f>
        <v>102000000</v>
      </c>
      <c r="U171" s="79">
        <f t="shared" si="17"/>
        <v>20.240938684982979</v>
      </c>
      <c r="V171" s="2"/>
    </row>
    <row r="172" spans="1:22" x14ac:dyDescent="0.3">
      <c r="A172" s="22">
        <v>44117</v>
      </c>
      <c r="B172" s="5">
        <v>4</v>
      </c>
      <c r="C172" s="2">
        <v>45</v>
      </c>
      <c r="D172" s="8" t="s">
        <v>236</v>
      </c>
      <c r="E172" s="2"/>
      <c r="F172" s="2">
        <v>74</v>
      </c>
      <c r="G172" s="26">
        <v>0.01</v>
      </c>
      <c r="H172" s="2"/>
      <c r="I172" s="26">
        <f t="shared" si="16"/>
        <v>7400</v>
      </c>
      <c r="J172" s="2"/>
      <c r="K172" s="2"/>
      <c r="L172" s="2"/>
      <c r="M172" s="2">
        <v>87</v>
      </c>
      <c r="N172" s="2"/>
      <c r="O172" s="2"/>
      <c r="P172" s="2"/>
      <c r="Q172" s="2"/>
      <c r="R172" s="2"/>
      <c r="S172" s="2"/>
      <c r="T172" s="26">
        <f>M172/M168</f>
        <v>4350000</v>
      </c>
      <c r="U172" s="79">
        <f t="shared" si="17"/>
        <v>13.792015614515542</v>
      </c>
      <c r="V172" s="2"/>
    </row>
    <row r="173" spans="1:22" x14ac:dyDescent="0.3">
      <c r="A173" s="22">
        <v>44117</v>
      </c>
      <c r="B173" s="5">
        <v>5</v>
      </c>
      <c r="C173" s="2">
        <v>33</v>
      </c>
      <c r="D173" s="8" t="s">
        <v>185</v>
      </c>
      <c r="E173" s="2"/>
      <c r="F173" s="2">
        <v>75</v>
      </c>
      <c r="G173" s="26">
        <v>0.01</v>
      </c>
      <c r="H173" s="2"/>
      <c r="I173" s="26">
        <f t="shared" si="16"/>
        <v>7500</v>
      </c>
      <c r="J173" s="2"/>
      <c r="K173" s="2"/>
      <c r="L173" s="2"/>
      <c r="M173" s="2"/>
      <c r="N173" s="2"/>
      <c r="O173" s="2"/>
      <c r="P173" s="2"/>
      <c r="Q173" s="2"/>
      <c r="R173" s="2"/>
      <c r="S173" s="2">
        <v>40</v>
      </c>
      <c r="T173" s="26">
        <f>S173/S168</f>
        <v>80000000</v>
      </c>
      <c r="U173" s="79">
        <f t="shared" si="17"/>
        <v>20.061202074873961</v>
      </c>
      <c r="V173" s="2"/>
    </row>
    <row r="174" spans="1:22" x14ac:dyDescent="0.3">
      <c r="A174" s="22">
        <v>44117</v>
      </c>
      <c r="B174" s="5">
        <v>6</v>
      </c>
      <c r="C174" s="2">
        <v>37</v>
      </c>
      <c r="D174" s="10" t="s">
        <v>228</v>
      </c>
      <c r="E174" s="2"/>
      <c r="F174" s="2">
        <v>98</v>
      </c>
      <c r="G174" s="26">
        <v>0.01</v>
      </c>
      <c r="H174" s="2"/>
      <c r="I174" s="26">
        <f t="shared" si="16"/>
        <v>9800</v>
      </c>
      <c r="J174" s="2"/>
      <c r="K174" s="2"/>
      <c r="L174" s="2"/>
      <c r="M174" s="2"/>
      <c r="N174" s="83"/>
      <c r="O174" s="83"/>
      <c r="P174" s="83"/>
      <c r="Q174" s="83">
        <v>56</v>
      </c>
      <c r="R174" s="83"/>
      <c r="S174" s="83"/>
      <c r="T174" s="85">
        <f>Q174/Q168</f>
        <v>56000000</v>
      </c>
      <c r="U174" s="86">
        <f t="shared" si="17"/>
        <v>18.711180595939801</v>
      </c>
      <c r="V174" s="83"/>
    </row>
    <row r="175" spans="1:22" x14ac:dyDescent="0.3">
      <c r="A175" s="22">
        <v>44117</v>
      </c>
      <c r="B175" s="5">
        <v>7</v>
      </c>
      <c r="C175" s="2">
        <v>41</v>
      </c>
      <c r="D175" s="8" t="s">
        <v>232</v>
      </c>
      <c r="E175" s="2"/>
      <c r="F175" s="2">
        <v>105</v>
      </c>
      <c r="G175" s="26">
        <v>0.01</v>
      </c>
      <c r="H175" s="2"/>
      <c r="I175" s="26">
        <f t="shared" si="16"/>
        <v>10500</v>
      </c>
      <c r="J175" s="2"/>
      <c r="K175" s="2"/>
      <c r="L175" s="2"/>
      <c r="M175" s="2"/>
      <c r="N175" s="83"/>
      <c r="O175" s="83">
        <v>62</v>
      </c>
      <c r="P175" s="83"/>
      <c r="Q175" s="83"/>
      <c r="R175" s="83"/>
      <c r="S175" s="83"/>
      <c r="T175" s="85">
        <f>O175/O168</f>
        <v>15500000</v>
      </c>
      <c r="U175" s="86">
        <f t="shared" si="17"/>
        <v>15.78360295692684</v>
      </c>
      <c r="V175" s="83"/>
    </row>
    <row r="176" spans="1:22" x14ac:dyDescent="0.3">
      <c r="A176" s="22">
        <v>44117</v>
      </c>
      <c r="B176" s="5">
        <v>8</v>
      </c>
      <c r="C176" s="2">
        <v>1</v>
      </c>
      <c r="D176" s="2" t="s">
        <v>166</v>
      </c>
      <c r="E176" s="2"/>
      <c r="F176" s="2">
        <v>98</v>
      </c>
      <c r="G176" s="26">
        <v>0.01</v>
      </c>
      <c r="H176" s="2"/>
      <c r="I176" s="26">
        <f t="shared" si="16"/>
        <v>9800</v>
      </c>
      <c r="J176" s="2"/>
      <c r="K176" s="2"/>
      <c r="L176" s="2"/>
      <c r="M176" s="2"/>
      <c r="N176" s="83"/>
      <c r="O176" s="83"/>
      <c r="P176" s="83"/>
      <c r="Q176" s="83"/>
      <c r="R176" s="83">
        <v>73</v>
      </c>
      <c r="S176" s="83"/>
      <c r="T176" s="85">
        <f>R176/R168</f>
        <v>91250000</v>
      </c>
      <c r="U176" s="86">
        <f t="shared" si="17"/>
        <v>19.767249159222818</v>
      </c>
      <c r="V176" s="83"/>
    </row>
    <row r="177" spans="1:22" x14ac:dyDescent="0.3">
      <c r="A177" s="22">
        <v>44117</v>
      </c>
      <c r="B177" s="5">
        <v>9</v>
      </c>
      <c r="C177" s="2">
        <v>40</v>
      </c>
      <c r="D177" s="8" t="s">
        <v>231</v>
      </c>
      <c r="E177" s="2"/>
      <c r="F177" s="2">
        <v>80</v>
      </c>
      <c r="G177" s="26">
        <v>0.1</v>
      </c>
      <c r="H177" s="2"/>
      <c r="I177" s="26">
        <f t="shared" si="16"/>
        <v>800</v>
      </c>
      <c r="J177" s="2"/>
      <c r="K177" s="2"/>
      <c r="L177" s="2"/>
      <c r="M177" s="2"/>
      <c r="N177" s="83"/>
      <c r="O177" s="83"/>
      <c r="P177" s="69">
        <v>29</v>
      </c>
      <c r="Q177" s="83"/>
      <c r="R177" s="83"/>
      <c r="S177" s="83"/>
      <c r="T177" s="85">
        <f>P177/P168</f>
        <v>14500000</v>
      </c>
      <c r="U177" s="91">
        <f t="shared" si="17"/>
        <v>21.207936093968549</v>
      </c>
      <c r="V177" s="83"/>
    </row>
    <row r="178" spans="1:22" x14ac:dyDescent="0.3">
      <c r="A178" s="22">
        <v>44117</v>
      </c>
      <c r="B178" s="5">
        <v>10</v>
      </c>
      <c r="C178" s="2">
        <v>39</v>
      </c>
      <c r="D178" s="10" t="s">
        <v>230</v>
      </c>
      <c r="E178" s="2"/>
      <c r="F178" s="2">
        <v>102</v>
      </c>
      <c r="G178" s="26">
        <v>0.01</v>
      </c>
      <c r="H178" s="2"/>
      <c r="I178" s="26">
        <f t="shared" si="16"/>
        <v>10200</v>
      </c>
      <c r="J178" s="2"/>
      <c r="K178" s="83"/>
      <c r="L178" s="2"/>
      <c r="M178" s="2"/>
      <c r="N178" s="83"/>
      <c r="O178" s="83"/>
      <c r="P178" s="83"/>
      <c r="Q178" s="83">
        <v>33</v>
      </c>
      <c r="R178" s="83"/>
      <c r="S178" s="83"/>
      <c r="T178" s="85">
        <f>Q178/Q168</f>
        <v>33000000</v>
      </c>
      <c r="U178" s="86">
        <f t="shared" si="17"/>
        <v>17.480781344732247</v>
      </c>
      <c r="V178" s="83"/>
    </row>
    <row r="179" spans="1:22" x14ac:dyDescent="0.3">
      <c r="A179" s="22">
        <v>44117</v>
      </c>
      <c r="B179" s="5">
        <v>11</v>
      </c>
      <c r="C179" s="2">
        <v>43</v>
      </c>
      <c r="D179" s="8" t="s">
        <v>234</v>
      </c>
      <c r="E179" s="2"/>
      <c r="F179" s="83">
        <v>81</v>
      </c>
      <c r="G179" s="26">
        <v>0.01</v>
      </c>
      <c r="H179" s="2"/>
      <c r="I179" s="26">
        <f t="shared" si="16"/>
        <v>8100</v>
      </c>
      <c r="J179" s="2"/>
      <c r="K179" s="83"/>
      <c r="L179" s="69">
        <v>28</v>
      </c>
      <c r="M179" s="2"/>
      <c r="N179" s="83"/>
      <c r="O179" s="83"/>
      <c r="P179" s="83"/>
      <c r="Q179" s="83"/>
      <c r="R179" s="83"/>
      <c r="S179" s="83"/>
      <c r="T179" s="85">
        <f>L179/L168</f>
        <v>280000</v>
      </c>
      <c r="U179" s="91">
        <f t="shared" si="17"/>
        <v>7.6632100583923597</v>
      </c>
      <c r="V179" s="83"/>
    </row>
    <row r="180" spans="1:22" ht="15" thickBot="1" x14ac:dyDescent="0.35">
      <c r="A180" s="51">
        <v>44117</v>
      </c>
      <c r="B180" s="71">
        <v>12</v>
      </c>
      <c r="C180" s="53">
        <v>44</v>
      </c>
      <c r="D180" s="68" t="s">
        <v>235</v>
      </c>
      <c r="E180" s="53"/>
      <c r="F180" s="53">
        <v>83</v>
      </c>
      <c r="G180" s="54">
        <v>0.01</v>
      </c>
      <c r="H180" s="53"/>
      <c r="I180" s="54">
        <f t="shared" si="16"/>
        <v>8300</v>
      </c>
      <c r="J180" s="53"/>
      <c r="K180" s="56"/>
      <c r="L180" s="53">
        <v>53</v>
      </c>
      <c r="M180" s="53"/>
      <c r="N180" s="56"/>
      <c r="O180" s="56"/>
      <c r="P180" s="56"/>
      <c r="Q180" s="56"/>
      <c r="R180" s="56"/>
      <c r="S180" s="56"/>
      <c r="T180" s="88">
        <f>L180/L168</f>
        <v>530000</v>
      </c>
      <c r="U180" s="89">
        <f t="shared" si="17"/>
        <v>8.9906105142293828</v>
      </c>
      <c r="V180" s="56"/>
    </row>
    <row r="181" spans="1:22" x14ac:dyDescent="0.3">
      <c r="A181" s="48"/>
      <c r="B181" s="41"/>
      <c r="C181" s="41"/>
      <c r="D181" s="41"/>
      <c r="E181" s="41"/>
      <c r="F181" s="41"/>
      <c r="G181" s="41"/>
      <c r="H181" s="41"/>
      <c r="I181" s="49"/>
      <c r="J181" s="55"/>
      <c r="K181" s="55"/>
      <c r="L181" s="55">
        <v>3.0000000000000001E-3</v>
      </c>
      <c r="M181" s="67">
        <v>5.0000000000000002E-5</v>
      </c>
      <c r="N181" s="55">
        <v>1.0000000000000001E-5</v>
      </c>
      <c r="O181" s="55">
        <v>3.9999999999999998E-6</v>
      </c>
      <c r="P181" s="55">
        <v>9.9999999999999995E-7</v>
      </c>
      <c r="Q181" s="55">
        <v>7.9999999999999996E-7</v>
      </c>
      <c r="R181" s="55">
        <v>5.9999999999999997E-7</v>
      </c>
      <c r="S181" s="67">
        <v>9.9999999999999995E-8</v>
      </c>
      <c r="T181" s="41"/>
      <c r="U181" s="49"/>
      <c r="V181" s="41"/>
    </row>
    <row r="182" spans="1:22" x14ac:dyDescent="0.3">
      <c r="A182" s="48">
        <v>44119</v>
      </c>
      <c r="B182" s="5">
        <v>1</v>
      </c>
      <c r="C182" s="4">
        <v>48</v>
      </c>
      <c r="D182" s="2" t="s">
        <v>244</v>
      </c>
      <c r="E182" s="2"/>
      <c r="F182" s="2">
        <v>117</v>
      </c>
      <c r="G182" s="26">
        <v>0.01</v>
      </c>
      <c r="H182" s="2"/>
      <c r="I182" s="26">
        <f t="shared" ref="I182:I196" si="18">F182/G182</f>
        <v>11700</v>
      </c>
      <c r="J182" s="2"/>
      <c r="K182" s="2"/>
      <c r="L182" s="2"/>
      <c r="M182" s="2"/>
      <c r="N182" s="2">
        <v>194</v>
      </c>
      <c r="O182" s="2"/>
      <c r="P182" s="2"/>
      <c r="Q182" s="2"/>
      <c r="R182" s="2"/>
      <c r="S182" s="2"/>
      <c r="T182" s="26">
        <f>N182/N181</f>
        <v>19400000</v>
      </c>
      <c r="U182" s="79">
        <f t="shared" ref="U182:U196" si="19">LN(T182/I182)/(0.667*LN(2))</f>
        <v>16.034981120338546</v>
      </c>
      <c r="V182" s="2"/>
    </row>
    <row r="183" spans="1:22" x14ac:dyDescent="0.3">
      <c r="A183" s="48">
        <v>44119</v>
      </c>
      <c r="B183" s="5">
        <v>2</v>
      </c>
      <c r="C183" s="4">
        <v>66</v>
      </c>
      <c r="D183" s="97" t="s">
        <v>262</v>
      </c>
      <c r="E183" s="2"/>
      <c r="F183" s="2">
        <v>121</v>
      </c>
      <c r="G183" s="26">
        <v>0.01</v>
      </c>
      <c r="H183" s="2"/>
      <c r="I183" s="26">
        <f t="shared" si="18"/>
        <v>12100</v>
      </c>
      <c r="J183" s="2"/>
      <c r="K183" s="2"/>
      <c r="L183" s="2"/>
      <c r="M183" s="2"/>
      <c r="N183" s="2"/>
      <c r="O183" s="2"/>
      <c r="P183" s="2">
        <v>39</v>
      </c>
      <c r="Q183" s="2"/>
      <c r="R183" s="2"/>
      <c r="S183" s="2"/>
      <c r="T183" s="26">
        <f>P183/P181</f>
        <v>39000000</v>
      </c>
      <c r="U183" s="79">
        <f t="shared" si="19"/>
        <v>17.47264072134498</v>
      </c>
      <c r="V183" s="2"/>
    </row>
    <row r="184" spans="1:22" x14ac:dyDescent="0.3">
      <c r="A184" s="48">
        <v>44119</v>
      </c>
      <c r="B184" s="5">
        <v>3</v>
      </c>
      <c r="C184" s="4">
        <v>50</v>
      </c>
      <c r="D184" s="2" t="s">
        <v>246</v>
      </c>
      <c r="E184" s="2"/>
      <c r="F184" s="2">
        <v>90</v>
      </c>
      <c r="G184" s="26">
        <v>0.01</v>
      </c>
      <c r="H184" s="2"/>
      <c r="I184" s="26">
        <f t="shared" si="18"/>
        <v>9000</v>
      </c>
      <c r="J184" s="2"/>
      <c r="K184" s="2"/>
      <c r="L184" s="2"/>
      <c r="M184" s="2"/>
      <c r="N184" s="2"/>
      <c r="O184" s="2"/>
      <c r="P184" s="69">
        <v>172</v>
      </c>
      <c r="Q184" s="2"/>
      <c r="R184" s="2"/>
      <c r="S184" s="2"/>
      <c r="T184" s="26">
        <f>P184/P181</f>
        <v>172000000</v>
      </c>
      <c r="U184" s="79">
        <f t="shared" si="19"/>
        <v>21.322524794485567</v>
      </c>
      <c r="V184" s="2" t="s">
        <v>273</v>
      </c>
    </row>
    <row r="185" spans="1:22" x14ac:dyDescent="0.3">
      <c r="A185" s="48">
        <v>44119</v>
      </c>
      <c r="B185" s="5">
        <v>4</v>
      </c>
      <c r="C185" s="4">
        <v>63</v>
      </c>
      <c r="D185" s="2" t="s">
        <v>259</v>
      </c>
      <c r="E185" s="2"/>
      <c r="F185" s="2">
        <v>87</v>
      </c>
      <c r="G185" s="26">
        <v>0.01</v>
      </c>
      <c r="H185" s="2"/>
      <c r="I185" s="26">
        <f t="shared" si="18"/>
        <v>8700</v>
      </c>
      <c r="J185" s="2"/>
      <c r="K185" s="2"/>
      <c r="L185" s="2"/>
      <c r="M185" s="2"/>
      <c r="N185" s="2">
        <v>204</v>
      </c>
      <c r="O185" s="2"/>
      <c r="P185" s="2"/>
      <c r="Q185" s="2"/>
      <c r="R185" s="2"/>
      <c r="S185" s="2"/>
      <c r="T185" s="26">
        <f>N185/N181</f>
        <v>20400000</v>
      </c>
      <c r="U185" s="79">
        <f t="shared" si="19"/>
        <v>16.784506942705928</v>
      </c>
      <c r="V185" s="2"/>
    </row>
    <row r="186" spans="1:22" x14ac:dyDescent="0.3">
      <c r="A186" s="48">
        <v>44119</v>
      </c>
      <c r="B186" s="5">
        <v>5</v>
      </c>
      <c r="C186" s="4">
        <v>64</v>
      </c>
      <c r="D186" s="2" t="s">
        <v>260</v>
      </c>
      <c r="E186" s="2"/>
      <c r="F186" s="2">
        <v>114</v>
      </c>
      <c r="G186" s="26">
        <v>0.01</v>
      </c>
      <c r="H186" s="2"/>
      <c r="I186" s="26">
        <f t="shared" si="18"/>
        <v>11400</v>
      </c>
      <c r="J186" s="2"/>
      <c r="K186" s="2"/>
      <c r="L186" s="2"/>
      <c r="M186" s="2"/>
      <c r="N186" s="2"/>
      <c r="O186" s="2"/>
      <c r="P186" s="2">
        <v>203</v>
      </c>
      <c r="Q186" s="2"/>
      <c r="R186" s="2"/>
      <c r="S186" s="2"/>
      <c r="T186" s="26">
        <f>P186/P181</f>
        <v>203000000</v>
      </c>
      <c r="U186" s="79">
        <f t="shared" si="19"/>
        <v>21.169652597556048</v>
      </c>
      <c r="V186" s="2"/>
    </row>
    <row r="187" spans="1:22" x14ac:dyDescent="0.3">
      <c r="A187" s="48">
        <v>44119</v>
      </c>
      <c r="B187" s="5">
        <v>6</v>
      </c>
      <c r="C187" s="4">
        <v>52</v>
      </c>
      <c r="D187" s="2" t="s">
        <v>248</v>
      </c>
      <c r="E187" s="2"/>
      <c r="F187" s="2">
        <v>122</v>
      </c>
      <c r="G187" s="26">
        <v>0.01</v>
      </c>
      <c r="H187" s="2"/>
      <c r="I187" s="26">
        <f t="shared" si="18"/>
        <v>12200</v>
      </c>
      <c r="J187" s="2"/>
      <c r="K187" s="2"/>
      <c r="L187" s="2"/>
      <c r="M187" s="2"/>
      <c r="N187" s="83">
        <v>184</v>
      </c>
      <c r="O187" s="83"/>
      <c r="P187" s="83"/>
      <c r="Q187" s="83"/>
      <c r="R187" s="83"/>
      <c r="S187" s="83"/>
      <c r="T187" s="85">
        <f>N187/N181</f>
        <v>18400000</v>
      </c>
      <c r="U187" s="86">
        <f t="shared" si="19"/>
        <v>15.829998355556542</v>
      </c>
      <c r="V187" s="83"/>
    </row>
    <row r="188" spans="1:22" x14ac:dyDescent="0.3">
      <c r="A188" s="48">
        <v>44119</v>
      </c>
      <c r="B188" s="5">
        <v>7</v>
      </c>
      <c r="C188" s="4">
        <v>9</v>
      </c>
      <c r="D188" s="2" t="s">
        <v>145</v>
      </c>
      <c r="E188" s="2"/>
      <c r="F188" s="2">
        <v>54</v>
      </c>
      <c r="G188" s="26">
        <v>0.01</v>
      </c>
      <c r="H188" s="2"/>
      <c r="I188" s="26">
        <f t="shared" si="18"/>
        <v>5400</v>
      </c>
      <c r="J188" s="2"/>
      <c r="K188" s="2"/>
      <c r="L188" s="2"/>
      <c r="M188" s="2"/>
      <c r="N188" s="83"/>
      <c r="O188" s="83"/>
      <c r="P188" s="83"/>
      <c r="Q188" s="83"/>
      <c r="R188" s="83">
        <v>31</v>
      </c>
      <c r="S188" s="83"/>
      <c r="T188" s="85">
        <f>R188/R181</f>
        <v>51666666.666666672</v>
      </c>
      <c r="U188" s="86">
        <f t="shared" si="19"/>
        <v>19.826067139338925</v>
      </c>
      <c r="V188" s="83"/>
    </row>
    <row r="189" spans="1:22" x14ac:dyDescent="0.3">
      <c r="A189" s="48">
        <v>44119</v>
      </c>
      <c r="B189" s="5">
        <v>8</v>
      </c>
      <c r="C189" s="14">
        <v>65</v>
      </c>
      <c r="D189" s="2" t="s">
        <v>261</v>
      </c>
      <c r="E189" s="2"/>
      <c r="F189" s="2">
        <v>133</v>
      </c>
      <c r="G189" s="26">
        <v>0.01</v>
      </c>
      <c r="H189" s="2"/>
      <c r="I189" s="26">
        <f t="shared" si="18"/>
        <v>13300</v>
      </c>
      <c r="J189" s="2"/>
      <c r="K189" s="2"/>
      <c r="L189" s="83"/>
      <c r="M189" s="83"/>
      <c r="N189" s="83"/>
      <c r="O189" s="83"/>
      <c r="P189" s="83">
        <v>93</v>
      </c>
      <c r="Q189" s="83"/>
      <c r="R189" s="83"/>
      <c r="S189" s="83"/>
      <c r="T189" s="85">
        <f>P189/P181</f>
        <v>93000000</v>
      </c>
      <c r="U189" s="86">
        <f t="shared" si="19"/>
        <v>19.147809228120376</v>
      </c>
      <c r="V189" s="83"/>
    </row>
    <row r="190" spans="1:22" x14ac:dyDescent="0.3">
      <c r="A190" s="48">
        <v>44119</v>
      </c>
      <c r="B190" s="5">
        <v>9</v>
      </c>
      <c r="C190" s="2">
        <v>1</v>
      </c>
      <c r="D190" s="2" t="s">
        <v>166</v>
      </c>
      <c r="E190" s="2"/>
      <c r="F190" s="2">
        <v>74</v>
      </c>
      <c r="G190" s="26">
        <v>0.01</v>
      </c>
      <c r="H190" s="2"/>
      <c r="I190" s="26">
        <f t="shared" si="18"/>
        <v>7400</v>
      </c>
      <c r="J190" s="2"/>
      <c r="K190" s="2"/>
      <c r="L190" s="83"/>
      <c r="M190" s="83"/>
      <c r="N190" s="83"/>
      <c r="O190" s="83"/>
      <c r="P190" s="83"/>
      <c r="Q190" s="83">
        <v>176</v>
      </c>
      <c r="R190" s="83"/>
      <c r="S190" s="83"/>
      <c r="T190" s="85">
        <f>Q190/Q181</f>
        <v>220000000</v>
      </c>
      <c r="U190" s="86">
        <f t="shared" si="19"/>
        <v>22.278288946694396</v>
      </c>
      <c r="V190" s="83"/>
    </row>
    <row r="191" spans="1:22" x14ac:dyDescent="0.3">
      <c r="A191" s="48">
        <v>44119</v>
      </c>
      <c r="B191" s="5">
        <v>10</v>
      </c>
      <c r="C191" s="4">
        <v>47</v>
      </c>
      <c r="D191" s="2" t="s">
        <v>243</v>
      </c>
      <c r="E191" s="2"/>
      <c r="F191" s="2">
        <v>32</v>
      </c>
      <c r="G191" s="26">
        <v>0.01</v>
      </c>
      <c r="H191" s="2"/>
      <c r="I191" s="26">
        <f t="shared" si="18"/>
        <v>3200</v>
      </c>
      <c r="J191" s="2"/>
      <c r="K191" s="83"/>
      <c r="L191" s="83"/>
      <c r="M191" s="83"/>
      <c r="N191" s="83">
        <v>262</v>
      </c>
      <c r="O191" s="83"/>
      <c r="P191" s="83"/>
      <c r="Q191" s="83"/>
      <c r="R191" s="83"/>
      <c r="S191" s="83"/>
      <c r="T191" s="85">
        <f>N191/N181</f>
        <v>26199999.999999996</v>
      </c>
      <c r="U191" s="86">
        <f t="shared" si="19"/>
        <v>19.489066396101254</v>
      </c>
      <c r="V191" s="83"/>
    </row>
    <row r="192" spans="1:22" x14ac:dyDescent="0.3">
      <c r="A192" s="48">
        <v>44119</v>
      </c>
      <c r="B192" s="5">
        <v>11</v>
      </c>
      <c r="C192" s="4">
        <v>46</v>
      </c>
      <c r="D192" s="2" t="s">
        <v>242</v>
      </c>
      <c r="E192" s="2"/>
      <c r="F192" s="83">
        <v>126</v>
      </c>
      <c r="G192" s="26">
        <v>0.01</v>
      </c>
      <c r="H192" s="2"/>
      <c r="I192" s="26">
        <f t="shared" si="18"/>
        <v>12600</v>
      </c>
      <c r="J192" s="2"/>
      <c r="K192" s="83"/>
      <c r="L192" s="83"/>
      <c r="M192" s="83"/>
      <c r="N192" s="69">
        <v>5</v>
      </c>
      <c r="O192" s="83"/>
      <c r="P192" s="83"/>
      <c r="Q192" s="83"/>
      <c r="R192" s="83"/>
      <c r="S192" s="83"/>
      <c r="T192" s="85">
        <f>N192/N181</f>
        <v>499999.99999999994</v>
      </c>
      <c r="U192" s="86">
        <f t="shared" si="19"/>
        <v>7.9616678501492251</v>
      </c>
      <c r="V192" s="83" t="s">
        <v>271</v>
      </c>
    </row>
    <row r="193" spans="1:22" x14ac:dyDescent="0.3">
      <c r="A193" s="48">
        <v>44119</v>
      </c>
      <c r="B193" s="93">
        <v>12</v>
      </c>
      <c r="C193" s="4">
        <v>49</v>
      </c>
      <c r="D193" s="2" t="s">
        <v>245</v>
      </c>
      <c r="E193" s="39"/>
      <c r="F193" s="95">
        <v>345</v>
      </c>
      <c r="G193" s="26">
        <v>0.01</v>
      </c>
      <c r="H193" s="39"/>
      <c r="I193" s="26">
        <f t="shared" si="18"/>
        <v>34500</v>
      </c>
      <c r="J193" s="39"/>
      <c r="K193" s="94"/>
      <c r="L193" s="94"/>
      <c r="M193" s="94"/>
      <c r="N193" s="94"/>
      <c r="O193" s="94"/>
      <c r="P193" s="94">
        <v>286</v>
      </c>
      <c r="Q193" s="94"/>
      <c r="R193" s="94"/>
      <c r="S193" s="94">
        <v>31</v>
      </c>
      <c r="T193" s="96">
        <f>P193/P181</f>
        <v>286000000</v>
      </c>
      <c r="U193" s="86">
        <f t="shared" si="19"/>
        <v>19.51593877760466</v>
      </c>
      <c r="V193" s="94"/>
    </row>
    <row r="194" spans="1:22" x14ac:dyDescent="0.3">
      <c r="A194" s="48">
        <v>44119</v>
      </c>
      <c r="B194" s="93">
        <v>13</v>
      </c>
      <c r="C194" s="4">
        <v>20</v>
      </c>
      <c r="D194" s="8" t="s">
        <v>175</v>
      </c>
      <c r="E194" s="39"/>
      <c r="F194" s="94">
        <v>95</v>
      </c>
      <c r="G194" s="26">
        <v>0.1</v>
      </c>
      <c r="H194" s="39"/>
      <c r="I194" s="26">
        <f t="shared" si="18"/>
        <v>950</v>
      </c>
      <c r="J194" s="39"/>
      <c r="K194" s="94"/>
      <c r="L194" s="94">
        <v>107</v>
      </c>
      <c r="M194" s="94"/>
      <c r="N194" s="94"/>
      <c r="O194" s="94"/>
      <c r="P194" s="94"/>
      <c r="Q194" s="94"/>
      <c r="R194" s="94"/>
      <c r="S194" s="94"/>
      <c r="T194" s="96">
        <f>L194/L181</f>
        <v>35666.666666666664</v>
      </c>
      <c r="U194" s="86">
        <f t="shared" si="19"/>
        <v>7.8418366823444785</v>
      </c>
      <c r="V194" s="94" t="s">
        <v>272</v>
      </c>
    </row>
    <row r="195" spans="1:22" x14ac:dyDescent="0.3">
      <c r="A195" s="48">
        <v>44119</v>
      </c>
      <c r="B195" s="93">
        <v>14</v>
      </c>
      <c r="C195" s="4">
        <v>17</v>
      </c>
      <c r="D195" s="8" t="s">
        <v>172</v>
      </c>
      <c r="E195" s="39"/>
      <c r="F195" s="94">
        <v>121</v>
      </c>
      <c r="G195" s="26">
        <v>0.01</v>
      </c>
      <c r="H195" s="39"/>
      <c r="I195" s="26">
        <f t="shared" si="18"/>
        <v>12100</v>
      </c>
      <c r="J195" s="39"/>
      <c r="K195" s="94"/>
      <c r="L195" s="94"/>
      <c r="M195" s="94">
        <v>72</v>
      </c>
      <c r="N195" s="94"/>
      <c r="O195" s="94"/>
      <c r="P195" s="94"/>
      <c r="Q195" s="94"/>
      <c r="R195" s="94"/>
      <c r="S195" s="94"/>
      <c r="T195" s="96">
        <f>M195/M181</f>
        <v>1440000</v>
      </c>
      <c r="U195" s="86">
        <f t="shared" si="19"/>
        <v>10.337208326750289</v>
      </c>
      <c r="V195" s="94"/>
    </row>
    <row r="196" spans="1:22" ht="15" thickBot="1" x14ac:dyDescent="0.35">
      <c r="A196" s="48">
        <v>44119</v>
      </c>
      <c r="B196" s="71">
        <v>15</v>
      </c>
      <c r="C196" s="52">
        <v>51</v>
      </c>
      <c r="D196" s="53" t="s">
        <v>247</v>
      </c>
      <c r="E196" s="53"/>
      <c r="F196" s="53">
        <v>123</v>
      </c>
      <c r="G196" s="54">
        <v>0.01</v>
      </c>
      <c r="H196" s="53"/>
      <c r="I196" s="54">
        <f t="shared" si="18"/>
        <v>12300</v>
      </c>
      <c r="J196" s="53"/>
      <c r="K196" s="56"/>
      <c r="L196" s="53"/>
      <c r="M196" s="53"/>
      <c r="N196" s="56">
        <v>79</v>
      </c>
      <c r="O196" s="56"/>
      <c r="P196" s="56"/>
      <c r="Q196" s="56"/>
      <c r="R196" s="56"/>
      <c r="S196" s="56"/>
      <c r="T196" s="88">
        <f>N196/N181</f>
        <v>7899999.9999999991</v>
      </c>
      <c r="U196" s="89">
        <f t="shared" si="19"/>
        <v>13.983583999250301</v>
      </c>
      <c r="V196" s="56"/>
    </row>
    <row r="197" spans="1:22" x14ac:dyDescent="0.3">
      <c r="A197" s="48"/>
      <c r="B197" s="41"/>
      <c r="C197" s="41"/>
      <c r="D197" s="41"/>
      <c r="E197" s="41"/>
      <c r="F197" s="41"/>
      <c r="G197" s="41"/>
      <c r="H197" s="41"/>
      <c r="I197" s="49"/>
      <c r="J197" s="55">
        <v>4.0000000000000002E-4</v>
      </c>
      <c r="K197" s="55">
        <v>2.0000000000000001E-4</v>
      </c>
      <c r="L197" s="55">
        <v>1.0000000000000001E-5</v>
      </c>
      <c r="M197" s="55">
        <v>6.9999999999999999E-6</v>
      </c>
      <c r="N197" s="99">
        <v>5.0000000000000004E-6</v>
      </c>
      <c r="O197" s="100">
        <v>3.0000000000000001E-6</v>
      </c>
      <c r="P197" s="100">
        <v>1.9999999999999999E-6</v>
      </c>
      <c r="Q197" s="55">
        <v>9.9999999999999995E-7</v>
      </c>
      <c r="R197" s="55">
        <v>7.9999999999999996E-7</v>
      </c>
      <c r="S197" s="55">
        <v>4.9999999999999998E-7</v>
      </c>
      <c r="T197" s="41"/>
      <c r="U197" s="49"/>
      <c r="V197" s="98"/>
    </row>
    <row r="198" spans="1:22" x14ac:dyDescent="0.3">
      <c r="A198" s="48">
        <v>44120</v>
      </c>
      <c r="B198" s="5">
        <v>1</v>
      </c>
      <c r="C198" s="4">
        <v>51</v>
      </c>
      <c r="D198" s="2" t="s">
        <v>247</v>
      </c>
      <c r="E198" s="2"/>
      <c r="F198" s="2">
        <v>119</v>
      </c>
      <c r="G198" s="26">
        <v>0.01</v>
      </c>
      <c r="H198" s="2"/>
      <c r="I198" s="26">
        <f t="shared" ref="I198:I212" si="20">F198/G198</f>
        <v>11900</v>
      </c>
      <c r="J198" s="2"/>
      <c r="K198" s="2"/>
      <c r="L198" s="2">
        <v>116</v>
      </c>
      <c r="N198" s="2"/>
      <c r="O198" s="2"/>
      <c r="P198" s="2"/>
      <c r="Q198" s="2"/>
      <c r="R198" s="2"/>
      <c r="S198" s="2"/>
      <c r="T198" s="26">
        <f>L198/L197</f>
        <v>11599999.999999998</v>
      </c>
      <c r="U198" s="79">
        <f t="shared" ref="U198:U212" si="21">LN(T198/I198)/(0.667*LN(2))</f>
        <v>14.885978285579785</v>
      </c>
      <c r="V198" s="2"/>
    </row>
    <row r="199" spans="1:22" x14ac:dyDescent="0.3">
      <c r="A199" s="48">
        <v>44120</v>
      </c>
      <c r="B199" s="5">
        <v>2</v>
      </c>
      <c r="C199" s="4">
        <v>46</v>
      </c>
      <c r="D199" s="2" t="s">
        <v>242</v>
      </c>
      <c r="E199" s="2"/>
      <c r="F199" s="2">
        <v>112</v>
      </c>
      <c r="G199" s="26">
        <v>0.01</v>
      </c>
      <c r="H199" s="2"/>
      <c r="I199" s="26">
        <f t="shared" si="20"/>
        <v>11200</v>
      </c>
      <c r="J199" s="2"/>
      <c r="K199" s="2">
        <v>97</v>
      </c>
      <c r="L199" s="2"/>
      <c r="M199" s="83"/>
      <c r="O199" s="83"/>
      <c r="P199" s="83"/>
      <c r="Q199" s="83"/>
      <c r="R199" s="83"/>
      <c r="S199" s="2"/>
      <c r="T199" s="26">
        <f>K199/K197</f>
        <v>485000</v>
      </c>
      <c r="U199" s="79">
        <f t="shared" si="21"/>
        <v>8.1505458919104168</v>
      </c>
      <c r="V199" s="2"/>
    </row>
    <row r="200" spans="1:22" x14ac:dyDescent="0.3">
      <c r="A200" s="48">
        <v>44120</v>
      </c>
      <c r="B200" s="5">
        <v>3</v>
      </c>
      <c r="C200" s="4">
        <v>40</v>
      </c>
      <c r="D200" s="8" t="s">
        <v>231</v>
      </c>
      <c r="E200" s="2"/>
      <c r="F200" s="2">
        <v>77</v>
      </c>
      <c r="G200" s="26">
        <v>0.01</v>
      </c>
      <c r="H200" s="2"/>
      <c r="I200" s="26">
        <f t="shared" si="20"/>
        <v>7700</v>
      </c>
      <c r="J200" s="2"/>
      <c r="K200" s="2"/>
      <c r="L200" s="2"/>
      <c r="M200" s="2">
        <v>192</v>
      </c>
      <c r="N200" s="83"/>
      <c r="O200" s="83"/>
      <c r="P200" s="83"/>
      <c r="Q200" s="83"/>
      <c r="R200" s="83"/>
      <c r="S200" s="2"/>
      <c r="T200" s="26">
        <f>M200/M197</f>
        <v>27428571.428571429</v>
      </c>
      <c r="U200" s="79">
        <f t="shared" si="21"/>
        <v>17.688955648452925</v>
      </c>
      <c r="V200" s="2"/>
    </row>
    <row r="201" spans="1:22" x14ac:dyDescent="0.3">
      <c r="A201" s="48">
        <v>44120</v>
      </c>
      <c r="B201" s="5">
        <v>4</v>
      </c>
      <c r="C201" s="4">
        <v>65</v>
      </c>
      <c r="D201" s="2" t="s">
        <v>261</v>
      </c>
      <c r="E201" s="2"/>
      <c r="F201" s="2">
        <v>102</v>
      </c>
      <c r="G201" s="26">
        <v>0.01</v>
      </c>
      <c r="H201" s="2"/>
      <c r="I201" s="26">
        <f t="shared" si="20"/>
        <v>10200</v>
      </c>
      <c r="J201" s="2"/>
      <c r="K201" s="2"/>
      <c r="L201" s="2"/>
      <c r="M201" s="2"/>
      <c r="N201" s="83"/>
      <c r="O201" s="83"/>
      <c r="P201" s="83"/>
      <c r="Q201" s="83">
        <v>104</v>
      </c>
      <c r="R201" s="83"/>
      <c r="S201" s="2"/>
      <c r="T201" s="26">
        <f>Q201/Q197</f>
        <v>104000000</v>
      </c>
      <c r="U201" s="79">
        <f t="shared" si="21"/>
        <v>19.963608329413862</v>
      </c>
      <c r="V201" s="2"/>
    </row>
    <row r="202" spans="1:22" x14ac:dyDescent="0.3">
      <c r="A202" s="48">
        <v>44120</v>
      </c>
      <c r="B202" s="5">
        <v>5</v>
      </c>
      <c r="C202" s="4">
        <v>63</v>
      </c>
      <c r="D202" s="2" t="s">
        <v>259</v>
      </c>
      <c r="E202" s="2"/>
      <c r="F202" s="2">
        <v>96</v>
      </c>
      <c r="G202" s="26">
        <v>0.01</v>
      </c>
      <c r="H202" s="2"/>
      <c r="I202" s="26">
        <f t="shared" si="20"/>
        <v>9600</v>
      </c>
      <c r="J202" s="2"/>
      <c r="K202" s="2"/>
      <c r="L202" s="2"/>
      <c r="M202" s="2"/>
      <c r="N202" s="83">
        <v>95</v>
      </c>
      <c r="O202" s="83"/>
      <c r="P202" s="83"/>
      <c r="Q202" s="83"/>
      <c r="R202" s="83"/>
      <c r="S202" s="2"/>
      <c r="T202" s="26">
        <f>N202/N197</f>
        <v>19000000</v>
      </c>
      <c r="U202" s="79">
        <f t="shared" si="21"/>
        <v>16.417807184815409</v>
      </c>
      <c r="V202" s="2"/>
    </row>
    <row r="203" spans="1:22" x14ac:dyDescent="0.3">
      <c r="A203" s="48">
        <v>44120</v>
      </c>
      <c r="B203" s="5">
        <v>6</v>
      </c>
      <c r="C203" s="4">
        <v>48</v>
      </c>
      <c r="D203" s="2" t="s">
        <v>244</v>
      </c>
      <c r="E203" s="2"/>
      <c r="F203" s="2">
        <v>120</v>
      </c>
      <c r="G203" s="26">
        <v>0.01</v>
      </c>
      <c r="H203" s="2"/>
      <c r="I203" s="26">
        <f t="shared" si="20"/>
        <v>12000</v>
      </c>
      <c r="J203" s="2"/>
      <c r="K203" s="2"/>
      <c r="L203" s="2"/>
      <c r="M203" s="2"/>
      <c r="N203" s="69">
        <v>429</v>
      </c>
      <c r="O203" s="83"/>
      <c r="P203" s="83"/>
      <c r="Q203" s="83"/>
      <c r="R203" s="83"/>
      <c r="S203" s="83"/>
      <c r="T203" s="85">
        <f>N203/N197</f>
        <v>85800000</v>
      </c>
      <c r="U203" s="86">
        <f t="shared" si="21"/>
        <v>19.195993293183079</v>
      </c>
      <c r="V203" s="83"/>
    </row>
    <row r="204" spans="1:22" x14ac:dyDescent="0.3">
      <c r="A204" s="48">
        <v>44120</v>
      </c>
      <c r="B204" s="5">
        <v>7</v>
      </c>
      <c r="C204" s="4">
        <v>66</v>
      </c>
      <c r="D204" s="2" t="s">
        <v>262</v>
      </c>
      <c r="E204" s="2"/>
      <c r="F204" s="2">
        <v>90</v>
      </c>
      <c r="G204" s="26">
        <v>0.01</v>
      </c>
      <c r="H204" s="2"/>
      <c r="I204" s="26">
        <f t="shared" si="20"/>
        <v>9000</v>
      </c>
      <c r="J204" s="2"/>
      <c r="K204" s="2"/>
      <c r="L204" s="2"/>
      <c r="M204" s="2"/>
      <c r="N204" s="83">
        <v>299</v>
      </c>
      <c r="O204" s="83"/>
      <c r="P204" s="83"/>
      <c r="Q204" s="83"/>
      <c r="R204" s="83"/>
      <c r="S204" s="83"/>
      <c r="T204" s="85">
        <f>N204/N197</f>
        <v>59799999.999999993</v>
      </c>
      <c r="U204" s="86">
        <f t="shared" si="21"/>
        <v>19.037380603494029</v>
      </c>
      <c r="V204" s="83"/>
    </row>
    <row r="205" spans="1:22" x14ac:dyDescent="0.3">
      <c r="A205" s="48">
        <v>44120</v>
      </c>
      <c r="B205" s="5">
        <v>8</v>
      </c>
      <c r="C205" s="4">
        <v>43</v>
      </c>
      <c r="D205" s="8" t="s">
        <v>234</v>
      </c>
      <c r="E205" s="2"/>
      <c r="F205" s="2">
        <v>85</v>
      </c>
      <c r="G205" s="26">
        <v>0.01</v>
      </c>
      <c r="H205" s="2"/>
      <c r="I205" s="26">
        <f t="shared" si="20"/>
        <v>8500</v>
      </c>
      <c r="J205" s="2">
        <v>304</v>
      </c>
      <c r="K205" s="2"/>
      <c r="L205" s="83"/>
      <c r="M205" s="83"/>
      <c r="N205" s="83"/>
      <c r="O205" s="83"/>
      <c r="P205" s="83"/>
      <c r="Q205" s="83"/>
      <c r="R205" s="83"/>
      <c r="S205" s="83"/>
      <c r="T205" s="85">
        <f>J205/J197</f>
        <v>760000</v>
      </c>
      <c r="U205" s="86">
        <f t="shared" si="21"/>
        <v>9.7187297857280495</v>
      </c>
      <c r="V205" s="83"/>
    </row>
    <row r="206" spans="1:22" x14ac:dyDescent="0.3">
      <c r="A206" s="48">
        <v>44120</v>
      </c>
      <c r="B206" s="5">
        <v>9</v>
      </c>
      <c r="C206" s="4">
        <v>52</v>
      </c>
      <c r="D206" s="2" t="s">
        <v>248</v>
      </c>
      <c r="E206" s="2"/>
      <c r="F206" s="2">
        <v>103</v>
      </c>
      <c r="G206" s="26">
        <v>0.01</v>
      </c>
      <c r="H206" s="2"/>
      <c r="I206" s="26">
        <f t="shared" si="20"/>
        <v>10300</v>
      </c>
      <c r="J206" s="2"/>
      <c r="K206" s="2"/>
      <c r="L206" s="83"/>
      <c r="M206" s="83"/>
      <c r="N206" s="83">
        <v>73</v>
      </c>
      <c r="O206" s="83"/>
      <c r="P206" s="83"/>
      <c r="Q206" s="83"/>
      <c r="R206" s="83"/>
      <c r="S206" s="83"/>
      <c r="T206" s="85">
        <f>N206/N197</f>
        <v>14599999.999999998</v>
      </c>
      <c r="U206" s="86">
        <f t="shared" si="21"/>
        <v>15.6958145672547</v>
      </c>
      <c r="V206" s="83"/>
    </row>
    <row r="207" spans="1:22" x14ac:dyDescent="0.3">
      <c r="A207" s="48">
        <v>44120</v>
      </c>
      <c r="B207" s="5">
        <v>10</v>
      </c>
      <c r="C207" s="4">
        <v>49</v>
      </c>
      <c r="D207" s="2" t="s">
        <v>245</v>
      </c>
      <c r="E207" s="2"/>
      <c r="F207" s="69">
        <v>31</v>
      </c>
      <c r="G207" s="26">
        <v>0.01</v>
      </c>
      <c r="H207" s="2"/>
      <c r="I207" s="26">
        <f t="shared" si="20"/>
        <v>3100</v>
      </c>
      <c r="J207" s="2"/>
      <c r="K207" s="83"/>
      <c r="L207" s="83"/>
      <c r="M207" s="83"/>
      <c r="N207" s="83"/>
      <c r="O207" s="83"/>
      <c r="P207" s="83"/>
      <c r="Q207" s="69">
        <v>16</v>
      </c>
      <c r="R207" s="83"/>
      <c r="S207" s="83"/>
      <c r="T207" s="85">
        <f>Q207/Q197</f>
        <v>16000000</v>
      </c>
      <c r="U207" s="86">
        <f t="shared" si="21"/>
        <v>18.491028589449137</v>
      </c>
      <c r="V207" s="83"/>
    </row>
    <row r="208" spans="1:22" x14ac:dyDescent="0.3">
      <c r="A208" s="48">
        <v>44120</v>
      </c>
      <c r="B208" s="5">
        <v>11</v>
      </c>
      <c r="C208" s="4">
        <v>64</v>
      </c>
      <c r="D208" s="2" t="s">
        <v>260</v>
      </c>
      <c r="E208" s="2"/>
      <c r="F208" s="83">
        <v>79</v>
      </c>
      <c r="G208" s="26">
        <v>0.01</v>
      </c>
      <c r="H208" s="2"/>
      <c r="I208" s="26">
        <f t="shared" si="20"/>
        <v>7900</v>
      </c>
      <c r="J208" s="2"/>
      <c r="K208" s="83"/>
      <c r="L208" s="83"/>
      <c r="M208" s="83"/>
      <c r="N208" s="83"/>
      <c r="O208" s="83"/>
      <c r="P208" s="83"/>
      <c r="Q208" s="83"/>
      <c r="R208" s="83"/>
      <c r="S208" s="83">
        <v>50</v>
      </c>
      <c r="T208" s="85">
        <f>S208/S197</f>
        <v>100000000</v>
      </c>
      <c r="U208" s="86">
        <f t="shared" si="21"/>
        <v>20.431465998721247</v>
      </c>
      <c r="V208" s="83"/>
    </row>
    <row r="209" spans="1:22" x14ac:dyDescent="0.3">
      <c r="A209" s="48">
        <v>44120</v>
      </c>
      <c r="B209" s="93">
        <v>12</v>
      </c>
      <c r="C209" s="4">
        <v>44</v>
      </c>
      <c r="D209" s="8" t="s">
        <v>235</v>
      </c>
      <c r="E209" s="39"/>
      <c r="F209" s="94">
        <v>102</v>
      </c>
      <c r="G209" s="26">
        <v>0.01</v>
      </c>
      <c r="H209" s="39"/>
      <c r="I209" s="26">
        <f t="shared" si="20"/>
        <v>10200</v>
      </c>
      <c r="J209" s="39"/>
      <c r="K209" s="94">
        <v>231</v>
      </c>
      <c r="L209" s="94"/>
      <c r="M209" s="94"/>
      <c r="N209" s="94"/>
      <c r="O209" s="94"/>
      <c r="P209" s="94"/>
      <c r="Q209" s="94"/>
      <c r="R209" s="94"/>
      <c r="S209" s="94"/>
      <c r="T209" s="96">
        <f>K209/K197</f>
        <v>1155000</v>
      </c>
      <c r="U209" s="86">
        <f t="shared" si="21"/>
        <v>10.229655006325766</v>
      </c>
      <c r="V209" s="94"/>
    </row>
    <row r="210" spans="1:22" x14ac:dyDescent="0.3">
      <c r="A210" s="48">
        <v>44120</v>
      </c>
      <c r="B210" s="93">
        <v>13</v>
      </c>
      <c r="C210" s="4">
        <v>47</v>
      </c>
      <c r="D210" s="2" t="s">
        <v>243</v>
      </c>
      <c r="E210" s="39"/>
      <c r="F210" s="95">
        <v>309</v>
      </c>
      <c r="G210" s="26">
        <v>0.1</v>
      </c>
      <c r="H210" s="39"/>
      <c r="I210" s="26">
        <f t="shared" si="20"/>
        <v>3090</v>
      </c>
      <c r="J210" s="39"/>
      <c r="K210" s="94"/>
      <c r="L210" s="94"/>
      <c r="M210" s="94"/>
      <c r="N210" s="94"/>
      <c r="O210" s="94"/>
      <c r="P210" s="94">
        <v>91</v>
      </c>
      <c r="Q210" s="94"/>
      <c r="R210" s="94"/>
      <c r="S210" s="94"/>
      <c r="T210" s="96">
        <f>P210/P197</f>
        <v>45500000</v>
      </c>
      <c r="U210" s="86">
        <f t="shared" si="21"/>
        <v>20.758578840676364</v>
      </c>
      <c r="V210" s="94"/>
    </row>
    <row r="211" spans="1:22" x14ac:dyDescent="0.3">
      <c r="A211" s="48">
        <v>44120</v>
      </c>
      <c r="B211" s="93">
        <v>14</v>
      </c>
      <c r="C211" s="4">
        <v>1</v>
      </c>
      <c r="D211" s="2" t="s">
        <v>166</v>
      </c>
      <c r="E211" s="39"/>
      <c r="F211" s="94">
        <v>123</v>
      </c>
      <c r="G211" s="26">
        <v>0.01</v>
      </c>
      <c r="H211" s="39"/>
      <c r="I211" s="26">
        <f t="shared" si="20"/>
        <v>12300</v>
      </c>
      <c r="J211" s="39"/>
      <c r="K211" s="94"/>
      <c r="L211" s="94"/>
      <c r="M211" s="94"/>
      <c r="N211" s="94"/>
      <c r="O211" s="94"/>
      <c r="P211" s="94"/>
      <c r="Q211" s="94"/>
      <c r="R211" s="94">
        <v>138</v>
      </c>
      <c r="S211" s="94"/>
      <c r="T211" s="96">
        <f>R211/R197</f>
        <v>172500000</v>
      </c>
      <c r="U211" s="86">
        <f t="shared" si="21"/>
        <v>20.653149064281472</v>
      </c>
      <c r="V211" s="94"/>
    </row>
    <row r="212" spans="1:22" ht="15" thickBot="1" x14ac:dyDescent="0.35">
      <c r="A212" s="51">
        <v>44120</v>
      </c>
      <c r="B212" s="71">
        <v>15</v>
      </c>
      <c r="C212" s="52">
        <v>50</v>
      </c>
      <c r="D212" s="53" t="s">
        <v>246</v>
      </c>
      <c r="E212" s="53"/>
      <c r="F212" s="53">
        <v>101</v>
      </c>
      <c r="G212" s="54">
        <v>0.01</v>
      </c>
      <c r="H212" s="53"/>
      <c r="I212" s="54">
        <f t="shared" si="20"/>
        <v>10100</v>
      </c>
      <c r="J212" s="53"/>
      <c r="K212" s="56"/>
      <c r="L212" s="53"/>
      <c r="M212" s="53"/>
      <c r="N212" s="56"/>
      <c r="O212" s="56"/>
      <c r="P212" s="56"/>
      <c r="Q212" s="56"/>
      <c r="R212" s="56"/>
      <c r="S212" s="56">
        <v>55</v>
      </c>
      <c r="T212" s="88">
        <f>S212/S197</f>
        <v>110000000</v>
      </c>
      <c r="U212" s="89">
        <f t="shared" si="21"/>
        <v>20.106237796585177</v>
      </c>
      <c r="V212" s="56"/>
    </row>
    <row r="213" spans="1:22" x14ac:dyDescent="0.3">
      <c r="A213" s="48"/>
      <c r="B213" s="41"/>
      <c r="C213" s="41"/>
      <c r="D213" s="41"/>
      <c r="E213" s="41"/>
      <c r="F213" s="41"/>
      <c r="G213" s="41"/>
      <c r="H213" s="41"/>
      <c r="I213" s="49"/>
      <c r="J213" s="55"/>
      <c r="K213" s="55">
        <v>2.0000000000000001E-4</v>
      </c>
      <c r="L213" s="55">
        <v>1.0000000000000001E-5</v>
      </c>
      <c r="M213" s="55">
        <v>6.9999999999999999E-6</v>
      </c>
      <c r="N213" s="99">
        <v>5.0000000000000004E-6</v>
      </c>
      <c r="O213" s="100">
        <v>3.0000000000000001E-6</v>
      </c>
      <c r="P213" s="100">
        <v>1.9999999999999999E-6</v>
      </c>
      <c r="Q213" s="55">
        <v>9.9999999999999995E-7</v>
      </c>
      <c r="R213" s="55"/>
      <c r="S213" s="55"/>
      <c r="T213" s="41"/>
      <c r="U213" s="49"/>
      <c r="V213" s="98"/>
    </row>
    <row r="214" spans="1:22" x14ac:dyDescent="0.3">
      <c r="A214" s="48">
        <v>44123</v>
      </c>
      <c r="B214" s="5">
        <v>1</v>
      </c>
      <c r="C214" s="4">
        <v>49</v>
      </c>
      <c r="D214" s="2" t="s">
        <v>245</v>
      </c>
      <c r="E214" s="2"/>
      <c r="F214" s="2">
        <v>70</v>
      </c>
      <c r="G214" s="26">
        <v>0.01</v>
      </c>
      <c r="H214" s="2"/>
      <c r="I214" s="26">
        <f t="shared" ref="I214:I225" si="22">F214/G214</f>
        <v>7000</v>
      </c>
      <c r="J214" s="2"/>
      <c r="K214" s="2"/>
      <c r="L214" s="2"/>
      <c r="N214" s="2"/>
      <c r="O214" s="2"/>
      <c r="P214" s="2">
        <v>125</v>
      </c>
      <c r="Q214" s="2"/>
      <c r="R214" s="2"/>
      <c r="S214" s="2"/>
      <c r="T214" s="26">
        <f>P214/P213</f>
        <v>62500000</v>
      </c>
      <c r="U214" s="79">
        <f t="shared" ref="U214:U225" si="23">LN(T214/I214)/(0.667*LN(2))</f>
        <v>19.676482229784966</v>
      </c>
      <c r="V214" s="2"/>
    </row>
    <row r="215" spans="1:22" x14ac:dyDescent="0.3">
      <c r="A215" s="48">
        <v>44123</v>
      </c>
      <c r="B215" s="5">
        <v>2</v>
      </c>
      <c r="C215" s="4">
        <v>48</v>
      </c>
      <c r="D215" s="2" t="s">
        <v>244</v>
      </c>
      <c r="E215" s="2"/>
      <c r="F215" s="2">
        <v>100</v>
      </c>
      <c r="G215" s="26">
        <v>0.01</v>
      </c>
      <c r="H215" s="2"/>
      <c r="I215" s="26">
        <f t="shared" si="22"/>
        <v>10000</v>
      </c>
      <c r="J215" s="2"/>
      <c r="K215" s="2"/>
      <c r="L215" s="2"/>
      <c r="M215" s="83"/>
      <c r="O215" s="83"/>
      <c r="P215" s="83"/>
      <c r="Q215" s="83">
        <v>56</v>
      </c>
      <c r="R215" s="83"/>
      <c r="S215" s="2"/>
      <c r="T215" s="26">
        <f>Q215/Q213</f>
        <v>56000000</v>
      </c>
      <c r="U215" s="79">
        <f t="shared" si="23"/>
        <v>18.667482926285352</v>
      </c>
      <c r="V215" s="2"/>
    </row>
    <row r="216" spans="1:22" x14ac:dyDescent="0.3">
      <c r="A216" s="48">
        <v>44123</v>
      </c>
      <c r="B216" s="5">
        <v>3</v>
      </c>
      <c r="C216" s="4">
        <v>1</v>
      </c>
      <c r="D216" s="2" t="s">
        <v>166</v>
      </c>
      <c r="E216" s="2"/>
      <c r="F216" s="2">
        <v>123</v>
      </c>
      <c r="G216" s="26">
        <v>0.01</v>
      </c>
      <c r="H216" s="2"/>
      <c r="I216" s="26">
        <f t="shared" si="22"/>
        <v>12300</v>
      </c>
      <c r="J216" s="2"/>
      <c r="K216" s="2"/>
      <c r="L216" s="2"/>
      <c r="M216" s="2"/>
      <c r="N216" s="83"/>
      <c r="O216" s="83"/>
      <c r="P216" s="83"/>
      <c r="Q216" s="83">
        <v>143</v>
      </c>
      <c r="R216" s="83"/>
      <c r="S216" s="2"/>
      <c r="T216" s="26">
        <f>Q216/Q213</f>
        <v>143000000</v>
      </c>
      <c r="U216" s="79">
        <f t="shared" si="23"/>
        <v>20.247480076444678</v>
      </c>
      <c r="V216" s="2"/>
    </row>
    <row r="217" spans="1:22" x14ac:dyDescent="0.3">
      <c r="A217" s="48">
        <v>44123</v>
      </c>
      <c r="B217" s="5">
        <v>4</v>
      </c>
      <c r="C217" s="4">
        <v>66</v>
      </c>
      <c r="D217" s="2" t="s">
        <v>262</v>
      </c>
      <c r="E217" s="2"/>
      <c r="F217" s="2">
        <v>99</v>
      </c>
      <c r="G217" s="26">
        <v>0.01</v>
      </c>
      <c r="H217" s="2"/>
      <c r="I217" s="26">
        <f t="shared" si="22"/>
        <v>9900</v>
      </c>
      <c r="J217" s="2"/>
      <c r="K217" s="2"/>
      <c r="L217" s="2"/>
      <c r="M217" s="2"/>
      <c r="N217" s="83"/>
      <c r="O217" s="83"/>
      <c r="P217" s="83"/>
      <c r="Q217" s="83">
        <v>41</v>
      </c>
      <c r="R217" s="83"/>
      <c r="S217" s="2"/>
      <c r="T217" s="26">
        <f>Q217/Q213</f>
        <v>41000000</v>
      </c>
      <c r="U217" s="79">
        <f t="shared" si="23"/>
        <v>18.014854219022371</v>
      </c>
      <c r="V217" s="2"/>
    </row>
    <row r="218" spans="1:22" x14ac:dyDescent="0.3">
      <c r="A218" s="48">
        <v>44123</v>
      </c>
      <c r="B218" s="5">
        <v>5</v>
      </c>
      <c r="C218" s="4">
        <v>50</v>
      </c>
      <c r="D218" s="2" t="s">
        <v>246</v>
      </c>
      <c r="E218" s="2"/>
      <c r="F218" s="2">
        <v>121</v>
      </c>
      <c r="G218" s="26">
        <v>0.01</v>
      </c>
      <c r="H218" s="2"/>
      <c r="I218" s="26">
        <f t="shared" si="22"/>
        <v>12100</v>
      </c>
      <c r="J218" s="2"/>
      <c r="K218" s="2"/>
      <c r="L218" s="2"/>
      <c r="M218" s="2"/>
      <c r="N218" s="83"/>
      <c r="O218" s="83"/>
      <c r="P218" s="83"/>
      <c r="Q218" s="83">
        <v>119</v>
      </c>
      <c r="R218" s="83"/>
      <c r="S218" s="2"/>
      <c r="T218" s="26">
        <f>Q218/Q213</f>
        <v>119000000</v>
      </c>
      <c r="U218" s="79">
        <f t="shared" si="23"/>
        <v>19.885557579584408</v>
      </c>
      <c r="V218" s="2"/>
    </row>
    <row r="219" spans="1:22" x14ac:dyDescent="0.3">
      <c r="A219" s="48">
        <v>44123</v>
      </c>
      <c r="B219" s="5">
        <v>6</v>
      </c>
      <c r="C219" s="15">
        <v>63</v>
      </c>
      <c r="D219" s="41" t="s">
        <v>259</v>
      </c>
      <c r="E219" s="2"/>
      <c r="F219" s="2">
        <v>73</v>
      </c>
      <c r="G219" s="26">
        <v>0.01</v>
      </c>
      <c r="H219" s="2"/>
      <c r="I219" s="26">
        <f t="shared" si="22"/>
        <v>7300</v>
      </c>
      <c r="J219" s="2"/>
      <c r="K219" s="2"/>
      <c r="L219" s="2"/>
      <c r="M219" s="2"/>
      <c r="N219" s="83">
        <v>90</v>
      </c>
      <c r="O219" s="83"/>
      <c r="P219" s="83"/>
      <c r="Q219" s="83"/>
      <c r="R219" s="83"/>
      <c r="S219" s="83"/>
      <c r="T219" s="85">
        <f>N219/N213</f>
        <v>18000000</v>
      </c>
      <c r="U219" s="86">
        <f t="shared" si="23"/>
        <v>16.893272596869181</v>
      </c>
      <c r="V219" s="83"/>
    </row>
    <row r="220" spans="1:22" x14ac:dyDescent="0.3">
      <c r="A220" s="48">
        <v>44123</v>
      </c>
      <c r="B220" s="5">
        <v>7</v>
      </c>
      <c r="C220" s="4">
        <v>64</v>
      </c>
      <c r="D220" s="2" t="s">
        <v>260</v>
      </c>
      <c r="E220" s="2"/>
      <c r="F220" s="2">
        <v>105</v>
      </c>
      <c r="G220" s="26">
        <v>0.01</v>
      </c>
      <c r="H220" s="2"/>
      <c r="I220" s="26">
        <f t="shared" si="22"/>
        <v>10500</v>
      </c>
      <c r="J220" s="2"/>
      <c r="K220" s="2"/>
      <c r="L220" s="2"/>
      <c r="M220" s="2"/>
      <c r="N220" s="83"/>
      <c r="O220" s="83"/>
      <c r="P220" s="83"/>
      <c r="Q220" s="83">
        <v>181</v>
      </c>
      <c r="R220" s="83"/>
      <c r="S220" s="83"/>
      <c r="T220" s="85">
        <f>Q220/Q213</f>
        <v>181000000</v>
      </c>
      <c r="U220" s="86">
        <f t="shared" si="23"/>
        <v>21.099419413742925</v>
      </c>
      <c r="V220" s="83"/>
    </row>
    <row r="221" spans="1:22" x14ac:dyDescent="0.3">
      <c r="A221" s="48">
        <v>44123</v>
      </c>
      <c r="B221" s="5">
        <v>8</v>
      </c>
      <c r="C221" s="4">
        <v>52</v>
      </c>
      <c r="D221" s="2" t="s">
        <v>248</v>
      </c>
      <c r="E221" s="2"/>
      <c r="F221" s="2">
        <v>106</v>
      </c>
      <c r="G221" s="26">
        <v>0.01</v>
      </c>
      <c r="H221" s="2"/>
      <c r="I221" s="26">
        <f t="shared" si="22"/>
        <v>10600</v>
      </c>
      <c r="J221" s="2"/>
      <c r="K221" s="2"/>
      <c r="L221" s="83"/>
      <c r="M221" s="83">
        <v>91</v>
      </c>
      <c r="N221" s="83"/>
      <c r="O221" s="83"/>
      <c r="P221" s="83"/>
      <c r="Q221" s="83"/>
      <c r="R221" s="83"/>
      <c r="S221" s="83"/>
      <c r="T221" s="85">
        <f>M221/M213</f>
        <v>13000000</v>
      </c>
      <c r="U221" s="86">
        <f t="shared" si="23"/>
        <v>15.382656136622701</v>
      </c>
      <c r="V221" s="83"/>
    </row>
    <row r="222" spans="1:22" x14ac:dyDescent="0.3">
      <c r="A222" s="48">
        <v>44123</v>
      </c>
      <c r="B222" s="5">
        <v>9</v>
      </c>
      <c r="C222" s="4">
        <v>51</v>
      </c>
      <c r="D222" s="2" t="s">
        <v>247</v>
      </c>
      <c r="E222" s="2"/>
      <c r="F222" s="2">
        <v>109</v>
      </c>
      <c r="G222" s="26">
        <v>0.01</v>
      </c>
      <c r="H222" s="2"/>
      <c r="I222" s="26">
        <f t="shared" si="22"/>
        <v>10900</v>
      </c>
      <c r="J222" s="2"/>
      <c r="K222" s="2"/>
      <c r="L222" s="83">
        <v>91</v>
      </c>
      <c r="M222" s="83"/>
      <c r="N222" s="83"/>
      <c r="O222" s="83"/>
      <c r="P222" s="83"/>
      <c r="Q222" s="83"/>
      <c r="R222" s="83"/>
      <c r="S222" s="83"/>
      <c r="T222" s="85">
        <f>L222/L213</f>
        <v>9100000</v>
      </c>
      <c r="U222" s="86">
        <f t="shared" si="23"/>
        <v>14.550816491879845</v>
      </c>
      <c r="V222" s="83"/>
    </row>
    <row r="223" spans="1:22" x14ac:dyDescent="0.3">
      <c r="A223" s="48">
        <v>44123</v>
      </c>
      <c r="B223" s="5">
        <v>10</v>
      </c>
      <c r="C223" s="4">
        <v>65</v>
      </c>
      <c r="D223" s="2" t="s">
        <v>261</v>
      </c>
      <c r="E223" s="2"/>
      <c r="F223" s="83">
        <v>102</v>
      </c>
      <c r="G223" s="26">
        <v>0.01</v>
      </c>
      <c r="H223" s="2"/>
      <c r="I223" s="26">
        <f t="shared" si="22"/>
        <v>10200</v>
      </c>
      <c r="J223" s="2"/>
      <c r="K223" s="83"/>
      <c r="L223" s="83"/>
      <c r="M223" s="83"/>
      <c r="N223" s="83"/>
      <c r="O223" s="83"/>
      <c r="P223" s="83"/>
      <c r="Q223" s="83">
        <v>62</v>
      </c>
      <c r="R223" s="83"/>
      <c r="S223" s="83"/>
      <c r="T223" s="85">
        <f>Q223/Q213</f>
        <v>62000000</v>
      </c>
      <c r="U223" s="86">
        <f t="shared" si="23"/>
        <v>18.844802620636926</v>
      </c>
      <c r="V223" s="83"/>
    </row>
    <row r="224" spans="1:22" x14ac:dyDescent="0.3">
      <c r="A224" s="48">
        <v>44123</v>
      </c>
      <c r="B224" s="5">
        <v>11</v>
      </c>
      <c r="C224" s="4">
        <v>47</v>
      </c>
      <c r="D224" s="2" t="s">
        <v>243</v>
      </c>
      <c r="E224" s="2"/>
      <c r="F224" s="83">
        <v>99</v>
      </c>
      <c r="G224" s="26">
        <v>0.01</v>
      </c>
      <c r="H224" s="2"/>
      <c r="I224" s="26">
        <f t="shared" si="22"/>
        <v>9900</v>
      </c>
      <c r="J224" s="2"/>
      <c r="K224" s="83"/>
      <c r="L224" s="83"/>
      <c r="M224" s="83"/>
      <c r="N224" s="83"/>
      <c r="O224" s="83"/>
      <c r="P224" s="83">
        <v>42</v>
      </c>
      <c r="Q224" s="83"/>
      <c r="R224" s="83"/>
      <c r="S224" s="83"/>
      <c r="T224" s="85">
        <f>P224/P213</f>
        <v>21000000</v>
      </c>
      <c r="U224" s="86">
        <f t="shared" si="23"/>
        <v>16.567725910417693</v>
      </c>
      <c r="V224" s="83"/>
    </row>
    <row r="225" spans="1:22" ht="15" thickBot="1" x14ac:dyDescent="0.35">
      <c r="A225" s="51">
        <v>44123</v>
      </c>
      <c r="B225" s="71">
        <v>12</v>
      </c>
      <c r="C225" s="52">
        <v>46</v>
      </c>
      <c r="D225" s="53" t="s">
        <v>242</v>
      </c>
      <c r="E225" s="53"/>
      <c r="F225" s="56">
        <v>98</v>
      </c>
      <c r="G225" s="54">
        <v>0.01</v>
      </c>
      <c r="H225" s="53"/>
      <c r="I225" s="54">
        <f t="shared" si="22"/>
        <v>9800</v>
      </c>
      <c r="J225" s="53"/>
      <c r="K225" s="56">
        <v>102</v>
      </c>
      <c r="L225" s="56"/>
      <c r="M225" s="56"/>
      <c r="N225" s="56"/>
      <c r="O225" s="56"/>
      <c r="P225" s="56"/>
      <c r="Q225" s="56"/>
      <c r="R225" s="56"/>
      <c r="S225" s="56"/>
      <c r="T225" s="88">
        <f>K225/K213</f>
        <v>510000</v>
      </c>
      <c r="U225" s="89">
        <f t="shared" si="23"/>
        <v>8.5480834897016678</v>
      </c>
      <c r="V225" s="56"/>
    </row>
  </sheetData>
  <mergeCells count="3">
    <mergeCell ref="F7:I7"/>
    <mergeCell ref="J7:T7"/>
    <mergeCell ref="V103:V106"/>
  </mergeCells>
  <phoneticPr fontId="1" type="noConversion"/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5D477-5177-4A06-B1A6-00544817B9F1}">
  <dimension ref="A1:W119"/>
  <sheetViews>
    <sheetView tabSelected="1" topLeftCell="A31" zoomScale="90" zoomScaleNormal="90" workbookViewId="0">
      <pane xSplit="1" topLeftCell="B1" activePane="topRight" state="frozen"/>
      <selection pane="topRight" activeCell="K70" sqref="K70"/>
    </sheetView>
  </sheetViews>
  <sheetFormatPr defaultRowHeight="14.4" x14ac:dyDescent="0.3"/>
  <cols>
    <col min="1" max="1" width="18.109375" style="1" customWidth="1"/>
    <col min="2" max="2" width="11.77734375" customWidth="1"/>
    <col min="3" max="8" width="9.5546875" bestFit="1" customWidth="1"/>
    <col min="15" max="15" width="9.5546875" bestFit="1" customWidth="1"/>
    <col min="16" max="22" width="9.5546875" customWidth="1"/>
    <col min="23" max="23" width="57.88671875" customWidth="1"/>
    <col min="25" max="25" width="9.77734375" customWidth="1"/>
  </cols>
  <sheetData>
    <row r="1" spans="1:22" x14ac:dyDescent="0.3">
      <c r="A1" s="66" t="s">
        <v>204</v>
      </c>
      <c r="B1" s="1"/>
    </row>
    <row r="2" spans="1:22" x14ac:dyDescent="0.3">
      <c r="A2" s="116" t="s">
        <v>266</v>
      </c>
      <c r="B2" s="116"/>
      <c r="C2" s="116"/>
    </row>
    <row r="3" spans="1:22" x14ac:dyDescent="0.3">
      <c r="A3" s="117" t="s">
        <v>275</v>
      </c>
      <c r="B3" s="117"/>
      <c r="C3" s="117"/>
    </row>
    <row r="4" spans="1:22" x14ac:dyDescent="0.3">
      <c r="A4"/>
      <c r="B4" s="1"/>
    </row>
    <row r="5" spans="1:22" x14ac:dyDescent="0.3">
      <c r="A5" s="18" t="s">
        <v>126</v>
      </c>
      <c r="B5" s="16" t="s">
        <v>158</v>
      </c>
      <c r="C5" s="62">
        <v>44062</v>
      </c>
      <c r="D5" s="62">
        <v>44063</v>
      </c>
      <c r="E5" s="62">
        <v>44067</v>
      </c>
      <c r="F5" s="62">
        <v>44069</v>
      </c>
      <c r="G5" s="28">
        <v>44070</v>
      </c>
      <c r="H5" s="28">
        <v>44071</v>
      </c>
      <c r="I5" s="28">
        <v>44075</v>
      </c>
      <c r="J5" s="28">
        <v>44076</v>
      </c>
      <c r="K5" s="28">
        <v>44077</v>
      </c>
      <c r="L5" s="28">
        <v>44111</v>
      </c>
      <c r="M5" s="28">
        <v>44112</v>
      </c>
      <c r="N5" s="28">
        <v>44113</v>
      </c>
      <c r="O5" s="28">
        <v>44117</v>
      </c>
      <c r="P5" s="28">
        <v>44119</v>
      </c>
      <c r="Q5" s="28">
        <v>44120</v>
      </c>
      <c r="R5" s="28">
        <v>44123</v>
      </c>
      <c r="S5" s="28"/>
      <c r="T5" s="28"/>
      <c r="U5" s="28"/>
      <c r="V5" t="s">
        <v>192</v>
      </c>
    </row>
    <row r="6" spans="1:22" x14ac:dyDescent="0.3">
      <c r="A6" s="18" t="s">
        <v>166</v>
      </c>
      <c r="B6" s="16">
        <v>1</v>
      </c>
      <c r="C6" s="60">
        <v>22.636033854101555</v>
      </c>
      <c r="D6" s="60">
        <v>22.470992650210707</v>
      </c>
      <c r="E6" s="60">
        <v>21.032421526585185</v>
      </c>
      <c r="F6" s="60">
        <v>20.670589788665609</v>
      </c>
      <c r="G6" s="42">
        <v>20.265658509253697</v>
      </c>
      <c r="H6" s="42">
        <v>20.066549323779796</v>
      </c>
      <c r="I6" s="42">
        <v>20.45</v>
      </c>
      <c r="J6" s="42">
        <v>20.599755789643908</v>
      </c>
      <c r="K6" s="42">
        <v>21.164318535467309</v>
      </c>
      <c r="L6" s="42">
        <v>20.3</v>
      </c>
      <c r="M6" s="82"/>
      <c r="N6" s="42">
        <v>20.720251230365268</v>
      </c>
      <c r="O6" s="42">
        <v>19.767249159222818</v>
      </c>
      <c r="P6" s="42">
        <v>22.278288946694396</v>
      </c>
      <c r="Q6" s="42">
        <v>20.653149064281472</v>
      </c>
      <c r="R6" s="42">
        <v>20.247480076444678</v>
      </c>
      <c r="S6" s="42"/>
      <c r="T6" s="42"/>
      <c r="U6" s="42"/>
      <c r="V6" s="42">
        <f>AVERAGE(C6:R6)</f>
        <v>20.88818256364776</v>
      </c>
    </row>
    <row r="7" spans="1:22" x14ac:dyDescent="0.3">
      <c r="A7" s="18"/>
      <c r="B7" s="16"/>
      <c r="C7" s="60"/>
      <c r="D7" s="60"/>
      <c r="E7" s="60"/>
      <c r="F7" s="60"/>
    </row>
    <row r="8" spans="1:22" x14ac:dyDescent="0.3">
      <c r="A8" s="18" t="s">
        <v>138</v>
      </c>
      <c r="B8" s="16">
        <v>2</v>
      </c>
      <c r="C8" s="60">
        <v>22.712637024578004</v>
      </c>
      <c r="D8" s="60">
        <v>22.785480823386514</v>
      </c>
      <c r="E8" s="60">
        <v>19.921607765441454</v>
      </c>
      <c r="F8" s="60"/>
      <c r="V8" s="42">
        <f>AVERAGE(C8:R8)</f>
        <v>21.806575204468658</v>
      </c>
    </row>
    <row r="9" spans="1:22" x14ac:dyDescent="0.3">
      <c r="A9" s="18" t="s">
        <v>139</v>
      </c>
      <c r="B9" s="16">
        <v>3</v>
      </c>
      <c r="C9" s="60">
        <v>21.866714078221918</v>
      </c>
      <c r="D9" s="60">
        <v>23.308378663881395</v>
      </c>
      <c r="E9" s="60">
        <v>20.718985822805163</v>
      </c>
      <c r="F9" s="60"/>
      <c r="V9" s="42">
        <f t="shared" ref="V9:V16" si="0">AVERAGE(C9:R9)</f>
        <v>21.964692854969496</v>
      </c>
    </row>
    <row r="10" spans="1:22" x14ac:dyDescent="0.3">
      <c r="A10" s="18" t="s">
        <v>140</v>
      </c>
      <c r="B10" s="16">
        <v>4</v>
      </c>
      <c r="C10" s="60">
        <v>23.052847157647836</v>
      </c>
      <c r="D10" s="60">
        <v>21.13203493494311</v>
      </c>
      <c r="E10" s="60">
        <v>21.077801632763972</v>
      </c>
      <c r="F10" s="60"/>
      <c r="V10" s="42">
        <f t="shared" si="0"/>
        <v>21.754227908451639</v>
      </c>
    </row>
    <row r="11" spans="1:22" x14ac:dyDescent="0.3">
      <c r="A11" s="18" t="s">
        <v>141</v>
      </c>
      <c r="B11" s="16">
        <v>5</v>
      </c>
      <c r="C11" s="60">
        <v>24.347253510267471</v>
      </c>
      <c r="D11" s="60">
        <v>20.49412745861034</v>
      </c>
      <c r="E11" s="60">
        <v>21.528490348751816</v>
      </c>
      <c r="F11" s="60"/>
      <c r="V11" s="42">
        <f t="shared" si="0"/>
        <v>22.123290439209878</v>
      </c>
    </row>
    <row r="12" spans="1:22" x14ac:dyDescent="0.3">
      <c r="A12" s="18" t="s">
        <v>142</v>
      </c>
      <c r="B12" s="16">
        <v>6</v>
      </c>
      <c r="C12" s="60">
        <v>22.818131868247075</v>
      </c>
      <c r="D12" s="60">
        <v>21.819499909329064</v>
      </c>
      <c r="E12" s="60">
        <v>21.13203493494311</v>
      </c>
      <c r="F12" s="60"/>
      <c r="V12" s="42">
        <f t="shared" si="0"/>
        <v>21.923222237506419</v>
      </c>
    </row>
    <row r="13" spans="1:22" x14ac:dyDescent="0.3">
      <c r="A13" s="18" t="s">
        <v>143</v>
      </c>
      <c r="B13" s="16">
        <v>7</v>
      </c>
      <c r="C13" s="60">
        <v>21.506531164397391</v>
      </c>
      <c r="D13" s="60">
        <v>21.250009280738176</v>
      </c>
      <c r="E13" s="60">
        <v>20.755780701759871</v>
      </c>
      <c r="F13" s="60"/>
      <c r="V13" s="42">
        <f t="shared" si="0"/>
        <v>21.170773715631814</v>
      </c>
    </row>
    <row r="14" spans="1:22" x14ac:dyDescent="0.3">
      <c r="A14" s="18" t="s">
        <v>144</v>
      </c>
      <c r="B14" s="16">
        <v>8</v>
      </c>
      <c r="C14" s="60">
        <v>22.930099115188096</v>
      </c>
      <c r="D14" s="60">
        <v>21.51491474497363</v>
      </c>
      <c r="E14" s="60">
        <v>21.654217766131403</v>
      </c>
      <c r="F14" s="60"/>
      <c r="V14" s="42">
        <f t="shared" si="0"/>
        <v>22.033077208764372</v>
      </c>
    </row>
    <row r="15" spans="1:22" x14ac:dyDescent="0.3">
      <c r="A15" s="18" t="s">
        <v>145</v>
      </c>
      <c r="B15" s="16">
        <v>9</v>
      </c>
      <c r="C15" s="60">
        <v>21.869974005109981</v>
      </c>
      <c r="D15" s="60">
        <v>20.961096013966113</v>
      </c>
      <c r="E15" s="61"/>
      <c r="P15" s="42">
        <v>19.826067139338925</v>
      </c>
      <c r="V15" s="42">
        <f t="shared" si="0"/>
        <v>20.885712386138341</v>
      </c>
    </row>
    <row r="16" spans="1:22" x14ac:dyDescent="0.3">
      <c r="A16" s="18" t="s">
        <v>284</v>
      </c>
      <c r="B16" s="16">
        <v>10</v>
      </c>
      <c r="C16" s="60">
        <v>22.237497766202214</v>
      </c>
      <c r="D16" s="60">
        <v>20.993977365241882</v>
      </c>
      <c r="E16" s="60">
        <v>19.487564861101145</v>
      </c>
      <c r="F16" s="60"/>
      <c r="V16" s="42">
        <f t="shared" si="0"/>
        <v>20.906346664181751</v>
      </c>
    </row>
    <row r="17" spans="1:23" x14ac:dyDescent="0.3">
      <c r="A17" s="119" t="s">
        <v>285</v>
      </c>
      <c r="B17" s="65">
        <v>11</v>
      </c>
      <c r="C17" s="60"/>
      <c r="D17" s="60"/>
      <c r="E17" s="60"/>
      <c r="F17" s="60"/>
      <c r="W17" t="s">
        <v>289</v>
      </c>
    </row>
    <row r="18" spans="1:23" x14ac:dyDescent="0.3">
      <c r="A18" s="18" t="s">
        <v>286</v>
      </c>
      <c r="B18" s="16">
        <v>12</v>
      </c>
      <c r="C18" s="60">
        <v>22.978835047721329</v>
      </c>
      <c r="D18" s="60">
        <v>22.110701301884305</v>
      </c>
      <c r="E18" s="60">
        <v>20.755780701759871</v>
      </c>
      <c r="F18" s="60"/>
      <c r="V18" s="42">
        <f>AVERAGE(C18:R18)</f>
        <v>21.948439017121839</v>
      </c>
    </row>
    <row r="19" spans="1:23" x14ac:dyDescent="0.3">
      <c r="A19" s="18"/>
      <c r="B19" s="16"/>
      <c r="C19" s="18"/>
      <c r="D19" s="18"/>
      <c r="E19" s="18"/>
      <c r="F19" s="18"/>
    </row>
    <row r="20" spans="1:23" x14ac:dyDescent="0.3">
      <c r="A20" s="118" t="s">
        <v>168</v>
      </c>
      <c r="B20" s="65">
        <v>13</v>
      </c>
      <c r="C20" s="18"/>
      <c r="D20" s="18"/>
      <c r="E20" s="18"/>
      <c r="F20" s="18"/>
      <c r="W20" t="s">
        <v>288</v>
      </c>
    </row>
    <row r="21" spans="1:23" x14ac:dyDescent="0.3">
      <c r="A21" s="63" t="s">
        <v>169</v>
      </c>
      <c r="B21" s="16">
        <v>14</v>
      </c>
      <c r="C21" s="18"/>
      <c r="D21" s="18"/>
      <c r="E21" s="18"/>
      <c r="F21" s="60">
        <v>18.070835271233026</v>
      </c>
      <c r="G21" s="42">
        <v>20.391863356001817</v>
      </c>
      <c r="H21" s="42">
        <v>20.341559668279139</v>
      </c>
      <c r="V21" s="42">
        <f>AVERAGE(F21:R21)</f>
        <v>19.601419431837993</v>
      </c>
    </row>
    <row r="22" spans="1:23" x14ac:dyDescent="0.3">
      <c r="A22" s="63" t="s">
        <v>170</v>
      </c>
      <c r="B22" s="16">
        <v>15</v>
      </c>
      <c r="C22" s="18"/>
      <c r="D22" s="18"/>
      <c r="E22" s="18"/>
      <c r="F22" s="60">
        <v>17.795016947239493</v>
      </c>
      <c r="G22" s="42">
        <v>17.898894776502299</v>
      </c>
      <c r="H22" s="42">
        <v>18.770103609593924</v>
      </c>
      <c r="V22" s="42">
        <f>AVERAGE(F22:R22)</f>
        <v>18.154671777778571</v>
      </c>
    </row>
    <row r="23" spans="1:23" ht="27.6" customHeight="1" x14ac:dyDescent="0.3">
      <c r="A23" s="118" t="s">
        <v>171</v>
      </c>
      <c r="B23" s="65">
        <v>16</v>
      </c>
      <c r="C23" s="18"/>
      <c r="D23" s="18"/>
      <c r="E23" s="18"/>
      <c r="F23" s="18"/>
      <c r="W23" s="120" t="s">
        <v>290</v>
      </c>
    </row>
    <row r="24" spans="1:23" x14ac:dyDescent="0.3">
      <c r="A24" s="63" t="s">
        <v>172</v>
      </c>
      <c r="B24" s="16">
        <v>17</v>
      </c>
      <c r="C24" s="18"/>
      <c r="D24" s="18"/>
      <c r="E24" s="18"/>
      <c r="F24" s="61"/>
      <c r="G24" s="42">
        <v>12.015329294932295</v>
      </c>
      <c r="H24" s="42">
        <v>10.9436441654062</v>
      </c>
      <c r="P24" s="42">
        <v>10.337208326750289</v>
      </c>
      <c r="V24" s="42">
        <f>AVERAGE(F24:R24)</f>
        <v>11.098727262362928</v>
      </c>
    </row>
    <row r="25" spans="1:23" x14ac:dyDescent="0.3">
      <c r="A25" s="63" t="s">
        <v>173</v>
      </c>
      <c r="B25" s="16">
        <v>18</v>
      </c>
      <c r="C25" s="18"/>
      <c r="D25" s="18"/>
      <c r="E25" s="18"/>
      <c r="F25" s="60">
        <v>18.321736407332704</v>
      </c>
      <c r="G25" s="42">
        <v>19.495140914663793</v>
      </c>
      <c r="H25" s="42">
        <v>19.226854360883369</v>
      </c>
      <c r="V25" s="42">
        <f t="shared" ref="V25:V27" si="1">AVERAGE(F25:R25)</f>
        <v>19.014577227626621</v>
      </c>
    </row>
    <row r="26" spans="1:23" x14ac:dyDescent="0.3">
      <c r="A26" s="63" t="s">
        <v>174</v>
      </c>
      <c r="B26" s="16">
        <v>19</v>
      </c>
      <c r="C26" s="18"/>
      <c r="D26" s="18"/>
      <c r="E26" s="18"/>
      <c r="F26" s="60">
        <v>18.242006215639787</v>
      </c>
      <c r="G26" s="42">
        <v>18.422357390628861</v>
      </c>
      <c r="H26" s="42">
        <v>19.829552975840038</v>
      </c>
      <c r="V26" s="42">
        <f t="shared" si="1"/>
        <v>18.831305527369562</v>
      </c>
    </row>
    <row r="27" spans="1:23" x14ac:dyDescent="0.3">
      <c r="A27" s="63" t="s">
        <v>175</v>
      </c>
      <c r="B27" s="16">
        <v>20</v>
      </c>
      <c r="C27" s="18"/>
      <c r="D27" s="18"/>
      <c r="E27" s="18"/>
      <c r="F27" s="18"/>
      <c r="I27" s="47"/>
      <c r="J27" s="42">
        <v>6.5986295149934735</v>
      </c>
      <c r="K27" s="42">
        <v>7.0841923416440373</v>
      </c>
      <c r="P27" s="42">
        <v>7.8418366823444785</v>
      </c>
      <c r="V27" s="42">
        <f t="shared" si="1"/>
        <v>7.1748861796606631</v>
      </c>
      <c r="W27" t="s">
        <v>292</v>
      </c>
    </row>
    <row r="28" spans="1:23" x14ac:dyDescent="0.3">
      <c r="A28" s="118" t="s">
        <v>186</v>
      </c>
      <c r="B28" s="65">
        <v>21</v>
      </c>
      <c r="C28" s="18"/>
      <c r="D28" s="18"/>
      <c r="E28" s="18"/>
      <c r="F28" s="18"/>
      <c r="W28" t="s">
        <v>289</v>
      </c>
    </row>
    <row r="29" spans="1:23" x14ac:dyDescent="0.3">
      <c r="A29" s="64" t="s">
        <v>187</v>
      </c>
      <c r="B29" s="16">
        <v>22</v>
      </c>
      <c r="C29" s="18"/>
      <c r="D29" s="18"/>
      <c r="E29" s="18"/>
      <c r="F29" s="60">
        <v>16.046101767358799</v>
      </c>
      <c r="G29" s="42">
        <v>15.848805091521861</v>
      </c>
      <c r="H29" s="42">
        <v>15.721401475393042</v>
      </c>
      <c r="V29" s="42">
        <f>AVERAGE(F29:R29)</f>
        <v>15.872102778091234</v>
      </c>
    </row>
    <row r="30" spans="1:23" x14ac:dyDescent="0.3">
      <c r="A30" s="64" t="s">
        <v>188</v>
      </c>
      <c r="B30" s="16">
        <v>23</v>
      </c>
      <c r="C30" s="18"/>
      <c r="D30" s="18"/>
      <c r="E30" s="18"/>
      <c r="F30" s="60">
        <v>20.157801584011889</v>
      </c>
      <c r="G30" s="42">
        <v>20.275531840754084</v>
      </c>
      <c r="H30" s="42">
        <v>20.061202074873961</v>
      </c>
      <c r="V30" s="42">
        <f>AVERAGE(F30:R30)</f>
        <v>20.164845166546645</v>
      </c>
    </row>
    <row r="31" spans="1:23" x14ac:dyDescent="0.3">
      <c r="A31" s="18"/>
      <c r="B31" s="16"/>
      <c r="C31" s="18"/>
      <c r="D31" s="18"/>
      <c r="E31" s="18"/>
      <c r="F31" s="18"/>
    </row>
    <row r="32" spans="1:23" x14ac:dyDescent="0.3">
      <c r="A32" s="63" t="s">
        <v>176</v>
      </c>
      <c r="B32" s="16">
        <v>24</v>
      </c>
      <c r="C32" s="18"/>
      <c r="D32" s="18"/>
      <c r="E32" s="18"/>
      <c r="F32" s="18"/>
      <c r="I32">
        <v>19.239999999999998</v>
      </c>
      <c r="J32" s="42">
        <v>18.561951700061368</v>
      </c>
      <c r="K32" s="42">
        <v>18.216205181108716</v>
      </c>
      <c r="V32" s="42">
        <f>AVERAGE(I32:U32)</f>
        <v>18.672718960390029</v>
      </c>
    </row>
    <row r="33" spans="1:22" x14ac:dyDescent="0.3">
      <c r="A33" s="63" t="s">
        <v>177</v>
      </c>
      <c r="B33" s="16">
        <v>25</v>
      </c>
      <c r="C33" s="18"/>
      <c r="D33" s="18"/>
      <c r="E33" s="18"/>
      <c r="F33" s="18"/>
      <c r="I33" s="42">
        <v>18.908766611765198</v>
      </c>
      <c r="J33" s="42">
        <v>19.38419551519786</v>
      </c>
      <c r="K33" s="42">
        <v>19.547951684019019</v>
      </c>
      <c r="V33" s="42">
        <f t="shared" ref="V33:V44" si="2">AVERAGE(I33:U33)</f>
        <v>19.280304603660692</v>
      </c>
    </row>
    <row r="34" spans="1:22" x14ac:dyDescent="0.3">
      <c r="A34" s="63" t="s">
        <v>178</v>
      </c>
      <c r="B34" s="16">
        <v>26</v>
      </c>
      <c r="C34" s="18"/>
      <c r="D34" s="18"/>
      <c r="E34" s="18"/>
      <c r="F34" s="18"/>
      <c r="I34" s="42">
        <v>18.811027295683459</v>
      </c>
      <c r="J34" s="42">
        <v>19.312431930092526</v>
      </c>
      <c r="K34" s="42">
        <v>20.299093928648475</v>
      </c>
      <c r="V34" s="42">
        <f t="shared" si="2"/>
        <v>19.474184384808154</v>
      </c>
    </row>
    <row r="35" spans="1:22" x14ac:dyDescent="0.3">
      <c r="A35" s="63" t="s">
        <v>179</v>
      </c>
      <c r="B35" s="16">
        <v>27</v>
      </c>
      <c r="C35" s="18"/>
      <c r="D35" s="18"/>
      <c r="E35" s="18"/>
      <c r="F35" s="18"/>
      <c r="I35" s="42">
        <v>18.068601960677569</v>
      </c>
      <c r="J35" s="42">
        <v>19.143331973197778</v>
      </c>
      <c r="K35" s="42">
        <v>18.469896910459951</v>
      </c>
      <c r="V35" s="42">
        <f t="shared" si="2"/>
        <v>18.560610281445097</v>
      </c>
    </row>
    <row r="36" spans="1:22" x14ac:dyDescent="0.3">
      <c r="A36" s="63" t="s">
        <v>180</v>
      </c>
      <c r="B36" s="16">
        <v>28</v>
      </c>
      <c r="C36" s="18"/>
      <c r="D36" s="18"/>
      <c r="E36" s="18"/>
      <c r="F36" s="18"/>
      <c r="I36" s="42">
        <v>19.772378869563024</v>
      </c>
      <c r="J36" s="42">
        <v>18.179527586036066</v>
      </c>
      <c r="K36" s="42">
        <v>20.011122377321914</v>
      </c>
      <c r="V36" s="42">
        <f t="shared" si="2"/>
        <v>19.321009610973665</v>
      </c>
    </row>
    <row r="37" spans="1:22" x14ac:dyDescent="0.3">
      <c r="A37" s="63" t="s">
        <v>181</v>
      </c>
      <c r="B37" s="16">
        <v>29</v>
      </c>
      <c r="C37" s="18"/>
      <c r="D37" s="18"/>
      <c r="E37" s="18"/>
      <c r="F37" s="18"/>
      <c r="I37" s="42">
        <v>18.477719563040193</v>
      </c>
      <c r="J37" s="42">
        <v>17.756540351826303</v>
      </c>
      <c r="K37" s="42">
        <v>18.17029928147095</v>
      </c>
      <c r="V37" s="42">
        <f t="shared" si="2"/>
        <v>18.134853065445814</v>
      </c>
    </row>
    <row r="38" spans="1:22" x14ac:dyDescent="0.3">
      <c r="A38" s="63" t="s">
        <v>182</v>
      </c>
      <c r="B38" s="16">
        <v>30</v>
      </c>
      <c r="C38" s="18"/>
      <c r="D38" s="18"/>
      <c r="E38" s="18"/>
      <c r="F38" s="18"/>
      <c r="I38" s="42">
        <v>19.555902243873106</v>
      </c>
      <c r="J38" s="42">
        <v>19.605615117440223</v>
      </c>
      <c r="K38" s="42">
        <v>19.921607765441454</v>
      </c>
      <c r="V38" s="42">
        <f t="shared" si="2"/>
        <v>19.694375042251593</v>
      </c>
    </row>
    <row r="39" spans="1:22" x14ac:dyDescent="0.3">
      <c r="A39" s="63" t="s">
        <v>183</v>
      </c>
      <c r="B39" s="16">
        <v>31</v>
      </c>
      <c r="C39" s="18"/>
      <c r="D39" s="18"/>
      <c r="E39" s="18"/>
      <c r="F39" s="18"/>
      <c r="I39" s="42">
        <v>18.70123592977421</v>
      </c>
      <c r="J39" s="42">
        <v>18.791706213248297</v>
      </c>
      <c r="K39" s="42">
        <v>20.576759897544136</v>
      </c>
      <c r="V39" s="42">
        <f t="shared" si="2"/>
        <v>19.356567346855545</v>
      </c>
    </row>
    <row r="40" spans="1:22" x14ac:dyDescent="0.3">
      <c r="A40" s="64" t="s">
        <v>184</v>
      </c>
      <c r="B40" s="81">
        <v>32</v>
      </c>
      <c r="C40" s="18"/>
      <c r="D40" s="18"/>
      <c r="E40" s="18"/>
      <c r="F40" s="18"/>
      <c r="L40">
        <v>17.43</v>
      </c>
      <c r="M40" s="47"/>
      <c r="N40" s="42">
        <v>18.044309689604589</v>
      </c>
      <c r="O40" s="42">
        <v>19.715455555921313</v>
      </c>
      <c r="V40" s="42">
        <f t="shared" si="2"/>
        <v>18.396588415175302</v>
      </c>
    </row>
    <row r="41" spans="1:22" x14ac:dyDescent="0.3">
      <c r="A41" s="64" t="s">
        <v>185</v>
      </c>
      <c r="B41" s="81">
        <v>33</v>
      </c>
      <c r="C41" s="18"/>
      <c r="D41" s="18"/>
      <c r="E41" s="18"/>
      <c r="F41" s="18"/>
      <c r="L41">
        <v>20.47</v>
      </c>
      <c r="M41" s="42">
        <v>20.595974958004454</v>
      </c>
      <c r="N41" s="42">
        <v>21.757999685741609</v>
      </c>
      <c r="O41" s="42">
        <v>20.061202074873961</v>
      </c>
      <c r="V41" s="42">
        <f t="shared" si="2"/>
        <v>20.721294179655004</v>
      </c>
    </row>
    <row r="42" spans="1:22" x14ac:dyDescent="0.3">
      <c r="A42" s="64" t="s">
        <v>189</v>
      </c>
      <c r="B42" s="16">
        <v>34</v>
      </c>
      <c r="C42" s="18"/>
      <c r="D42" s="18"/>
      <c r="E42" s="18"/>
      <c r="F42" s="18"/>
      <c r="I42" s="42">
        <v>20.632149277184201</v>
      </c>
      <c r="J42" s="42">
        <v>20.228787186276751</v>
      </c>
      <c r="K42" s="42">
        <v>19.659108955009501</v>
      </c>
      <c r="V42" s="42">
        <f t="shared" si="2"/>
        <v>20.173348472823484</v>
      </c>
    </row>
    <row r="43" spans="1:22" x14ac:dyDescent="0.3">
      <c r="A43" s="64" t="s">
        <v>190</v>
      </c>
      <c r="B43" s="16">
        <v>35</v>
      </c>
      <c r="C43" s="18"/>
      <c r="D43" s="18"/>
      <c r="E43" s="18"/>
      <c r="F43" s="60">
        <v>18.835602432028299</v>
      </c>
      <c r="G43" s="42">
        <v>17.699915100138526</v>
      </c>
      <c r="H43" s="42">
        <v>18.37023532442095</v>
      </c>
      <c r="V43" s="42">
        <f>AVERAGE(F43:U43)</f>
        <v>18.301917618862589</v>
      </c>
    </row>
    <row r="44" spans="1:22" x14ac:dyDescent="0.3">
      <c r="A44" s="64" t="s">
        <v>191</v>
      </c>
      <c r="B44" s="16">
        <v>36</v>
      </c>
      <c r="C44" s="18"/>
      <c r="D44" s="18"/>
      <c r="E44" s="18"/>
      <c r="F44" s="18"/>
      <c r="I44" s="42">
        <v>19.36215736327873</v>
      </c>
      <c r="J44" s="42">
        <v>19.185496292409756</v>
      </c>
      <c r="K44" s="42">
        <v>19.038231492993908</v>
      </c>
      <c r="V44" s="42">
        <f t="shared" si="2"/>
        <v>19.195295049560798</v>
      </c>
    </row>
    <row r="45" spans="1:22" x14ac:dyDescent="0.3">
      <c r="A45" s="18"/>
      <c r="B45" s="16"/>
      <c r="C45" s="18"/>
      <c r="D45" s="18"/>
      <c r="E45" s="18"/>
      <c r="F45" s="18"/>
    </row>
    <row r="46" spans="1:22" x14ac:dyDescent="0.3">
      <c r="A46" s="64" t="s">
        <v>228</v>
      </c>
      <c r="B46" s="16">
        <v>37</v>
      </c>
      <c r="C46" s="18"/>
      <c r="D46" s="18"/>
      <c r="E46" s="18"/>
      <c r="F46" s="18"/>
      <c r="L46" s="42">
        <v>18.071597011364439</v>
      </c>
      <c r="M46" s="42">
        <v>18.724657032562369</v>
      </c>
      <c r="N46" s="42">
        <v>19.838634701207909</v>
      </c>
      <c r="O46" s="42">
        <v>18.711180595939801</v>
      </c>
      <c r="V46" s="42">
        <f>AVERAGE(L46:U46)</f>
        <v>18.836517335268631</v>
      </c>
    </row>
    <row r="47" spans="1:22" x14ac:dyDescent="0.3">
      <c r="A47" s="64" t="s">
        <v>229</v>
      </c>
      <c r="B47" s="16">
        <v>38</v>
      </c>
      <c r="C47" s="18"/>
      <c r="D47" s="18"/>
      <c r="E47" s="18"/>
      <c r="F47" s="18"/>
      <c r="L47" s="42">
        <v>18.938601030712281</v>
      </c>
      <c r="M47" s="42">
        <v>21.337120157145325</v>
      </c>
      <c r="N47" s="42">
        <v>22.126450082146341</v>
      </c>
      <c r="O47" s="42">
        <v>20.240938684982979</v>
      </c>
      <c r="V47" s="42">
        <f t="shared" ref="V47:V54" si="3">AVERAGE(L47:U47)</f>
        <v>20.660777488746731</v>
      </c>
    </row>
    <row r="48" spans="1:22" x14ac:dyDescent="0.3">
      <c r="A48" s="64" t="s">
        <v>230</v>
      </c>
      <c r="B48" s="16">
        <v>39</v>
      </c>
      <c r="C48" s="18"/>
      <c r="D48" s="18"/>
      <c r="E48" s="18"/>
      <c r="F48" s="18"/>
      <c r="L48" s="42">
        <v>17.875135776267168</v>
      </c>
      <c r="M48" s="42">
        <v>20.149498460261619</v>
      </c>
      <c r="N48" s="42">
        <v>20.547031380363812</v>
      </c>
      <c r="O48" s="42">
        <v>17.480781344732247</v>
      </c>
      <c r="V48" s="42">
        <f t="shared" si="3"/>
        <v>19.01311174040621</v>
      </c>
    </row>
    <row r="49" spans="1:23" x14ac:dyDescent="0.3">
      <c r="A49" s="63" t="s">
        <v>231</v>
      </c>
      <c r="B49" s="16">
        <v>40</v>
      </c>
      <c r="C49" s="18"/>
      <c r="D49" s="18"/>
      <c r="E49" s="18"/>
      <c r="F49" s="18"/>
      <c r="L49" s="42">
        <v>16.505512563981213</v>
      </c>
      <c r="M49" s="42">
        <v>18.518254030406919</v>
      </c>
      <c r="N49" s="101"/>
      <c r="O49" s="82"/>
      <c r="Q49" s="42">
        <v>17.688955648452925</v>
      </c>
      <c r="V49" s="42">
        <f t="shared" si="3"/>
        <v>17.570907414280352</v>
      </c>
    </row>
    <row r="50" spans="1:23" x14ac:dyDescent="0.3">
      <c r="A50" s="63" t="s">
        <v>232</v>
      </c>
      <c r="B50" s="16">
        <v>41</v>
      </c>
      <c r="C50" s="18"/>
      <c r="D50" s="18"/>
      <c r="E50" s="18"/>
      <c r="F50" s="18"/>
      <c r="L50" s="42">
        <v>16.368350819281922</v>
      </c>
      <c r="M50" s="42">
        <v>16.986263651007686</v>
      </c>
      <c r="N50" s="42">
        <v>17.331833334651336</v>
      </c>
      <c r="O50" s="42">
        <v>15.78360295692684</v>
      </c>
      <c r="V50" s="42">
        <f t="shared" si="3"/>
        <v>16.617512690466945</v>
      </c>
    </row>
    <row r="51" spans="1:23" x14ac:dyDescent="0.3">
      <c r="A51" s="63" t="s">
        <v>233</v>
      </c>
      <c r="B51" s="16">
        <v>42</v>
      </c>
      <c r="C51" s="18"/>
      <c r="D51" s="18"/>
      <c r="E51" s="18"/>
      <c r="F51" s="18"/>
      <c r="L51" s="42">
        <v>19.870309841396605</v>
      </c>
      <c r="M51" s="42">
        <v>16.571584896420401</v>
      </c>
      <c r="N51" s="42">
        <v>16.072971194641013</v>
      </c>
      <c r="O51" s="42">
        <v>15.437947642506296</v>
      </c>
      <c r="V51" s="42">
        <f t="shared" si="3"/>
        <v>16.988203393741081</v>
      </c>
    </row>
    <row r="52" spans="1:23" x14ac:dyDescent="0.3">
      <c r="A52" s="63" t="s">
        <v>234</v>
      </c>
      <c r="B52" s="16">
        <v>43</v>
      </c>
      <c r="C52" s="18"/>
      <c r="D52" s="18"/>
      <c r="E52" s="18"/>
      <c r="F52" s="18"/>
      <c r="L52" s="47"/>
      <c r="M52" s="42">
        <v>10.628586713788737</v>
      </c>
      <c r="N52" s="42">
        <v>9.5818442569636542</v>
      </c>
      <c r="O52" s="82"/>
      <c r="Q52" s="42">
        <v>9.7187297857280495</v>
      </c>
      <c r="V52" s="42">
        <f t="shared" si="3"/>
        <v>9.9763869188268135</v>
      </c>
    </row>
    <row r="53" spans="1:23" x14ac:dyDescent="0.3">
      <c r="A53" s="63" t="s">
        <v>235</v>
      </c>
      <c r="B53" s="16">
        <v>44</v>
      </c>
      <c r="C53" s="18"/>
      <c r="D53" s="18"/>
      <c r="E53" s="18"/>
      <c r="F53" s="18"/>
      <c r="L53" s="82"/>
      <c r="M53" s="82"/>
      <c r="N53" s="42">
        <v>10.680433479601707</v>
      </c>
      <c r="O53" s="42">
        <v>8.9906105142293828</v>
      </c>
      <c r="Q53" s="42">
        <v>10.229655006325766</v>
      </c>
      <c r="V53" s="42">
        <f t="shared" si="3"/>
        <v>9.9668996667189518</v>
      </c>
    </row>
    <row r="54" spans="1:23" x14ac:dyDescent="0.3">
      <c r="A54" s="63" t="s">
        <v>236</v>
      </c>
      <c r="B54" s="16">
        <v>45</v>
      </c>
      <c r="C54" s="18"/>
      <c r="D54" s="18"/>
      <c r="E54" s="18"/>
      <c r="F54" s="18"/>
      <c r="L54" s="82"/>
      <c r="M54" s="42">
        <v>13.574129644800353</v>
      </c>
      <c r="N54" s="42">
        <v>13.606310008750503</v>
      </c>
      <c r="O54" s="42">
        <v>13.792015614515542</v>
      </c>
      <c r="V54" s="42">
        <f t="shared" si="3"/>
        <v>13.657485089355466</v>
      </c>
    </row>
    <row r="55" spans="1:23" x14ac:dyDescent="0.3">
      <c r="A55" s="64" t="s">
        <v>242</v>
      </c>
      <c r="B55" s="16">
        <v>46</v>
      </c>
      <c r="C55" s="18"/>
      <c r="D55" s="18"/>
      <c r="E55" s="18"/>
      <c r="F55" s="18"/>
      <c r="P55" s="82">
        <v>7.9616678501492251</v>
      </c>
      <c r="Q55" s="42">
        <v>8.1505458919104168</v>
      </c>
      <c r="R55" s="42">
        <v>8.5480834897016678</v>
      </c>
      <c r="S55" s="42"/>
      <c r="T55" s="42"/>
      <c r="U55" s="42"/>
      <c r="V55" s="42">
        <f>AVERAGE(P55:R55)</f>
        <v>8.220099077253769</v>
      </c>
      <c r="W55" t="s">
        <v>291</v>
      </c>
    </row>
    <row r="56" spans="1:23" x14ac:dyDescent="0.3">
      <c r="A56" s="64"/>
      <c r="B56" s="16"/>
      <c r="C56" s="18"/>
      <c r="D56" s="18"/>
      <c r="E56" s="18"/>
      <c r="F56" s="18"/>
      <c r="V56" s="42"/>
    </row>
    <row r="57" spans="1:23" x14ac:dyDescent="0.3">
      <c r="A57" s="64" t="s">
        <v>243</v>
      </c>
      <c r="B57" s="16">
        <v>47</v>
      </c>
      <c r="C57" s="18"/>
      <c r="D57" s="18"/>
      <c r="E57" s="18"/>
      <c r="F57" s="18"/>
      <c r="P57" s="42">
        <v>19.489066396101254</v>
      </c>
      <c r="Q57" s="42">
        <v>20.758578840676364</v>
      </c>
      <c r="R57" s="42">
        <v>16.567725910417693</v>
      </c>
      <c r="S57" s="42"/>
      <c r="T57" s="42"/>
      <c r="U57" s="42"/>
      <c r="V57" s="42">
        <f>AVERAGE(P57:R57)</f>
        <v>18.938457049065104</v>
      </c>
    </row>
    <row r="58" spans="1:23" x14ac:dyDescent="0.3">
      <c r="A58" s="64" t="s">
        <v>244</v>
      </c>
      <c r="B58" s="16">
        <v>48</v>
      </c>
      <c r="C58" s="18"/>
      <c r="D58" s="18"/>
      <c r="E58" s="18"/>
      <c r="F58" s="18"/>
      <c r="P58" s="101">
        <v>16.034981120338546</v>
      </c>
      <c r="Q58" s="42">
        <v>19.195993293183079</v>
      </c>
      <c r="R58" s="42">
        <v>18.667482926285352</v>
      </c>
      <c r="S58" s="42"/>
      <c r="T58" s="42"/>
      <c r="U58" s="42"/>
      <c r="V58" s="42">
        <f>AVERAGE(P58:R58)</f>
        <v>17.966152446602326</v>
      </c>
    </row>
    <row r="59" spans="1:23" x14ac:dyDescent="0.3">
      <c r="A59" s="64" t="s">
        <v>245</v>
      </c>
      <c r="B59" s="16">
        <v>49</v>
      </c>
      <c r="C59" s="18"/>
      <c r="D59" s="18"/>
      <c r="E59" s="18"/>
      <c r="F59" s="18"/>
      <c r="P59" s="42">
        <v>19.51593877760466</v>
      </c>
      <c r="Q59" s="82">
        <v>18.491028589449137</v>
      </c>
      <c r="R59" s="42">
        <v>19.676482229784966</v>
      </c>
      <c r="S59" s="42"/>
      <c r="T59" s="42"/>
      <c r="U59" s="42"/>
      <c r="V59" s="42">
        <f>AVERAGE(P59:R59)</f>
        <v>19.227816532279586</v>
      </c>
    </row>
    <row r="60" spans="1:23" x14ac:dyDescent="0.3">
      <c r="A60" s="63" t="s">
        <v>246</v>
      </c>
      <c r="B60" s="16">
        <v>50</v>
      </c>
      <c r="C60" s="18"/>
      <c r="D60" s="18"/>
      <c r="E60" s="18"/>
      <c r="F60" s="18"/>
      <c r="P60" s="82">
        <v>21.322524794485567</v>
      </c>
      <c r="Q60" s="42">
        <v>20.106237796585177</v>
      </c>
      <c r="R60" s="42">
        <v>19.885557579584408</v>
      </c>
      <c r="S60" s="42"/>
      <c r="T60" s="42"/>
      <c r="U60" s="42"/>
      <c r="V60" s="42">
        <f>AVERAGE(P60:R60)</f>
        <v>20.438106723551716</v>
      </c>
    </row>
    <row r="61" spans="1:23" x14ac:dyDescent="0.3">
      <c r="A61" s="63" t="s">
        <v>247</v>
      </c>
      <c r="B61" s="16">
        <v>51</v>
      </c>
      <c r="C61" s="18"/>
      <c r="D61" s="18"/>
      <c r="E61" s="18"/>
      <c r="F61" s="18"/>
      <c r="P61" s="42">
        <v>13.983583999250301</v>
      </c>
      <c r="Q61" s="42">
        <v>14.885978285579785</v>
      </c>
      <c r="R61" s="42">
        <v>14.550816491879845</v>
      </c>
      <c r="S61" s="42"/>
      <c r="T61" s="42"/>
      <c r="U61" s="42"/>
      <c r="V61" s="42">
        <f>AVERAGE(P61:R61)</f>
        <v>14.473459592236644</v>
      </c>
    </row>
    <row r="62" spans="1:23" x14ac:dyDescent="0.3">
      <c r="A62" s="63" t="s">
        <v>248</v>
      </c>
      <c r="B62" s="16">
        <v>52</v>
      </c>
      <c r="C62" s="18"/>
      <c r="D62" s="18"/>
      <c r="E62" s="18"/>
      <c r="F62" s="18"/>
      <c r="P62" s="42">
        <v>15.829998355556542</v>
      </c>
      <c r="Q62" s="42">
        <v>15.6958145672547</v>
      </c>
      <c r="R62" s="42">
        <v>15.382656136622701</v>
      </c>
      <c r="S62" s="42"/>
      <c r="T62" s="42"/>
      <c r="U62" s="42"/>
      <c r="V62" s="42">
        <f>AVERAGE(P62:R62)</f>
        <v>15.636156353144647</v>
      </c>
    </row>
    <row r="63" spans="1:23" x14ac:dyDescent="0.3">
      <c r="A63" s="63" t="s">
        <v>249</v>
      </c>
      <c r="B63" s="16">
        <v>53</v>
      </c>
      <c r="C63" s="18"/>
      <c r="D63" s="18"/>
      <c r="E63" s="18"/>
      <c r="F63" s="18"/>
    </row>
    <row r="64" spans="1:23" x14ac:dyDescent="0.3">
      <c r="A64" s="63" t="s">
        <v>250</v>
      </c>
      <c r="B64" s="16">
        <v>54</v>
      </c>
      <c r="C64" s="18"/>
      <c r="D64" s="18"/>
      <c r="E64" s="18"/>
      <c r="F64" s="18"/>
    </row>
    <row r="65" spans="1:22" x14ac:dyDescent="0.3">
      <c r="A65" s="63" t="s">
        <v>251</v>
      </c>
      <c r="B65" s="16">
        <v>55</v>
      </c>
      <c r="C65" s="18"/>
      <c r="D65" s="18"/>
      <c r="E65" s="18"/>
      <c r="F65" s="18"/>
    </row>
    <row r="66" spans="1:22" x14ac:dyDescent="0.3">
      <c r="A66" s="64" t="s">
        <v>252</v>
      </c>
      <c r="B66" s="16">
        <v>56</v>
      </c>
      <c r="C66" s="18"/>
      <c r="D66" s="18"/>
      <c r="E66" s="18"/>
      <c r="F66" s="18"/>
    </row>
    <row r="67" spans="1:22" x14ac:dyDescent="0.3">
      <c r="A67" s="18"/>
      <c r="B67" s="16"/>
      <c r="C67" s="18"/>
      <c r="D67" s="18"/>
      <c r="E67" s="18"/>
      <c r="F67" s="18"/>
    </row>
    <row r="68" spans="1:22" x14ac:dyDescent="0.3">
      <c r="A68" s="64" t="s">
        <v>253</v>
      </c>
      <c r="B68" s="16">
        <v>57</v>
      </c>
      <c r="C68" s="18"/>
      <c r="D68" s="18"/>
      <c r="E68" s="18"/>
      <c r="F68" s="18"/>
    </row>
    <row r="69" spans="1:22" x14ac:dyDescent="0.3">
      <c r="A69" s="64" t="s">
        <v>254</v>
      </c>
      <c r="B69" s="16">
        <v>58</v>
      </c>
      <c r="C69" s="18"/>
      <c r="D69" s="18"/>
      <c r="E69" s="18"/>
      <c r="F69" s="18"/>
    </row>
    <row r="70" spans="1:22" x14ac:dyDescent="0.3">
      <c r="A70" s="64" t="s">
        <v>255</v>
      </c>
      <c r="B70" s="16">
        <v>59</v>
      </c>
      <c r="C70" s="18"/>
      <c r="D70" s="18"/>
      <c r="E70" s="18"/>
      <c r="F70" s="18"/>
    </row>
    <row r="71" spans="1:22" x14ac:dyDescent="0.3">
      <c r="A71" s="63" t="s">
        <v>256</v>
      </c>
      <c r="B71" s="16">
        <v>60</v>
      </c>
      <c r="C71" s="18"/>
      <c r="D71" s="18"/>
      <c r="E71" s="18"/>
      <c r="F71" s="18"/>
    </row>
    <row r="72" spans="1:22" x14ac:dyDescent="0.3">
      <c r="A72" s="63" t="s">
        <v>257</v>
      </c>
      <c r="B72" s="16">
        <v>61</v>
      </c>
      <c r="C72" s="18"/>
      <c r="D72" s="18"/>
      <c r="E72" s="18"/>
      <c r="F72" s="18"/>
    </row>
    <row r="73" spans="1:22" x14ac:dyDescent="0.3">
      <c r="A73" s="63" t="s">
        <v>258</v>
      </c>
      <c r="B73" s="16">
        <v>62</v>
      </c>
      <c r="C73" s="18"/>
      <c r="D73" s="18"/>
      <c r="E73" s="18"/>
      <c r="F73" s="18"/>
    </row>
    <row r="74" spans="1:22" x14ac:dyDescent="0.3">
      <c r="A74" s="63" t="s">
        <v>259</v>
      </c>
      <c r="B74" s="16">
        <v>63</v>
      </c>
      <c r="C74" s="18"/>
      <c r="D74" s="18"/>
      <c r="E74" s="18"/>
      <c r="F74" s="18"/>
      <c r="P74" s="42">
        <v>16.784506942705928</v>
      </c>
      <c r="Q74" s="42">
        <v>16.417807184815409</v>
      </c>
      <c r="R74" s="42">
        <v>16.893272596869181</v>
      </c>
      <c r="S74" s="42"/>
      <c r="T74" s="42"/>
      <c r="U74" s="42"/>
      <c r="V74" s="42">
        <f>AVERAGE(P74:R74)</f>
        <v>16.698528908130172</v>
      </c>
    </row>
    <row r="75" spans="1:22" x14ac:dyDescent="0.3">
      <c r="A75" s="63" t="s">
        <v>260</v>
      </c>
      <c r="B75" s="16">
        <v>64</v>
      </c>
      <c r="C75" s="18"/>
      <c r="D75" s="18"/>
      <c r="E75" s="18"/>
      <c r="F75" s="18"/>
      <c r="P75" s="42">
        <v>21.169652597556048</v>
      </c>
      <c r="Q75" s="42">
        <v>20.431465998721247</v>
      </c>
      <c r="R75" s="42">
        <v>21.099419413742925</v>
      </c>
      <c r="S75" s="42"/>
      <c r="T75" s="42"/>
      <c r="U75" s="42"/>
      <c r="V75" s="42">
        <f>AVERAGE(P75:R75)</f>
        <v>20.900179336673407</v>
      </c>
    </row>
    <row r="76" spans="1:22" x14ac:dyDescent="0.3">
      <c r="A76" s="63" t="s">
        <v>261</v>
      </c>
      <c r="B76" s="16">
        <v>65</v>
      </c>
      <c r="C76" s="18"/>
      <c r="D76" s="18"/>
      <c r="E76" s="18"/>
      <c r="F76" s="18"/>
      <c r="P76" s="42">
        <v>19.147809228120376</v>
      </c>
      <c r="Q76" s="42">
        <v>19.963608329413862</v>
      </c>
      <c r="R76" s="42">
        <v>18.844802620636926</v>
      </c>
      <c r="S76" s="42"/>
      <c r="T76" s="42"/>
      <c r="U76" s="42"/>
      <c r="V76" s="42">
        <f>AVERAGE(P76:R76)</f>
        <v>19.31874005939039</v>
      </c>
    </row>
    <row r="77" spans="1:22" x14ac:dyDescent="0.3">
      <c r="A77" s="64" t="s">
        <v>262</v>
      </c>
      <c r="B77" s="81">
        <v>66</v>
      </c>
      <c r="C77" s="18"/>
      <c r="D77" s="18"/>
      <c r="E77" s="18"/>
      <c r="F77" s="18"/>
      <c r="P77" s="42">
        <v>17.47264072134498</v>
      </c>
      <c r="Q77" s="42">
        <v>19.037380603494029</v>
      </c>
      <c r="R77" s="42">
        <v>18.014854219022371</v>
      </c>
      <c r="S77" s="42"/>
      <c r="T77" s="42"/>
      <c r="U77" s="42"/>
      <c r="V77" s="42">
        <f>AVERAGE(P77:R77)</f>
        <v>18.17495851462046</v>
      </c>
    </row>
    <row r="78" spans="1:22" x14ac:dyDescent="0.3">
      <c r="A78" s="16"/>
      <c r="B78" s="18"/>
      <c r="C78" s="18"/>
      <c r="D78" s="18"/>
      <c r="E78" s="18"/>
      <c r="F78" s="18"/>
    </row>
    <row r="79" spans="1:22" x14ac:dyDescent="0.3">
      <c r="A79" s="16"/>
      <c r="B79" s="18"/>
      <c r="C79" s="18"/>
      <c r="D79" s="18"/>
      <c r="E79" s="18"/>
      <c r="F79" s="18"/>
    </row>
    <row r="80" spans="1:22" x14ac:dyDescent="0.3">
      <c r="A80" s="16"/>
      <c r="B80" s="18"/>
      <c r="C80" s="18"/>
      <c r="D80" s="18"/>
      <c r="E80" s="18"/>
      <c r="F80" s="18"/>
    </row>
    <row r="81" spans="1:6" x14ac:dyDescent="0.3">
      <c r="A81" s="16"/>
      <c r="B81" s="18"/>
      <c r="C81" s="18"/>
      <c r="D81" s="18"/>
      <c r="E81" s="18"/>
      <c r="F81" s="18"/>
    </row>
    <row r="82" spans="1:6" x14ac:dyDescent="0.3">
      <c r="A82" s="16"/>
      <c r="B82" s="18"/>
      <c r="C82" s="18"/>
      <c r="D82" s="18"/>
      <c r="E82" s="18"/>
      <c r="F82" s="18"/>
    </row>
    <row r="83" spans="1:6" x14ac:dyDescent="0.3">
      <c r="A83" s="16"/>
      <c r="B83" s="18"/>
      <c r="C83" s="18"/>
      <c r="D83" s="18"/>
      <c r="E83" s="18"/>
      <c r="F83" s="18"/>
    </row>
    <row r="84" spans="1:6" x14ac:dyDescent="0.3">
      <c r="A84" s="16"/>
      <c r="B84" s="18"/>
      <c r="C84" s="18"/>
      <c r="D84" s="18"/>
      <c r="E84" s="18"/>
      <c r="F84" s="18"/>
    </row>
    <row r="85" spans="1:6" x14ac:dyDescent="0.3">
      <c r="A85" s="16"/>
      <c r="B85" s="18"/>
      <c r="C85" s="18"/>
      <c r="D85" s="18"/>
      <c r="E85" s="18"/>
      <c r="F85" s="18"/>
    </row>
    <row r="86" spans="1:6" x14ac:dyDescent="0.3">
      <c r="A86" s="16"/>
      <c r="B86" s="18"/>
      <c r="C86" s="18"/>
      <c r="D86" s="18"/>
      <c r="E86" s="18"/>
      <c r="F86" s="18"/>
    </row>
    <row r="87" spans="1:6" x14ac:dyDescent="0.3">
      <c r="A87" s="16"/>
      <c r="B87" s="18"/>
      <c r="C87" s="18"/>
      <c r="D87" s="18"/>
      <c r="E87" s="18"/>
      <c r="F87" s="18"/>
    </row>
    <row r="88" spans="1:6" x14ac:dyDescent="0.3">
      <c r="A88" s="16"/>
      <c r="B88" s="18"/>
      <c r="C88" s="18"/>
      <c r="D88" s="18"/>
      <c r="E88" s="18"/>
      <c r="F88" s="18"/>
    </row>
    <row r="89" spans="1:6" x14ac:dyDescent="0.3">
      <c r="A89" s="16"/>
      <c r="B89" s="18"/>
      <c r="C89" s="18"/>
      <c r="D89" s="18"/>
      <c r="E89" s="18"/>
      <c r="F89" s="18"/>
    </row>
    <row r="90" spans="1:6" x14ac:dyDescent="0.3">
      <c r="A90" s="16"/>
      <c r="B90" s="18"/>
      <c r="C90" s="18"/>
      <c r="D90" s="18"/>
      <c r="E90" s="18"/>
      <c r="F90" s="18"/>
    </row>
    <row r="91" spans="1:6" x14ac:dyDescent="0.3">
      <c r="A91" s="16"/>
      <c r="B91" s="18"/>
      <c r="C91" s="18"/>
      <c r="D91" s="18"/>
      <c r="E91" s="18"/>
      <c r="F91" s="18"/>
    </row>
    <row r="92" spans="1:6" x14ac:dyDescent="0.3">
      <c r="A92" s="16"/>
      <c r="B92" s="18"/>
      <c r="C92" s="18"/>
      <c r="D92" s="18"/>
      <c r="E92" s="18"/>
      <c r="F92" s="18"/>
    </row>
    <row r="93" spans="1:6" x14ac:dyDescent="0.3">
      <c r="A93" s="16"/>
      <c r="B93" s="18"/>
      <c r="C93" s="18"/>
      <c r="D93" s="18"/>
      <c r="E93" s="18"/>
      <c r="F93" s="18"/>
    </row>
    <row r="94" spans="1:6" x14ac:dyDescent="0.3">
      <c r="A94" s="16"/>
      <c r="B94" s="18"/>
      <c r="C94" s="18"/>
      <c r="D94" s="18"/>
      <c r="E94" s="18"/>
      <c r="F94" s="18"/>
    </row>
    <row r="95" spans="1:6" x14ac:dyDescent="0.3">
      <c r="A95" s="16"/>
      <c r="B95" s="18"/>
      <c r="C95" s="18"/>
      <c r="D95" s="18"/>
      <c r="E95" s="18"/>
      <c r="F95" s="18"/>
    </row>
    <row r="96" spans="1:6" x14ac:dyDescent="0.3">
      <c r="A96" s="16"/>
      <c r="B96" s="18"/>
      <c r="C96" s="18"/>
      <c r="D96" s="18"/>
      <c r="E96" s="18"/>
      <c r="F96" s="18"/>
    </row>
    <row r="97" spans="1:6" x14ac:dyDescent="0.3">
      <c r="A97" s="16"/>
      <c r="B97" s="18"/>
      <c r="C97" s="18"/>
      <c r="D97" s="18"/>
      <c r="E97" s="18"/>
      <c r="F97" s="18"/>
    </row>
    <row r="98" spans="1:6" x14ac:dyDescent="0.3">
      <c r="A98" s="16"/>
      <c r="B98" s="18"/>
      <c r="C98" s="18"/>
      <c r="D98" s="18"/>
      <c r="E98" s="18"/>
      <c r="F98" s="18"/>
    </row>
    <row r="99" spans="1:6" x14ac:dyDescent="0.3">
      <c r="A99" s="16"/>
      <c r="B99" s="18"/>
      <c r="C99" s="18"/>
      <c r="D99" s="18"/>
      <c r="E99" s="18"/>
      <c r="F99" s="18"/>
    </row>
    <row r="100" spans="1:6" x14ac:dyDescent="0.3">
      <c r="A100" s="16"/>
      <c r="B100" s="18"/>
      <c r="C100" s="18"/>
      <c r="D100" s="18"/>
      <c r="E100" s="18"/>
      <c r="F100" s="18"/>
    </row>
    <row r="101" spans="1:6" x14ac:dyDescent="0.3">
      <c r="A101" s="16"/>
      <c r="B101" s="18"/>
      <c r="C101" s="18"/>
      <c r="D101" s="18"/>
      <c r="E101" s="18"/>
      <c r="F101" s="18"/>
    </row>
    <row r="102" spans="1:6" x14ac:dyDescent="0.3">
      <c r="A102" s="16"/>
      <c r="B102" s="18"/>
      <c r="C102" s="18"/>
      <c r="D102" s="18"/>
      <c r="E102" s="18"/>
      <c r="F102" s="18"/>
    </row>
    <row r="103" spans="1:6" x14ac:dyDescent="0.3">
      <c r="A103" s="16"/>
      <c r="B103" s="18"/>
      <c r="C103" s="18"/>
      <c r="D103" s="18"/>
      <c r="E103" s="18"/>
      <c r="F103" s="18"/>
    </row>
    <row r="104" spans="1:6" x14ac:dyDescent="0.3">
      <c r="A104" s="16"/>
      <c r="B104" s="18"/>
      <c r="C104" s="18"/>
      <c r="D104" s="18"/>
      <c r="E104" s="18"/>
      <c r="F104" s="18"/>
    </row>
    <row r="105" spans="1:6" x14ac:dyDescent="0.3">
      <c r="A105" s="16"/>
      <c r="B105" s="18"/>
      <c r="C105" s="18"/>
      <c r="D105" s="18"/>
      <c r="E105" s="18"/>
      <c r="F105" s="18"/>
    </row>
    <row r="106" spans="1:6" x14ac:dyDescent="0.3">
      <c r="A106" s="16"/>
      <c r="B106" s="18"/>
      <c r="C106" s="18"/>
      <c r="D106" s="18"/>
      <c r="E106" s="18"/>
      <c r="F106" s="18"/>
    </row>
    <row r="107" spans="1:6" x14ac:dyDescent="0.3">
      <c r="A107" s="16"/>
      <c r="B107" s="18"/>
      <c r="C107" s="18"/>
      <c r="D107" s="18"/>
      <c r="E107" s="18"/>
      <c r="F107" s="18"/>
    </row>
    <row r="108" spans="1:6" x14ac:dyDescent="0.3">
      <c r="A108" s="16"/>
      <c r="B108" s="18"/>
      <c r="C108" s="18"/>
      <c r="D108" s="18"/>
      <c r="E108" s="18"/>
      <c r="F108" s="18"/>
    </row>
    <row r="109" spans="1:6" x14ac:dyDescent="0.3">
      <c r="A109" s="16"/>
      <c r="B109" s="18"/>
      <c r="C109" s="18"/>
      <c r="D109" s="18"/>
      <c r="E109" s="18"/>
      <c r="F109" s="18"/>
    </row>
    <row r="110" spans="1:6" x14ac:dyDescent="0.3">
      <c r="A110" s="16"/>
      <c r="B110" s="18"/>
      <c r="C110" s="18"/>
      <c r="D110" s="18"/>
      <c r="E110" s="18"/>
      <c r="F110" s="18"/>
    </row>
    <row r="111" spans="1:6" x14ac:dyDescent="0.3">
      <c r="A111" s="16"/>
      <c r="B111" s="18"/>
      <c r="C111" s="18"/>
      <c r="D111" s="18"/>
      <c r="E111" s="18"/>
      <c r="F111" s="18"/>
    </row>
    <row r="112" spans="1:6" x14ac:dyDescent="0.3">
      <c r="A112" s="16"/>
      <c r="B112" s="18"/>
      <c r="C112" s="18"/>
      <c r="D112" s="18"/>
      <c r="E112" s="18"/>
      <c r="F112" s="18"/>
    </row>
    <row r="113" spans="1:6" x14ac:dyDescent="0.3">
      <c r="A113" s="16"/>
      <c r="B113" s="18"/>
      <c r="C113" s="18"/>
      <c r="D113" s="18"/>
      <c r="E113" s="18"/>
      <c r="F113" s="18"/>
    </row>
    <row r="114" spans="1:6" x14ac:dyDescent="0.3">
      <c r="A114" s="16"/>
      <c r="B114" s="18"/>
      <c r="C114" s="18"/>
      <c r="D114" s="18"/>
      <c r="E114" s="18"/>
      <c r="F114" s="18"/>
    </row>
    <row r="115" spans="1:6" x14ac:dyDescent="0.3">
      <c r="A115" s="16"/>
      <c r="B115" s="18"/>
      <c r="C115" s="18"/>
      <c r="D115" s="18"/>
      <c r="E115" s="18"/>
      <c r="F115" s="18"/>
    </row>
    <row r="116" spans="1:6" x14ac:dyDescent="0.3">
      <c r="A116" s="16"/>
      <c r="B116" s="18"/>
      <c r="C116" s="18"/>
      <c r="D116" s="18"/>
      <c r="E116" s="18"/>
      <c r="F116" s="18"/>
    </row>
    <row r="117" spans="1:6" x14ac:dyDescent="0.3">
      <c r="A117" s="16"/>
      <c r="B117" s="18"/>
      <c r="C117" s="18"/>
      <c r="D117" s="18"/>
      <c r="E117" s="18"/>
      <c r="F117" s="18"/>
    </row>
    <row r="118" spans="1:6" x14ac:dyDescent="0.3">
      <c r="A118" s="16"/>
      <c r="B118" s="18"/>
      <c r="C118" s="18"/>
      <c r="D118" s="18"/>
      <c r="E118" s="18"/>
      <c r="F118" s="18"/>
    </row>
    <row r="119" spans="1:6" x14ac:dyDescent="0.3">
      <c r="A119" s="16"/>
      <c r="B119" s="18"/>
      <c r="C119" s="18"/>
      <c r="D119" s="18"/>
      <c r="E119" s="18"/>
      <c r="F119" s="18"/>
    </row>
  </sheetData>
  <mergeCells count="2">
    <mergeCell ref="A2:C2"/>
    <mergeCell ref="A3:C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ck list</vt:lpstr>
      <vt:lpstr>seq repeats 7Aug20</vt:lpstr>
      <vt:lpstr>titers</vt:lpstr>
      <vt:lpstr>fitness assays</vt:lpstr>
      <vt:lpstr>w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LuAnn Scott</dc:creator>
  <cp:lastModifiedBy>Scott, Luann (lscott@uidaho.edu)</cp:lastModifiedBy>
  <cp:lastPrinted>2020-10-21T19:24:36Z</cp:lastPrinted>
  <dcterms:created xsi:type="dcterms:W3CDTF">2020-07-24T01:44:49Z</dcterms:created>
  <dcterms:modified xsi:type="dcterms:W3CDTF">2020-10-24T00:34:15Z</dcterms:modified>
</cp:coreProperties>
</file>