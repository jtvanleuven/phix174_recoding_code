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altman\Dropbox\R01 phage research\Data\FGH combos\Emma\"/>
    </mc:Choice>
  </mc:AlternateContent>
  <xr:revisionPtr revIDLastSave="0" documentId="13_ncr:1_{99DC203E-3AF3-427B-803E-1A53A31E5000}" xr6:coauthVersionLast="47" xr6:coauthVersionMax="47" xr10:uidLastSave="{00000000-0000-0000-0000-000000000000}"/>
  <bookViews>
    <workbookView xWindow="30" yWindow="390" windowWidth="20460" windowHeight="10890" activeTab="2" xr2:uid="{F535AC53-1B6B-427B-9433-A4666BFC6894}"/>
  </bookViews>
  <sheets>
    <sheet name="titers- orig.fitness" sheetId="1" r:id="rId1"/>
    <sheet name="Passaging Prep" sheetId="5" r:id="rId2"/>
    <sheet name="Passaging Data" sheetId="2" r:id="rId3"/>
    <sheet name="Summary" sheetId="13" r:id="rId4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50" i="13" l="1"/>
  <c r="L250" i="13"/>
  <c r="M249" i="13"/>
  <c r="L249" i="13"/>
  <c r="O236" i="13"/>
  <c r="M236" i="13"/>
  <c r="N236" i="13"/>
  <c r="L236" i="13"/>
  <c r="M248" i="13"/>
  <c r="L248" i="13"/>
  <c r="O242" i="13"/>
  <c r="M242" i="13"/>
  <c r="N242" i="13"/>
  <c r="L242" i="13"/>
  <c r="O235" i="13"/>
  <c r="M235" i="13"/>
  <c r="N235" i="13"/>
  <c r="L235" i="13"/>
  <c r="P234" i="13"/>
  <c r="Q234" i="13"/>
  <c r="O234" i="13"/>
  <c r="M234" i="13"/>
  <c r="N234" i="13"/>
  <c r="L234" i="13"/>
  <c r="P253" i="2"/>
  <c r="I253" i="2"/>
  <c r="J253" i="2"/>
  <c r="R253" i="2"/>
  <c r="O253" i="2"/>
  <c r="G253" i="2"/>
  <c r="O247" i="13"/>
  <c r="M247" i="13"/>
  <c r="N247" i="13"/>
  <c r="L247" i="13"/>
  <c r="O241" i="13"/>
  <c r="M241" i="13"/>
  <c r="N241" i="13"/>
  <c r="L241" i="13"/>
  <c r="O233" i="13"/>
  <c r="M233" i="13"/>
  <c r="L233" i="13"/>
  <c r="N233" i="13"/>
  <c r="O246" i="13"/>
  <c r="N246" i="13"/>
  <c r="M246" i="13"/>
  <c r="P242" i="2"/>
  <c r="F242" i="2"/>
  <c r="I242" i="2"/>
  <c r="J242" i="2"/>
  <c r="R242" i="2"/>
  <c r="P232" i="13"/>
  <c r="Q232" i="13"/>
  <c r="P233" i="13"/>
  <c r="Q233" i="13"/>
  <c r="P235" i="13"/>
  <c r="Q235" i="13"/>
  <c r="P236" i="13"/>
  <c r="Q236" i="13"/>
  <c r="P241" i="13"/>
  <c r="Q241" i="13"/>
  <c r="P242" i="13"/>
  <c r="Q242" i="13"/>
  <c r="P246" i="13"/>
  <c r="Q246" i="13"/>
  <c r="P247" i="13"/>
  <c r="Q247" i="13"/>
  <c r="P248" i="13"/>
  <c r="Q248" i="13"/>
  <c r="P249" i="13"/>
  <c r="Q249" i="13"/>
  <c r="P250" i="13"/>
  <c r="Q250" i="13"/>
  <c r="M227" i="13"/>
  <c r="L227" i="13"/>
  <c r="P227" i="13"/>
  <c r="O227" i="13"/>
  <c r="N227" i="13"/>
  <c r="Q227" i="13"/>
  <c r="M216" i="13"/>
  <c r="L216" i="13"/>
  <c r="P216" i="13"/>
  <c r="N216" i="13"/>
  <c r="Q216" i="13"/>
  <c r="O210" i="13"/>
  <c r="M210" i="13"/>
  <c r="N210" i="13"/>
  <c r="L210" i="13"/>
  <c r="P210" i="13"/>
  <c r="Q210" i="13"/>
  <c r="N255" i="2"/>
  <c r="O255" i="2"/>
  <c r="P255" i="2"/>
  <c r="G255" i="2"/>
  <c r="P256" i="2"/>
  <c r="P257" i="2"/>
  <c r="F257" i="2"/>
  <c r="I257" i="2"/>
  <c r="J257" i="2"/>
  <c r="R257" i="2"/>
  <c r="F256" i="2"/>
  <c r="I256" i="2"/>
  <c r="J256" i="2"/>
  <c r="R256" i="2"/>
  <c r="F255" i="2"/>
  <c r="I255" i="2"/>
  <c r="J255" i="2"/>
  <c r="R255" i="2"/>
  <c r="P252" i="2"/>
  <c r="K251" i="2"/>
  <c r="L251" i="2"/>
  <c r="M251" i="2"/>
  <c r="P251" i="2"/>
  <c r="O250" i="2"/>
  <c r="P250" i="2"/>
  <c r="G250" i="2"/>
  <c r="G251" i="2"/>
  <c r="F252" i="2"/>
  <c r="I252" i="2"/>
  <c r="J252" i="2"/>
  <c r="R252" i="2"/>
  <c r="F251" i="2"/>
  <c r="I251" i="2"/>
  <c r="J251" i="2"/>
  <c r="R251" i="2"/>
  <c r="F250" i="2"/>
  <c r="I250" i="2"/>
  <c r="J250" i="2"/>
  <c r="R250" i="2"/>
  <c r="F8" i="5"/>
  <c r="F10" i="5"/>
  <c r="F13" i="5"/>
  <c r="F12" i="5"/>
  <c r="F11" i="5"/>
  <c r="F9" i="5"/>
  <c r="B8" i="5"/>
  <c r="B10" i="5"/>
  <c r="B13" i="5"/>
  <c r="B12" i="5"/>
  <c r="B11" i="5"/>
  <c r="B9" i="5"/>
  <c r="P247" i="2"/>
  <c r="M246" i="2"/>
  <c r="N246" i="2"/>
  <c r="P246" i="2"/>
  <c r="P245" i="2"/>
  <c r="O244" i="2"/>
  <c r="P244" i="2"/>
  <c r="P248" i="2"/>
  <c r="G248" i="2"/>
  <c r="G244" i="2"/>
  <c r="G246" i="2"/>
  <c r="F248" i="2"/>
  <c r="I248" i="2"/>
  <c r="J248" i="2"/>
  <c r="R248" i="2"/>
  <c r="F247" i="2"/>
  <c r="I247" i="2"/>
  <c r="J247" i="2"/>
  <c r="R247" i="2"/>
  <c r="F246" i="2"/>
  <c r="I246" i="2"/>
  <c r="J246" i="2"/>
  <c r="R246" i="2"/>
  <c r="F245" i="2"/>
  <c r="I245" i="2"/>
  <c r="J245" i="2"/>
  <c r="R245" i="2"/>
  <c r="F244" i="2"/>
  <c r="I244" i="2"/>
  <c r="J244" i="2"/>
  <c r="R244" i="2"/>
  <c r="P239" i="2"/>
  <c r="M238" i="2"/>
  <c r="N238" i="2"/>
  <c r="P238" i="2"/>
  <c r="P237" i="2"/>
  <c r="P240" i="2"/>
  <c r="G238" i="2"/>
  <c r="P241" i="2"/>
  <c r="G241" i="2"/>
  <c r="F241" i="2"/>
  <c r="I241" i="2"/>
  <c r="J241" i="2"/>
  <c r="R241" i="2"/>
  <c r="F237" i="2"/>
  <c r="F238" i="2"/>
  <c r="F239" i="2"/>
  <c r="F240" i="2"/>
  <c r="I240" i="2"/>
  <c r="J240" i="2"/>
  <c r="R240" i="2"/>
  <c r="I239" i="2"/>
  <c r="J239" i="2"/>
  <c r="R239" i="2"/>
  <c r="I238" i="2"/>
  <c r="J238" i="2"/>
  <c r="R238" i="2"/>
  <c r="I237" i="2"/>
  <c r="J237" i="2"/>
  <c r="R237" i="2"/>
  <c r="P235" i="2"/>
  <c r="P233" i="2"/>
  <c r="P232" i="2"/>
  <c r="P231" i="2"/>
  <c r="P230" i="2"/>
  <c r="N229" i="2"/>
  <c r="P229" i="2"/>
  <c r="G232" i="2"/>
  <c r="G234" i="2"/>
  <c r="G229" i="2"/>
  <c r="F235" i="2"/>
  <c r="I235" i="2"/>
  <c r="J235" i="2"/>
  <c r="R235" i="2"/>
  <c r="F234" i="2"/>
  <c r="I234" i="2"/>
  <c r="J234" i="2"/>
  <c r="R234" i="2"/>
  <c r="F233" i="2"/>
  <c r="I233" i="2"/>
  <c r="J233" i="2"/>
  <c r="R233" i="2"/>
  <c r="F232" i="2"/>
  <c r="I232" i="2"/>
  <c r="J232" i="2"/>
  <c r="R232" i="2"/>
  <c r="F231" i="2"/>
  <c r="I231" i="2"/>
  <c r="J231" i="2"/>
  <c r="R231" i="2"/>
  <c r="F230" i="2"/>
  <c r="I230" i="2"/>
  <c r="J230" i="2"/>
  <c r="R230" i="2"/>
  <c r="F229" i="2"/>
  <c r="I229" i="2"/>
  <c r="J229" i="2"/>
  <c r="R229" i="2"/>
  <c r="M230" i="13"/>
  <c r="L230" i="13"/>
  <c r="P230" i="13"/>
  <c r="O230" i="13"/>
  <c r="N230" i="13"/>
  <c r="Q230" i="13"/>
  <c r="M215" i="13"/>
  <c r="P215" i="13"/>
  <c r="O215" i="13"/>
  <c r="Q215" i="13"/>
  <c r="M209" i="13"/>
  <c r="L209" i="13"/>
  <c r="P209" i="13"/>
  <c r="O209" i="13"/>
  <c r="N209" i="13"/>
  <c r="Q209" i="13"/>
  <c r="M204" i="13"/>
  <c r="L204" i="13"/>
  <c r="P204" i="13"/>
  <c r="O204" i="13"/>
  <c r="N204" i="13"/>
  <c r="Q204" i="13"/>
  <c r="M208" i="13"/>
  <c r="L208" i="13"/>
  <c r="P208" i="13"/>
  <c r="O208" i="13"/>
  <c r="N208" i="13"/>
  <c r="Q208" i="13"/>
  <c r="M203" i="13"/>
  <c r="L203" i="13"/>
  <c r="P203" i="13"/>
  <c r="O203" i="13"/>
  <c r="N203" i="13"/>
  <c r="Q203" i="13"/>
  <c r="P222" i="2"/>
  <c r="P221" i="2"/>
  <c r="P220" i="2"/>
  <c r="N218" i="2"/>
  <c r="O218" i="2"/>
  <c r="P218" i="2"/>
  <c r="G218" i="2"/>
  <c r="P227" i="2"/>
  <c r="N226" i="2"/>
  <c r="P226" i="2"/>
  <c r="M225" i="2"/>
  <c r="N225" i="2"/>
  <c r="P225" i="2"/>
  <c r="P224" i="2"/>
  <c r="P223" i="2"/>
  <c r="N219" i="2"/>
  <c r="O219" i="2"/>
  <c r="P219" i="2"/>
  <c r="F219" i="2"/>
  <c r="G219" i="2"/>
  <c r="I219" i="2"/>
  <c r="F227" i="2"/>
  <c r="I227" i="2"/>
  <c r="J227" i="2"/>
  <c r="R227" i="2"/>
  <c r="F226" i="2"/>
  <c r="I226" i="2"/>
  <c r="J226" i="2"/>
  <c r="R226" i="2"/>
  <c r="F225" i="2"/>
  <c r="I225" i="2"/>
  <c r="J225" i="2"/>
  <c r="R225" i="2"/>
  <c r="F224" i="2"/>
  <c r="I224" i="2"/>
  <c r="J224" i="2"/>
  <c r="R224" i="2"/>
  <c r="F223" i="2"/>
  <c r="I223" i="2"/>
  <c r="J223" i="2"/>
  <c r="R223" i="2"/>
  <c r="F222" i="2"/>
  <c r="I222" i="2"/>
  <c r="J222" i="2"/>
  <c r="R222" i="2"/>
  <c r="F221" i="2"/>
  <c r="I221" i="2"/>
  <c r="J221" i="2"/>
  <c r="R221" i="2"/>
  <c r="F220" i="2"/>
  <c r="I220" i="2"/>
  <c r="J220" i="2"/>
  <c r="R220" i="2"/>
  <c r="J219" i="2"/>
  <c r="R219" i="2"/>
  <c r="F218" i="2"/>
  <c r="I218" i="2"/>
  <c r="J218" i="2"/>
  <c r="R218" i="2"/>
  <c r="P216" i="2"/>
  <c r="P215" i="2"/>
  <c r="P214" i="2"/>
  <c r="P213" i="2"/>
  <c r="P212" i="2"/>
  <c r="P211" i="2"/>
  <c r="N210" i="2"/>
  <c r="P210" i="2"/>
  <c r="N209" i="2"/>
  <c r="O209" i="2"/>
  <c r="P209" i="2"/>
  <c r="C20" i="1"/>
  <c r="G210" i="2"/>
  <c r="G209" i="2"/>
  <c r="F216" i="2"/>
  <c r="I216" i="2"/>
  <c r="J216" i="2"/>
  <c r="R216" i="2"/>
  <c r="F215" i="2"/>
  <c r="I215" i="2"/>
  <c r="J215" i="2"/>
  <c r="R215" i="2"/>
  <c r="F214" i="2"/>
  <c r="I214" i="2"/>
  <c r="J214" i="2"/>
  <c r="R214" i="2"/>
  <c r="F213" i="2"/>
  <c r="I213" i="2"/>
  <c r="J213" i="2"/>
  <c r="R213" i="2"/>
  <c r="F212" i="2"/>
  <c r="I212" i="2"/>
  <c r="J212" i="2"/>
  <c r="R212" i="2"/>
  <c r="F211" i="2"/>
  <c r="I211" i="2"/>
  <c r="J211" i="2"/>
  <c r="R211" i="2"/>
  <c r="F210" i="2"/>
  <c r="I210" i="2"/>
  <c r="J210" i="2"/>
  <c r="R210" i="2"/>
  <c r="F209" i="2"/>
  <c r="I209" i="2"/>
  <c r="J209" i="2"/>
  <c r="R209" i="2"/>
  <c r="L207" i="13"/>
  <c r="P207" i="13"/>
  <c r="N207" i="13"/>
  <c r="Q207" i="13"/>
  <c r="P164" i="13"/>
  <c r="Q164" i="13"/>
  <c r="P202" i="13"/>
  <c r="Q202" i="13"/>
  <c r="P173" i="13"/>
  <c r="Q173" i="13"/>
  <c r="P207" i="2"/>
  <c r="P206" i="2"/>
  <c r="P205" i="2"/>
  <c r="P204" i="2"/>
  <c r="P203" i="2"/>
  <c r="P202" i="2"/>
  <c r="P201" i="2"/>
  <c r="P200" i="2"/>
  <c r="G206" i="2"/>
  <c r="F207" i="2"/>
  <c r="I207" i="2"/>
  <c r="J207" i="2"/>
  <c r="R207" i="2"/>
  <c r="F206" i="2"/>
  <c r="I206" i="2"/>
  <c r="J206" i="2"/>
  <c r="R206" i="2"/>
  <c r="F205" i="2"/>
  <c r="I205" i="2"/>
  <c r="J205" i="2"/>
  <c r="R205" i="2"/>
  <c r="F204" i="2"/>
  <c r="I204" i="2"/>
  <c r="J204" i="2"/>
  <c r="R204" i="2"/>
  <c r="F203" i="2"/>
  <c r="I203" i="2"/>
  <c r="J203" i="2"/>
  <c r="R203" i="2"/>
  <c r="F202" i="2"/>
  <c r="I202" i="2"/>
  <c r="J202" i="2"/>
  <c r="R202" i="2"/>
  <c r="F201" i="2"/>
  <c r="I201" i="2"/>
  <c r="J201" i="2"/>
  <c r="R201" i="2"/>
  <c r="F200" i="2"/>
  <c r="I200" i="2"/>
  <c r="J200" i="2"/>
  <c r="R200" i="2"/>
  <c r="M201" i="13"/>
  <c r="L201" i="13"/>
  <c r="P201" i="13"/>
  <c r="N201" i="13"/>
  <c r="Q201" i="13"/>
  <c r="M206" i="13"/>
  <c r="P206" i="13"/>
  <c r="O206" i="13"/>
  <c r="Q206" i="13"/>
  <c r="P163" i="13"/>
  <c r="Q163" i="13"/>
  <c r="P172" i="13"/>
  <c r="Q172" i="13"/>
  <c r="K196" i="2"/>
  <c r="M196" i="2"/>
  <c r="P196" i="2"/>
  <c r="P197" i="2"/>
  <c r="G197" i="2"/>
  <c r="P195" i="2"/>
  <c r="P193" i="2"/>
  <c r="P194" i="2"/>
  <c r="P192" i="2"/>
  <c r="P191" i="2"/>
  <c r="P198" i="2"/>
  <c r="F198" i="2"/>
  <c r="I198" i="2"/>
  <c r="J198" i="2"/>
  <c r="R198" i="2"/>
  <c r="F197" i="2"/>
  <c r="I197" i="2"/>
  <c r="J197" i="2"/>
  <c r="R197" i="2"/>
  <c r="F196" i="2"/>
  <c r="I196" i="2"/>
  <c r="J196" i="2"/>
  <c r="R196" i="2"/>
  <c r="F195" i="2"/>
  <c r="I195" i="2"/>
  <c r="J195" i="2"/>
  <c r="R195" i="2"/>
  <c r="F194" i="2"/>
  <c r="I194" i="2"/>
  <c r="J194" i="2"/>
  <c r="R194" i="2"/>
  <c r="F193" i="2"/>
  <c r="I193" i="2"/>
  <c r="J193" i="2"/>
  <c r="R193" i="2"/>
  <c r="F192" i="2"/>
  <c r="I192" i="2"/>
  <c r="J192" i="2"/>
  <c r="R192" i="2"/>
  <c r="F191" i="2"/>
  <c r="I191" i="2"/>
  <c r="J191" i="2"/>
  <c r="R191" i="2"/>
  <c r="C22" i="1"/>
  <c r="C19" i="1"/>
  <c r="P171" i="13"/>
  <c r="Q171" i="13"/>
  <c r="M180" i="13"/>
  <c r="L180" i="13"/>
  <c r="P180" i="13"/>
  <c r="O180" i="13"/>
  <c r="N180" i="13"/>
  <c r="Q180" i="13"/>
  <c r="M200" i="13"/>
  <c r="P200" i="13"/>
  <c r="O200" i="13"/>
  <c r="N200" i="13"/>
  <c r="Q200" i="13"/>
  <c r="P162" i="13"/>
  <c r="Q162" i="13"/>
  <c r="Q161" i="13"/>
  <c r="N188" i="2"/>
  <c r="P188" i="2"/>
  <c r="L187" i="2"/>
  <c r="M187" i="2"/>
  <c r="P187" i="2"/>
  <c r="P186" i="2"/>
  <c r="P185" i="2"/>
  <c r="P184" i="2"/>
  <c r="P183" i="2"/>
  <c r="P189" i="2"/>
  <c r="F189" i="2"/>
  <c r="I189" i="2"/>
  <c r="J189" i="2"/>
  <c r="R189" i="2"/>
  <c r="F188" i="2"/>
  <c r="I188" i="2"/>
  <c r="J188" i="2"/>
  <c r="R188" i="2"/>
  <c r="F187" i="2"/>
  <c r="I187" i="2"/>
  <c r="J187" i="2"/>
  <c r="R187" i="2"/>
  <c r="F186" i="2"/>
  <c r="I186" i="2"/>
  <c r="J186" i="2"/>
  <c r="R186" i="2"/>
  <c r="F185" i="2"/>
  <c r="I185" i="2"/>
  <c r="J185" i="2"/>
  <c r="R185" i="2"/>
  <c r="F184" i="2"/>
  <c r="I184" i="2"/>
  <c r="J184" i="2"/>
  <c r="R184" i="2"/>
  <c r="F183" i="2"/>
  <c r="I183" i="2"/>
  <c r="J183" i="2"/>
  <c r="R183" i="2"/>
  <c r="C21" i="1"/>
  <c r="C18" i="1"/>
  <c r="C17" i="1"/>
  <c r="C16" i="1"/>
  <c r="C68" i="1"/>
  <c r="C72" i="1"/>
  <c r="C70" i="1"/>
  <c r="C67" i="1"/>
  <c r="C73" i="1"/>
  <c r="C69" i="1"/>
  <c r="C71" i="1"/>
  <c r="C66" i="1"/>
  <c r="P161" i="13"/>
  <c r="P154" i="13"/>
  <c r="Q154" i="13"/>
  <c r="P172" i="2"/>
  <c r="F172" i="2"/>
  <c r="I172" i="2"/>
  <c r="J172" i="2"/>
  <c r="R172" i="2"/>
  <c r="P175" i="2"/>
  <c r="P169" i="2"/>
  <c r="P178" i="2"/>
  <c r="P181" i="2"/>
  <c r="P180" i="2"/>
  <c r="G179" i="2"/>
  <c r="F181" i="2"/>
  <c r="I181" i="2"/>
  <c r="J181" i="2"/>
  <c r="F180" i="2"/>
  <c r="I180" i="2"/>
  <c r="J180" i="2"/>
  <c r="R180" i="2"/>
  <c r="F179" i="2"/>
  <c r="F178" i="2"/>
  <c r="I178" i="2"/>
  <c r="J178" i="2"/>
  <c r="P160" i="13"/>
  <c r="Q160" i="13"/>
  <c r="P169" i="13"/>
  <c r="Q169" i="13"/>
  <c r="P152" i="13"/>
  <c r="Q152" i="13"/>
  <c r="P153" i="13"/>
  <c r="Q153" i="13"/>
  <c r="P173" i="2"/>
  <c r="P176" i="2"/>
  <c r="F176" i="2"/>
  <c r="I176" i="2"/>
  <c r="J176" i="2"/>
  <c r="F175" i="2"/>
  <c r="I175" i="2"/>
  <c r="J175" i="2"/>
  <c r="R175" i="2"/>
  <c r="F174" i="2"/>
  <c r="I174" i="2"/>
  <c r="J174" i="2"/>
  <c r="R174" i="2"/>
  <c r="F173" i="2"/>
  <c r="I173" i="2"/>
  <c r="J173" i="2"/>
  <c r="R178" i="2"/>
  <c r="I179" i="2"/>
  <c r="J179" i="2"/>
  <c r="R179" i="2"/>
  <c r="R181" i="2"/>
  <c r="R173" i="2"/>
  <c r="R176" i="2"/>
  <c r="Q137" i="13"/>
  <c r="Q139" i="13"/>
  <c r="P140" i="13"/>
  <c r="Q140" i="13"/>
  <c r="P141" i="13"/>
  <c r="Q141" i="13"/>
  <c r="P143" i="13"/>
  <c r="Q143" i="13"/>
  <c r="Q146" i="13"/>
  <c r="P147" i="13"/>
  <c r="Q147" i="13"/>
  <c r="P151" i="13"/>
  <c r="Q151" i="13"/>
  <c r="P118" i="13"/>
  <c r="Q118" i="13"/>
  <c r="M146" i="13"/>
  <c r="L146" i="13"/>
  <c r="P165" i="2"/>
  <c r="P164" i="2"/>
  <c r="P168" i="2"/>
  <c r="O168" i="2"/>
  <c r="N168" i="2"/>
  <c r="G168" i="2"/>
  <c r="P167" i="2"/>
  <c r="P162" i="2"/>
  <c r="F170" i="2"/>
  <c r="I170" i="2"/>
  <c r="J170" i="2"/>
  <c r="R170" i="2"/>
  <c r="F169" i="2"/>
  <c r="I169" i="2"/>
  <c r="J169" i="2"/>
  <c r="F168" i="2"/>
  <c r="I168" i="2"/>
  <c r="J168" i="2"/>
  <c r="F167" i="2"/>
  <c r="I167" i="2"/>
  <c r="J167" i="2"/>
  <c r="F166" i="2"/>
  <c r="I166" i="2"/>
  <c r="J166" i="2"/>
  <c r="F165" i="2"/>
  <c r="I165" i="2"/>
  <c r="J165" i="2"/>
  <c r="F164" i="2"/>
  <c r="I164" i="2"/>
  <c r="J164" i="2"/>
  <c r="N158" i="13"/>
  <c r="Q158" i="13"/>
  <c r="M158" i="13"/>
  <c r="P158" i="13"/>
  <c r="M145" i="13"/>
  <c r="N145" i="13"/>
  <c r="Q145" i="13"/>
  <c r="L145" i="13"/>
  <c r="M139" i="13"/>
  <c r="L139" i="13"/>
  <c r="O110" i="13"/>
  <c r="M110" i="13"/>
  <c r="N110" i="13"/>
  <c r="L110" i="13"/>
  <c r="P159" i="2"/>
  <c r="P155" i="2"/>
  <c r="N154" i="2"/>
  <c r="P154" i="2"/>
  <c r="G154" i="2"/>
  <c r="N156" i="2"/>
  <c r="P156" i="2"/>
  <c r="G156" i="2"/>
  <c r="N158" i="2"/>
  <c r="P158" i="2"/>
  <c r="F162" i="2"/>
  <c r="I162" i="2"/>
  <c r="J162" i="2"/>
  <c r="R162" i="2"/>
  <c r="F161" i="2"/>
  <c r="I161" i="2"/>
  <c r="J161" i="2"/>
  <c r="F160" i="2"/>
  <c r="I160" i="2"/>
  <c r="J160" i="2"/>
  <c r="R160" i="2"/>
  <c r="F159" i="2"/>
  <c r="I159" i="2"/>
  <c r="J159" i="2"/>
  <c r="F158" i="2"/>
  <c r="F157" i="2"/>
  <c r="I157" i="2"/>
  <c r="J157" i="2"/>
  <c r="F156" i="2"/>
  <c r="F155" i="2"/>
  <c r="I155" i="2"/>
  <c r="J155" i="2"/>
  <c r="F154" i="2"/>
  <c r="O144" i="13"/>
  <c r="N144" i="13"/>
  <c r="Q144" i="13"/>
  <c r="M144" i="13"/>
  <c r="L144" i="13"/>
  <c r="P151" i="2"/>
  <c r="G151" i="2"/>
  <c r="F152" i="2"/>
  <c r="I152" i="2"/>
  <c r="J152" i="2"/>
  <c r="R152" i="2"/>
  <c r="F151" i="2"/>
  <c r="I151" i="2"/>
  <c r="J151" i="2"/>
  <c r="O130" i="13"/>
  <c r="N130" i="13"/>
  <c r="M130" i="13"/>
  <c r="P130" i="13"/>
  <c r="O138" i="13"/>
  <c r="N138" i="13"/>
  <c r="Q138" i="13"/>
  <c r="M138" i="13"/>
  <c r="L138" i="13"/>
  <c r="O109" i="13"/>
  <c r="N109" i="13"/>
  <c r="M109" i="13"/>
  <c r="L109" i="13"/>
  <c r="P148" i="2"/>
  <c r="P146" i="2"/>
  <c r="P141" i="2"/>
  <c r="N143" i="2"/>
  <c r="M143" i="2"/>
  <c r="P143" i="2"/>
  <c r="G143" i="2"/>
  <c r="N142" i="2"/>
  <c r="M142" i="2"/>
  <c r="P142" i="2"/>
  <c r="G142" i="2"/>
  <c r="N149" i="2"/>
  <c r="P149" i="2"/>
  <c r="G149" i="2"/>
  <c r="G145" i="2"/>
  <c r="N144" i="2"/>
  <c r="M144" i="2"/>
  <c r="L144" i="2"/>
  <c r="P144" i="2"/>
  <c r="F149" i="2"/>
  <c r="I149" i="2"/>
  <c r="J149" i="2"/>
  <c r="F148" i="2"/>
  <c r="I148" i="2"/>
  <c r="J148" i="2"/>
  <c r="F147" i="2"/>
  <c r="I147" i="2"/>
  <c r="J147" i="2"/>
  <c r="R147" i="2"/>
  <c r="F146" i="2"/>
  <c r="I146" i="2"/>
  <c r="J146" i="2"/>
  <c r="F145" i="2"/>
  <c r="I145" i="2"/>
  <c r="J145" i="2"/>
  <c r="R145" i="2"/>
  <c r="F144" i="2"/>
  <c r="I144" i="2"/>
  <c r="J144" i="2"/>
  <c r="F143" i="2"/>
  <c r="I143" i="2"/>
  <c r="J143" i="2"/>
  <c r="F142" i="2"/>
  <c r="F141" i="2"/>
  <c r="I141" i="2"/>
  <c r="J141" i="2"/>
  <c r="C7" i="1"/>
  <c r="O142" i="13"/>
  <c r="N142" i="13"/>
  <c r="Q142" i="13"/>
  <c r="M142" i="13"/>
  <c r="P142" i="13"/>
  <c r="O102" i="13"/>
  <c r="M102" i="13"/>
  <c r="N102" i="13"/>
  <c r="L102" i="13"/>
  <c r="Q108" i="13"/>
  <c r="M108" i="13"/>
  <c r="L108" i="13"/>
  <c r="M137" i="13"/>
  <c r="L137" i="13"/>
  <c r="P137" i="13"/>
  <c r="P139" i="2"/>
  <c r="P135" i="2"/>
  <c r="P134" i="2"/>
  <c r="P133" i="2"/>
  <c r="P132" i="2"/>
  <c r="N136" i="2"/>
  <c r="P136" i="2"/>
  <c r="G136" i="2"/>
  <c r="H138" i="2"/>
  <c r="G138" i="2"/>
  <c r="N137" i="2"/>
  <c r="M137" i="2"/>
  <c r="L137" i="2"/>
  <c r="F139" i="2"/>
  <c r="I139" i="2"/>
  <c r="J139" i="2"/>
  <c r="F138" i="2"/>
  <c r="F137" i="2"/>
  <c r="I137" i="2"/>
  <c r="J137" i="2"/>
  <c r="F136" i="2"/>
  <c r="F135" i="2"/>
  <c r="I135" i="2"/>
  <c r="J135" i="2"/>
  <c r="F134" i="2"/>
  <c r="I134" i="2"/>
  <c r="J134" i="2"/>
  <c r="F133" i="2"/>
  <c r="I133" i="2"/>
  <c r="J133" i="2"/>
  <c r="F132" i="2"/>
  <c r="I132" i="2"/>
  <c r="J132" i="2"/>
  <c r="O56" i="13"/>
  <c r="M56" i="13"/>
  <c r="N56" i="13"/>
  <c r="L56" i="13"/>
  <c r="O25" i="13"/>
  <c r="N25" i="13"/>
  <c r="M25" i="13"/>
  <c r="P25" i="13"/>
  <c r="O101" i="13"/>
  <c r="N101" i="13"/>
  <c r="M101" i="13"/>
  <c r="L101" i="13"/>
  <c r="N107" i="13"/>
  <c r="Q107" i="13"/>
  <c r="M107" i="13"/>
  <c r="L107" i="13"/>
  <c r="O114" i="13"/>
  <c r="N114" i="13"/>
  <c r="M114" i="13"/>
  <c r="L114" i="13"/>
  <c r="O136" i="13"/>
  <c r="N136" i="13"/>
  <c r="M136" i="13"/>
  <c r="L136" i="13"/>
  <c r="P136" i="13"/>
  <c r="O100" i="13"/>
  <c r="N100" i="13"/>
  <c r="M100" i="13"/>
  <c r="L100" i="13"/>
  <c r="O113" i="13"/>
  <c r="N113" i="13"/>
  <c r="M113" i="13"/>
  <c r="L113" i="13"/>
  <c r="N135" i="13"/>
  <c r="Q135" i="13"/>
  <c r="L135" i="13"/>
  <c r="P135" i="13"/>
  <c r="N106" i="13"/>
  <c r="Q106" i="13"/>
  <c r="L106" i="13"/>
  <c r="P106" i="13"/>
  <c r="P128" i="2"/>
  <c r="P126" i="2"/>
  <c r="P124" i="2"/>
  <c r="P123" i="2"/>
  <c r="P130" i="2"/>
  <c r="G130" i="2"/>
  <c r="P129" i="2"/>
  <c r="G129" i="2"/>
  <c r="N125" i="2"/>
  <c r="P125" i="2"/>
  <c r="G125" i="2"/>
  <c r="N127" i="2"/>
  <c r="P127" i="2"/>
  <c r="G127" i="2"/>
  <c r="F130" i="2"/>
  <c r="I130" i="2"/>
  <c r="J130" i="2"/>
  <c r="F129" i="2"/>
  <c r="F128" i="2"/>
  <c r="I128" i="2"/>
  <c r="J128" i="2"/>
  <c r="F127" i="2"/>
  <c r="I127" i="2"/>
  <c r="J127" i="2"/>
  <c r="F126" i="2"/>
  <c r="I126" i="2"/>
  <c r="J126" i="2"/>
  <c r="F125" i="2"/>
  <c r="F124" i="2"/>
  <c r="I124" i="2"/>
  <c r="J124" i="2"/>
  <c r="F123" i="2"/>
  <c r="I123" i="2"/>
  <c r="J123" i="2"/>
  <c r="M121" i="2"/>
  <c r="N121" i="2"/>
  <c r="P121" i="2"/>
  <c r="P116" i="2"/>
  <c r="P115" i="2"/>
  <c r="P114" i="2"/>
  <c r="N119" i="2"/>
  <c r="M119" i="2"/>
  <c r="L119" i="2"/>
  <c r="K119" i="2"/>
  <c r="G119" i="2"/>
  <c r="G121" i="2"/>
  <c r="G118" i="2"/>
  <c r="G120" i="2"/>
  <c r="F121" i="2"/>
  <c r="F120" i="2"/>
  <c r="I120" i="2"/>
  <c r="J120" i="2"/>
  <c r="F119" i="2"/>
  <c r="F118" i="2"/>
  <c r="F117" i="2"/>
  <c r="I117" i="2"/>
  <c r="J117" i="2"/>
  <c r="R117" i="2"/>
  <c r="F116" i="2"/>
  <c r="I116" i="2"/>
  <c r="J116" i="2"/>
  <c r="F115" i="2"/>
  <c r="I115" i="2"/>
  <c r="J115" i="2"/>
  <c r="F114" i="2"/>
  <c r="I114" i="2"/>
  <c r="J114" i="2"/>
  <c r="O105" i="13"/>
  <c r="Q105" i="13"/>
  <c r="M105" i="13"/>
  <c r="P105" i="13"/>
  <c r="O134" i="13"/>
  <c r="M134" i="13"/>
  <c r="P134" i="13"/>
  <c r="N134" i="13"/>
  <c r="N99" i="13"/>
  <c r="O99" i="13"/>
  <c r="M99" i="13"/>
  <c r="P99" i="13"/>
  <c r="P111" i="2"/>
  <c r="P108" i="2"/>
  <c r="P107" i="2"/>
  <c r="P106" i="2"/>
  <c r="P112" i="2"/>
  <c r="N109" i="2"/>
  <c r="M109" i="2"/>
  <c r="L109" i="2"/>
  <c r="P109" i="2"/>
  <c r="N110" i="2"/>
  <c r="P110" i="2"/>
  <c r="F112" i="2"/>
  <c r="I112" i="2"/>
  <c r="J112" i="2"/>
  <c r="F111" i="2"/>
  <c r="I111" i="2"/>
  <c r="J111" i="2"/>
  <c r="F110" i="2"/>
  <c r="I110" i="2"/>
  <c r="J110" i="2"/>
  <c r="F109" i="2"/>
  <c r="I109" i="2"/>
  <c r="J109" i="2"/>
  <c r="F108" i="2"/>
  <c r="I108" i="2"/>
  <c r="J108" i="2"/>
  <c r="F107" i="2"/>
  <c r="I107" i="2"/>
  <c r="J107" i="2"/>
  <c r="F106" i="2"/>
  <c r="I106" i="2"/>
  <c r="J106" i="2"/>
  <c r="O72" i="13"/>
  <c r="N72" i="13"/>
  <c r="M72" i="13"/>
  <c r="L72" i="13"/>
  <c r="P103" i="2"/>
  <c r="P102" i="2"/>
  <c r="N101" i="2"/>
  <c r="P101" i="2"/>
  <c r="G101" i="2"/>
  <c r="Q134" i="13"/>
  <c r="P146" i="13"/>
  <c r="Q136" i="13"/>
  <c r="P138" i="13"/>
  <c r="P144" i="13"/>
  <c r="P139" i="13"/>
  <c r="P145" i="13"/>
  <c r="R167" i="2"/>
  <c r="P119" i="2"/>
  <c r="I142" i="2"/>
  <c r="J142" i="2"/>
  <c r="I136" i="2"/>
  <c r="J136" i="2"/>
  <c r="P137" i="2"/>
  <c r="R137" i="2"/>
  <c r="Q102" i="13"/>
  <c r="P56" i="13"/>
  <c r="P108" i="13"/>
  <c r="P110" i="13"/>
  <c r="P109" i="13"/>
  <c r="Q110" i="13"/>
  <c r="Q113" i="13"/>
  <c r="P102" i="13"/>
  <c r="P100" i="13"/>
  <c r="Q56" i="13"/>
  <c r="R164" i="2"/>
  <c r="R168" i="2"/>
  <c r="R165" i="2"/>
  <c r="R166" i="2"/>
  <c r="R169" i="2"/>
  <c r="Q109" i="13"/>
  <c r="Q130" i="13"/>
  <c r="P107" i="13"/>
  <c r="I154" i="2"/>
  <c r="J154" i="2"/>
  <c r="R154" i="2"/>
  <c r="I156" i="2"/>
  <c r="J156" i="2"/>
  <c r="R156" i="2"/>
  <c r="R151" i="2"/>
  <c r="I158" i="2"/>
  <c r="J158" i="2"/>
  <c r="R158" i="2"/>
  <c r="R155" i="2"/>
  <c r="I121" i="2"/>
  <c r="J121" i="2"/>
  <c r="R121" i="2"/>
  <c r="R127" i="2"/>
  <c r="R157" i="2"/>
  <c r="R161" i="2"/>
  <c r="R159" i="2"/>
  <c r="R149" i="2"/>
  <c r="P101" i="13"/>
  <c r="Q100" i="13"/>
  <c r="Q25" i="13"/>
  <c r="P114" i="13"/>
  <c r="P113" i="13"/>
  <c r="Q114" i="13"/>
  <c r="Q101" i="13"/>
  <c r="R143" i="2"/>
  <c r="R142" i="2"/>
  <c r="R141" i="2"/>
  <c r="R144" i="2"/>
  <c r="R148" i="2"/>
  <c r="R146" i="2"/>
  <c r="R132" i="2"/>
  <c r="I138" i="2"/>
  <c r="J138" i="2"/>
  <c r="R138" i="2"/>
  <c r="R136" i="2"/>
  <c r="R133" i="2"/>
  <c r="R135" i="2"/>
  <c r="R134" i="2"/>
  <c r="R139" i="2"/>
  <c r="Q99" i="13"/>
  <c r="R128" i="2"/>
  <c r="R126" i="2"/>
  <c r="R130" i="2"/>
  <c r="I125" i="2"/>
  <c r="J125" i="2"/>
  <c r="R125" i="2"/>
  <c r="I129" i="2"/>
  <c r="J129" i="2"/>
  <c r="R129" i="2"/>
  <c r="R123" i="2"/>
  <c r="R124" i="2"/>
  <c r="I119" i="2"/>
  <c r="J119" i="2"/>
  <c r="R119" i="2"/>
  <c r="I118" i="2"/>
  <c r="J118" i="2"/>
  <c r="R118" i="2"/>
  <c r="R114" i="2"/>
  <c r="R116" i="2"/>
  <c r="R115" i="2"/>
  <c r="R120" i="2"/>
  <c r="R111" i="2"/>
  <c r="R109" i="2"/>
  <c r="R107" i="2"/>
  <c r="Q72" i="13"/>
  <c r="R112" i="2"/>
  <c r="R106" i="2"/>
  <c r="R110" i="2"/>
  <c r="R108" i="2"/>
  <c r="P72" i="13"/>
  <c r="F104" i="2"/>
  <c r="I104" i="2"/>
  <c r="J104" i="2"/>
  <c r="F103" i="2"/>
  <c r="I103" i="2"/>
  <c r="J103" i="2"/>
  <c r="R103" i="2"/>
  <c r="F102" i="2"/>
  <c r="I102" i="2"/>
  <c r="J102" i="2"/>
  <c r="F101" i="2"/>
  <c r="I101" i="2"/>
  <c r="J101" i="2"/>
  <c r="M112" i="13"/>
  <c r="P112" i="13"/>
  <c r="O112" i="13"/>
  <c r="N112" i="13"/>
  <c r="O71" i="13"/>
  <c r="N71" i="13"/>
  <c r="M71" i="13"/>
  <c r="L71" i="13"/>
  <c r="P97" i="2"/>
  <c r="P96" i="2"/>
  <c r="P95" i="2"/>
  <c r="P94" i="2"/>
  <c r="P92" i="2"/>
  <c r="N93" i="2"/>
  <c r="M93" i="2"/>
  <c r="G93" i="2"/>
  <c r="N99" i="2"/>
  <c r="P99" i="2"/>
  <c r="C27" i="1"/>
  <c r="C15" i="1"/>
  <c r="C8" i="1"/>
  <c r="C26" i="1"/>
  <c r="C14" i="1"/>
  <c r="C12" i="1"/>
  <c r="C11" i="1"/>
  <c r="F99" i="2"/>
  <c r="I99" i="2"/>
  <c r="J99" i="2"/>
  <c r="F98" i="2"/>
  <c r="I98" i="2"/>
  <c r="J98" i="2"/>
  <c r="F97" i="2"/>
  <c r="I97" i="2"/>
  <c r="J97" i="2"/>
  <c r="F96" i="2"/>
  <c r="I96" i="2"/>
  <c r="J96" i="2"/>
  <c r="F95" i="2"/>
  <c r="I95" i="2"/>
  <c r="J95" i="2"/>
  <c r="F94" i="2"/>
  <c r="I94" i="2"/>
  <c r="J94" i="2"/>
  <c r="F93" i="2"/>
  <c r="F92" i="2"/>
  <c r="I92" i="2"/>
  <c r="J92" i="2"/>
  <c r="P90" i="2"/>
  <c r="F90" i="2"/>
  <c r="I90" i="2"/>
  <c r="J90" i="2"/>
  <c r="P93" i="2"/>
  <c r="Q71" i="13"/>
  <c r="Q112" i="13"/>
  <c r="R101" i="2"/>
  <c r="R102" i="2"/>
  <c r="R104" i="2"/>
  <c r="P71" i="13"/>
  <c r="R97" i="2"/>
  <c r="R94" i="2"/>
  <c r="R95" i="2"/>
  <c r="I93" i="2"/>
  <c r="J93" i="2"/>
  <c r="R93" i="2"/>
  <c r="R99" i="2"/>
  <c r="R96" i="2"/>
  <c r="R92" i="2"/>
  <c r="R98" i="2"/>
  <c r="R90" i="2"/>
  <c r="O58" i="13"/>
  <c r="M58" i="13"/>
  <c r="N58" i="13"/>
  <c r="L58" i="13"/>
  <c r="O70" i="13"/>
  <c r="N70" i="13"/>
  <c r="M70" i="13"/>
  <c r="L70" i="13"/>
  <c r="P88" i="2"/>
  <c r="P86" i="2"/>
  <c r="P85" i="2"/>
  <c r="P82" i="2"/>
  <c r="N84" i="2"/>
  <c r="M84" i="2"/>
  <c r="L84" i="2"/>
  <c r="G84" i="2"/>
  <c r="N83" i="2"/>
  <c r="M83" i="2"/>
  <c r="L83" i="2"/>
  <c r="K83" i="2"/>
  <c r="G83" i="2"/>
  <c r="F88" i="2"/>
  <c r="I88" i="2"/>
  <c r="J88" i="2"/>
  <c r="F87" i="2"/>
  <c r="I87" i="2"/>
  <c r="J87" i="2"/>
  <c r="R87" i="2"/>
  <c r="F86" i="2"/>
  <c r="I86" i="2"/>
  <c r="J86" i="2"/>
  <c r="F85" i="2"/>
  <c r="I85" i="2"/>
  <c r="J85" i="2"/>
  <c r="F84" i="2"/>
  <c r="F83" i="2"/>
  <c r="F82" i="2"/>
  <c r="I82" i="2"/>
  <c r="J82" i="2"/>
  <c r="R82" i="2"/>
  <c r="L57" i="13"/>
  <c r="N57" i="13"/>
  <c r="O57" i="13"/>
  <c r="M57" i="13"/>
  <c r="P80" i="2"/>
  <c r="P79" i="2"/>
  <c r="P77" i="2"/>
  <c r="P76" i="2"/>
  <c r="P75" i="2"/>
  <c r="P74" i="2"/>
  <c r="C25" i="1"/>
  <c r="N78" i="2"/>
  <c r="M78" i="2"/>
  <c r="L78" i="2"/>
  <c r="G78" i="2"/>
  <c r="F80" i="2"/>
  <c r="I80" i="2"/>
  <c r="J80" i="2"/>
  <c r="F79" i="2"/>
  <c r="I79" i="2"/>
  <c r="J79" i="2"/>
  <c r="F78" i="2"/>
  <c r="F77" i="2"/>
  <c r="I77" i="2"/>
  <c r="J77" i="2"/>
  <c r="F76" i="2"/>
  <c r="I76" i="2"/>
  <c r="J76" i="2"/>
  <c r="F75" i="2"/>
  <c r="F74" i="2"/>
  <c r="I74" i="2"/>
  <c r="J74" i="2"/>
  <c r="P72" i="2"/>
  <c r="P71" i="2"/>
  <c r="P70" i="2"/>
  <c r="P69" i="2"/>
  <c r="P68" i="2"/>
  <c r="P67" i="2"/>
  <c r="F72" i="2"/>
  <c r="I72" i="2"/>
  <c r="J72" i="2"/>
  <c r="F71" i="2"/>
  <c r="I71" i="2"/>
  <c r="J71" i="2"/>
  <c r="F70" i="2"/>
  <c r="I70" i="2"/>
  <c r="J70" i="2"/>
  <c r="F69" i="2"/>
  <c r="I69" i="2"/>
  <c r="J69" i="2"/>
  <c r="F68" i="2"/>
  <c r="I68" i="2"/>
  <c r="J68" i="2"/>
  <c r="F67" i="2"/>
  <c r="I67" i="2"/>
  <c r="J67" i="2"/>
  <c r="O55" i="13"/>
  <c r="N55" i="13"/>
  <c r="M55" i="13"/>
  <c r="P55" i="13"/>
  <c r="P65" i="2"/>
  <c r="P64" i="2"/>
  <c r="P62" i="2"/>
  <c r="P60" i="2"/>
  <c r="P59" i="2"/>
  <c r="P58" i="2"/>
  <c r="N63" i="2"/>
  <c r="M63" i="2"/>
  <c r="L63" i="2"/>
  <c r="K63" i="2"/>
  <c r="F65" i="2"/>
  <c r="I65" i="2"/>
  <c r="J65" i="2"/>
  <c r="F64" i="2"/>
  <c r="F63" i="2"/>
  <c r="I63" i="2"/>
  <c r="J63" i="2"/>
  <c r="F62" i="2"/>
  <c r="I62" i="2"/>
  <c r="J62" i="2"/>
  <c r="F61" i="2"/>
  <c r="I61" i="2"/>
  <c r="J61" i="2"/>
  <c r="F60" i="2"/>
  <c r="I60" i="2"/>
  <c r="J60" i="2"/>
  <c r="F59" i="2"/>
  <c r="I59" i="2"/>
  <c r="J59" i="2"/>
  <c r="F58" i="2"/>
  <c r="I58" i="2"/>
  <c r="J58" i="2"/>
  <c r="O27" i="13"/>
  <c r="N27" i="13"/>
  <c r="M27" i="13"/>
  <c r="L27" i="13"/>
  <c r="P56" i="2"/>
  <c r="P54" i="2"/>
  <c r="P53" i="2"/>
  <c r="P52" i="2"/>
  <c r="P51" i="2"/>
  <c r="P50" i="2"/>
  <c r="P49" i="2"/>
  <c r="N55" i="2"/>
  <c r="M55" i="2"/>
  <c r="G55" i="2"/>
  <c r="F56" i="2"/>
  <c r="I56" i="2"/>
  <c r="J56" i="2"/>
  <c r="F55" i="2"/>
  <c r="F54" i="2"/>
  <c r="I54" i="2"/>
  <c r="J54" i="2"/>
  <c r="F53" i="2"/>
  <c r="I53" i="2"/>
  <c r="J53" i="2"/>
  <c r="F52" i="2"/>
  <c r="I52" i="2"/>
  <c r="J52" i="2"/>
  <c r="F51" i="2"/>
  <c r="I51" i="2"/>
  <c r="J51" i="2"/>
  <c r="F50" i="2"/>
  <c r="I50" i="2"/>
  <c r="J50" i="2"/>
  <c r="F49" i="2"/>
  <c r="I49" i="2"/>
  <c r="J49" i="2"/>
  <c r="C29" i="1"/>
  <c r="C34" i="1"/>
  <c r="N26" i="13"/>
  <c r="L26" i="13"/>
  <c r="M26" i="13"/>
  <c r="O26" i="13"/>
  <c r="P46" i="2"/>
  <c r="P44" i="2"/>
  <c r="P43" i="2"/>
  <c r="P42" i="2"/>
  <c r="P41" i="2"/>
  <c r="P40" i="2"/>
  <c r="N47" i="2"/>
  <c r="M47" i="2"/>
  <c r="L47" i="2"/>
  <c r="G47" i="2"/>
  <c r="F40" i="2"/>
  <c r="I40" i="2"/>
  <c r="J40" i="2"/>
  <c r="F47" i="2"/>
  <c r="F46" i="2"/>
  <c r="I46" i="2"/>
  <c r="J46" i="2"/>
  <c r="F45" i="2"/>
  <c r="I45" i="2"/>
  <c r="J45" i="2"/>
  <c r="F44" i="2"/>
  <c r="I44" i="2"/>
  <c r="J44" i="2"/>
  <c r="F43" i="2"/>
  <c r="I43" i="2"/>
  <c r="J43" i="2"/>
  <c r="F42" i="2"/>
  <c r="I42" i="2"/>
  <c r="J42" i="2"/>
  <c r="F41" i="2"/>
  <c r="I41" i="2"/>
  <c r="J41" i="2"/>
  <c r="P38" i="2"/>
  <c r="P37" i="2"/>
  <c r="P36" i="2"/>
  <c r="P35" i="2"/>
  <c r="P34" i="2"/>
  <c r="P33" i="2"/>
  <c r="P32" i="2"/>
  <c r="F32" i="2"/>
  <c r="I32" i="2"/>
  <c r="J32" i="2"/>
  <c r="F33" i="2"/>
  <c r="I33" i="2"/>
  <c r="J33" i="2"/>
  <c r="F34" i="2"/>
  <c r="F38" i="2"/>
  <c r="I38" i="2"/>
  <c r="J38" i="2"/>
  <c r="F37" i="2"/>
  <c r="I37" i="2"/>
  <c r="J37" i="2"/>
  <c r="F36" i="2"/>
  <c r="I36" i="2"/>
  <c r="J36" i="2"/>
  <c r="F35" i="2"/>
  <c r="I35" i="2"/>
  <c r="J35" i="2"/>
  <c r="P30" i="2"/>
  <c r="P29" i="2"/>
  <c r="P28" i="2"/>
  <c r="P27" i="2"/>
  <c r="P26" i="2"/>
  <c r="P25" i="2"/>
  <c r="H30" i="2"/>
  <c r="G30" i="2"/>
  <c r="H26" i="2"/>
  <c r="G26" i="2"/>
  <c r="H27" i="2"/>
  <c r="G27" i="2"/>
  <c r="F30" i="2"/>
  <c r="F29" i="2"/>
  <c r="F28" i="2"/>
  <c r="I28" i="2"/>
  <c r="J28" i="2"/>
  <c r="F27" i="2"/>
  <c r="F26" i="2"/>
  <c r="F25" i="2"/>
  <c r="I25" i="2"/>
  <c r="J25" i="2"/>
  <c r="P23" i="2"/>
  <c r="P22" i="2"/>
  <c r="P21" i="2"/>
  <c r="P20" i="2"/>
  <c r="H23" i="2"/>
  <c r="G23" i="2"/>
  <c r="H20" i="2"/>
  <c r="G20" i="2"/>
  <c r="H22" i="2"/>
  <c r="G22" i="2"/>
  <c r="H21" i="2"/>
  <c r="G21" i="2"/>
  <c r="F23" i="2"/>
  <c r="F22" i="2"/>
  <c r="F21" i="2"/>
  <c r="F20" i="2"/>
  <c r="C36" i="1"/>
  <c r="C35" i="1"/>
  <c r="C28" i="1"/>
  <c r="C33" i="1"/>
  <c r="C32" i="1"/>
  <c r="C24" i="1"/>
  <c r="C31" i="1"/>
  <c r="C23" i="1"/>
  <c r="C30" i="1"/>
  <c r="C10" i="1"/>
  <c r="C9" i="1"/>
  <c r="P18" i="2"/>
  <c r="H18" i="2"/>
  <c r="G18" i="2"/>
  <c r="P15" i="2"/>
  <c r="H15" i="2"/>
  <c r="G15" i="2"/>
  <c r="P17" i="2"/>
  <c r="H17" i="2"/>
  <c r="G17" i="2"/>
  <c r="P16" i="2"/>
  <c r="H16" i="2"/>
  <c r="G16" i="2"/>
  <c r="F16" i="2"/>
  <c r="F17" i="2"/>
  <c r="I17" i="2"/>
  <c r="J17" i="2"/>
  <c r="F18" i="2"/>
  <c r="F15" i="2"/>
  <c r="P11" i="2"/>
  <c r="P10" i="2"/>
  <c r="H10" i="2"/>
  <c r="G10" i="2"/>
  <c r="H11" i="2"/>
  <c r="G11" i="2"/>
  <c r="P13" i="2"/>
  <c r="H13" i="2"/>
  <c r="G13" i="2"/>
  <c r="F11" i="2"/>
  <c r="F12" i="2"/>
  <c r="I12" i="2"/>
  <c r="J12" i="2"/>
  <c r="R12" i="2"/>
  <c r="F13" i="2"/>
  <c r="F10" i="2"/>
  <c r="P47" i="2"/>
  <c r="P63" i="2"/>
  <c r="I22" i="2"/>
  <c r="J22" i="2"/>
  <c r="I20" i="2"/>
  <c r="J20" i="2"/>
  <c r="R20" i="2"/>
  <c r="P83" i="2"/>
  <c r="P84" i="2"/>
  <c r="P55" i="2"/>
  <c r="P78" i="2"/>
  <c r="I84" i="2"/>
  <c r="J84" i="2"/>
  <c r="I23" i="2"/>
  <c r="J23" i="2"/>
  <c r="R23" i="2"/>
  <c r="I47" i="2"/>
  <c r="J47" i="2"/>
  <c r="R47" i="2"/>
  <c r="I15" i="2"/>
  <c r="J15" i="2"/>
  <c r="R15" i="2"/>
  <c r="I21" i="2"/>
  <c r="J21" i="2"/>
  <c r="R21" i="2"/>
  <c r="R85" i="2"/>
  <c r="P57" i="13"/>
  <c r="Q58" i="13"/>
  <c r="P70" i="13"/>
  <c r="P58" i="13"/>
  <c r="Q57" i="13"/>
  <c r="Q70" i="13"/>
  <c r="I83" i="2"/>
  <c r="J83" i="2"/>
  <c r="R83" i="2"/>
  <c r="R84" i="2"/>
  <c r="R86" i="2"/>
  <c r="R88" i="2"/>
  <c r="P26" i="13"/>
  <c r="R77" i="2"/>
  <c r="I75" i="2"/>
  <c r="J75" i="2"/>
  <c r="R75" i="2"/>
  <c r="R79" i="2"/>
  <c r="I78" i="2"/>
  <c r="J78" i="2"/>
  <c r="R76" i="2"/>
  <c r="R80" i="2"/>
  <c r="R74" i="2"/>
  <c r="Q55" i="13"/>
  <c r="P27" i="13"/>
  <c r="R71" i="2"/>
  <c r="R70" i="2"/>
  <c r="R68" i="2"/>
  <c r="R72" i="2"/>
  <c r="R67" i="2"/>
  <c r="R69" i="2"/>
  <c r="Q27" i="13"/>
  <c r="R63" i="2"/>
  <c r="I64" i="2"/>
  <c r="J64" i="2"/>
  <c r="R64" i="2"/>
  <c r="R62" i="2"/>
  <c r="R58" i="2"/>
  <c r="R59" i="2"/>
  <c r="R61" i="2"/>
  <c r="R60" i="2"/>
  <c r="R65" i="2"/>
  <c r="R50" i="2"/>
  <c r="R54" i="2"/>
  <c r="I55" i="2"/>
  <c r="J55" i="2"/>
  <c r="R55" i="2"/>
  <c r="R53" i="2"/>
  <c r="R52" i="2"/>
  <c r="R49" i="2"/>
  <c r="R51" i="2"/>
  <c r="R56" i="2"/>
  <c r="Q26" i="13"/>
  <c r="R45" i="2"/>
  <c r="R41" i="2"/>
  <c r="R44" i="2"/>
  <c r="R43" i="2"/>
  <c r="R42" i="2"/>
  <c r="R40" i="2"/>
  <c r="R46" i="2"/>
  <c r="R25" i="2"/>
  <c r="R32" i="2"/>
  <c r="R33" i="2"/>
  <c r="I34" i="2"/>
  <c r="J34" i="2"/>
  <c r="R34" i="2"/>
  <c r="R37" i="2"/>
  <c r="R38" i="2"/>
  <c r="R35" i="2"/>
  <c r="R36" i="2"/>
  <c r="I30" i="2"/>
  <c r="J30" i="2"/>
  <c r="R30" i="2"/>
  <c r="I27" i="2"/>
  <c r="J27" i="2"/>
  <c r="R27" i="2"/>
  <c r="I29" i="2"/>
  <c r="J29" i="2"/>
  <c r="R29" i="2"/>
  <c r="I26" i="2"/>
  <c r="J26" i="2"/>
  <c r="R26" i="2"/>
  <c r="R28" i="2"/>
  <c r="I16" i="2"/>
  <c r="J16" i="2"/>
  <c r="R16" i="2"/>
  <c r="R22" i="2"/>
  <c r="I18" i="2"/>
  <c r="J18" i="2"/>
  <c r="R18" i="2"/>
  <c r="R17" i="2"/>
  <c r="I10" i="2"/>
  <c r="J10" i="2"/>
  <c r="R10" i="2"/>
  <c r="I11" i="2"/>
  <c r="J11" i="2"/>
  <c r="R11" i="2"/>
  <c r="I13" i="2"/>
  <c r="J13" i="2"/>
  <c r="R13" i="2"/>
  <c r="R78" i="2"/>
</calcChain>
</file>

<file path=xl/sharedStrings.xml><?xml version="1.0" encoding="utf-8"?>
<sst xmlns="http://schemas.openxmlformats.org/spreadsheetml/2006/main" count="2064" uniqueCount="482">
  <si>
    <t>Number</t>
  </si>
  <si>
    <t>Construct</t>
  </si>
  <si>
    <t>Titer</t>
  </si>
  <si>
    <t>Fitness</t>
  </si>
  <si>
    <t>F treatment</t>
  </si>
  <si>
    <t>G treatment</t>
  </si>
  <si>
    <t>H treatment</t>
  </si>
  <si>
    <t>R110</t>
  </si>
  <si>
    <t>Rand-1 F</t>
  </si>
  <si>
    <t>F random 100% rep 1</t>
  </si>
  <si>
    <t>wt</t>
  </si>
  <si>
    <t>R125</t>
  </si>
  <si>
    <t>Rand-1 G</t>
  </si>
  <si>
    <t>G random 100% rep 1</t>
  </si>
  <si>
    <t>R140</t>
  </si>
  <si>
    <t>Rand-1 H</t>
  </si>
  <si>
    <t>H random 100% rep 1</t>
  </si>
  <si>
    <t>Rand-1 FG-1</t>
  </si>
  <si>
    <t>Rand-1 FGH</t>
  </si>
  <si>
    <t>failed construction</t>
  </si>
  <si>
    <t>Rand-1 FH-1</t>
  </si>
  <si>
    <t>Rand-1 GH-1</t>
  </si>
  <si>
    <t>R113</t>
  </si>
  <si>
    <t>Rand-2 F</t>
  </si>
  <si>
    <t>F random max rep 1</t>
  </si>
  <si>
    <t>R129</t>
  </si>
  <si>
    <t>Rand-2 G</t>
  </si>
  <si>
    <t>G random max rep 2</t>
  </si>
  <si>
    <t>Rand-2 H</t>
  </si>
  <si>
    <t>H random max rep 2</t>
  </si>
  <si>
    <t>R202</t>
  </si>
  <si>
    <t>Rand-2 FG-1</t>
  </si>
  <si>
    <t>Rand-2 FGH</t>
  </si>
  <si>
    <t>Rand-2 FH-1</t>
  </si>
  <si>
    <t>Rand-2 GH-1</t>
  </si>
  <si>
    <t>R107</t>
  </si>
  <si>
    <t>Rand-3 F</t>
  </si>
  <si>
    <t>F random 75% rep 1</t>
  </si>
  <si>
    <t>x</t>
  </si>
  <si>
    <t>R122</t>
  </si>
  <si>
    <t>Rand-3 G</t>
  </si>
  <si>
    <t>G random 75% rep 1</t>
  </si>
  <si>
    <t>R139</t>
  </si>
  <si>
    <t>Rand-3 H</t>
  </si>
  <si>
    <t>H random 75% rep 3</t>
  </si>
  <si>
    <t>Rand-3 FG-1</t>
  </si>
  <si>
    <t>Rand-3 FGH-2</t>
  </si>
  <si>
    <t>Rand-3 FH-1</t>
  </si>
  <si>
    <t>Rand-3 GH-1</t>
  </si>
  <si>
    <t>R156</t>
  </si>
  <si>
    <t>Shuf-1 F</t>
  </si>
  <si>
    <t>F shuffle 100% rep 2</t>
  </si>
  <si>
    <t>R167</t>
  </si>
  <si>
    <t>Shuf-1 G</t>
  </si>
  <si>
    <t>G shuffle 100% rep 1</t>
  </si>
  <si>
    <t>R179-1</t>
  </si>
  <si>
    <t>Shuf-1 H</t>
  </si>
  <si>
    <t>H shuffle 100% rep 1</t>
  </si>
  <si>
    <t>R207</t>
  </si>
  <si>
    <t>Shuf-1 FG-1</t>
  </si>
  <si>
    <t>Shuf-1 FGH-1</t>
  </si>
  <si>
    <t>Shuf-1 FH-1</t>
  </si>
  <si>
    <t>Shuf-1 GH-1</t>
  </si>
  <si>
    <t>R152</t>
  </si>
  <si>
    <t>Shuf-2 F</t>
  </si>
  <si>
    <t>F shuffle 75% rep 1</t>
  </si>
  <si>
    <t>R164</t>
  </si>
  <si>
    <t>Shuf-2 G</t>
  </si>
  <si>
    <t>G shuffle 75% rep 1</t>
  </si>
  <si>
    <t>R178</t>
  </si>
  <si>
    <t>Shuf-2 H</t>
  </si>
  <si>
    <t>H shuffle 75% rep 3</t>
  </si>
  <si>
    <t>Shuf-2 FG-1</t>
  </si>
  <si>
    <t>Shuf-2 FGH-2</t>
  </si>
  <si>
    <t>Shuf-2 FH-1</t>
  </si>
  <si>
    <t>Shuf-2 GH-1</t>
  </si>
  <si>
    <t>Shuf-3 F</t>
  </si>
  <si>
    <t>F shuffle 100% rep 3</t>
  </si>
  <si>
    <t>R22</t>
  </si>
  <si>
    <t>Shuf-3 G</t>
  </si>
  <si>
    <t>G_0.5shuf_rep2</t>
  </si>
  <si>
    <t>R181</t>
  </si>
  <si>
    <t>Shuf-3 H</t>
  </si>
  <si>
    <t>H shuffle 100% rep 3</t>
  </si>
  <si>
    <t>Shuf-3 FG-1</t>
  </si>
  <si>
    <t>Shuf-3 FGH-1</t>
  </si>
  <si>
    <t>Shuf-3 FH-1</t>
  </si>
  <si>
    <t>Shuf-3 GH-1</t>
  </si>
  <si>
    <t xml:space="preserve"> </t>
  </si>
  <si>
    <t>Worst-1 F</t>
  </si>
  <si>
    <t>F_0.5worst_rep2</t>
  </si>
  <si>
    <t>Worst-1 G</t>
  </si>
  <si>
    <t>G_0.5worst_rep2</t>
  </si>
  <si>
    <t>R60</t>
  </si>
  <si>
    <t>Worst-1 H</t>
  </si>
  <si>
    <t>H_0.5worst_rep1</t>
  </si>
  <si>
    <t>Worst-1 FG-1</t>
  </si>
  <si>
    <t>Worst-1 FGH-2</t>
  </si>
  <si>
    <t>Worst-1 FH-1</t>
  </si>
  <si>
    <t>Worst-1 GH-1</t>
  </si>
  <si>
    <t>Worst-2 F</t>
  </si>
  <si>
    <t>F_0.75worst_rep3</t>
  </si>
  <si>
    <t>Worst-2 G</t>
  </si>
  <si>
    <t>G_0.5worst_rep3</t>
  </si>
  <si>
    <t>R66</t>
  </si>
  <si>
    <t>Worst-2 H</t>
  </si>
  <si>
    <t>H_1.0worst_rep1</t>
  </si>
  <si>
    <t>Worst-2 FG-1</t>
  </si>
  <si>
    <t>Worst-2 FGH-1</t>
  </si>
  <si>
    <t>Worst-2 FH-1</t>
  </si>
  <si>
    <t>Worst-2 GH-1</t>
  </si>
  <si>
    <t>Worst-3 F</t>
  </si>
  <si>
    <t>F_0.5worst_rep3</t>
  </si>
  <si>
    <t>Worst-3 G</t>
  </si>
  <si>
    <t>G_0.75worst_rep3</t>
  </si>
  <si>
    <t>R63</t>
  </si>
  <si>
    <t>Worst-3 H</t>
  </si>
  <si>
    <t>H_0.75worst_rep1</t>
  </si>
  <si>
    <t>Worst-3 FG-1</t>
  </si>
  <si>
    <t>Worst-3 FGH-1</t>
  </si>
  <si>
    <t>Worst-3 FH-1</t>
  </si>
  <si>
    <t>Worst-3 GH-1</t>
  </si>
  <si>
    <t>wt S2M-1</t>
  </si>
  <si>
    <t>Construct #</t>
  </si>
  <si>
    <t>R110.3</t>
  </si>
  <si>
    <t>R140.3</t>
  </si>
  <si>
    <t>Time (min)</t>
  </si>
  <si>
    <t>OD/A600</t>
  </si>
  <si>
    <t>T40 plating dilutions</t>
  </si>
  <si>
    <t>Fitness of original construct</t>
  </si>
  <si>
    <t>bath location</t>
  </si>
  <si>
    <t>flask #</t>
  </si>
  <si>
    <t>Pass. Length (hrs)</t>
  </si>
  <si>
    <t>Start Time</t>
  </si>
  <si>
    <t>Amt to add (uL)</t>
  </si>
  <si>
    <t>Sampling Time</t>
  </si>
  <si>
    <t>Fitness from last passage</t>
  </si>
  <si>
    <t>Passage Number(s)</t>
  </si>
  <si>
    <t>therm</t>
  </si>
  <si>
    <t>Titer from previous passage</t>
  </si>
  <si>
    <t>Amt of previous passage to add (mL)</t>
  </si>
  <si>
    <t>Amt of previous passage to add (uL)</t>
  </si>
  <si>
    <t>Titer of flask (T0)</t>
  </si>
  <si>
    <t>R125.1</t>
  </si>
  <si>
    <t>Approx. amt. to plate of previous passage ("T0")</t>
  </si>
  <si>
    <t>Approx. amt. to plate of this passage (T40)</t>
  </si>
  <si>
    <t>Time for passages with low titers (min)</t>
  </si>
  <si>
    <t>Actual time (hours)</t>
  </si>
  <si>
    <t>T0 dilutions to plate</t>
  </si>
  <si>
    <r>
      <t>Temperature (</t>
    </r>
    <r>
      <rPr>
        <sz val="11"/>
        <color theme="1"/>
        <rFont val="Calibri"/>
        <family val="2"/>
      </rPr>
      <t>°C)</t>
    </r>
  </si>
  <si>
    <t>Start</t>
  </si>
  <si>
    <t>End</t>
  </si>
  <si>
    <t>Low</t>
  </si>
  <si>
    <t>High</t>
  </si>
  <si>
    <r>
      <t>One-Flask Passaging Assays @ 37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</t>
    </r>
  </si>
  <si>
    <r>
      <t>Grew 90 ul 50X C (Apr2021) in 10 ml phage LB + 2 mM CaCl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to O.D. ~0.300, then aliquoted 1.5 ml into flask w/ 8.5 mL phage LB + 2 mM CaCl2</t>
    </r>
  </si>
  <si>
    <r>
      <t>Added 10</t>
    </r>
    <r>
      <rPr>
        <vertAlign val="superscript"/>
        <sz val="11"/>
        <color theme="1"/>
        <rFont val="Times New Roman"/>
        <family val="1"/>
      </rPr>
      <t xml:space="preserve">5 </t>
    </r>
    <r>
      <rPr>
        <sz val="11"/>
        <color theme="1"/>
        <rFont val="Times New Roman"/>
        <family val="1"/>
      </rPr>
      <t>phage to each assay according to titers (unless noted for low titer phages, highlighted in yellow for 10^4)</t>
    </r>
  </si>
  <si>
    <t>At T=40', sampled ~3 mL, 1.25 mL into each of two tubes w/ 100 uL CHCl3; vortex 30", spin down max speed 5', remove 1 mL aqueous layer into eppendorf (fridge storage) &amp; screw top cap w/ 250 uL glycerol (freezer storage)</t>
  </si>
  <si>
    <t>freeze screw top cap w/ liquid N2, dilute from fridge storage tube to plate T=40'</t>
  </si>
  <si>
    <t>plate "T=0" from tube used to innoculate passage</t>
  </si>
  <si>
    <t>repeat for 5 passages</t>
  </si>
  <si>
    <t>T0</t>
  </si>
  <si>
    <t>T40</t>
  </si>
  <si>
    <t>Date</t>
  </si>
  <si>
    <t>Flask #</t>
  </si>
  <si>
    <r>
      <t>for 10</t>
    </r>
    <r>
      <rPr>
        <b/>
        <vertAlign val="superscript"/>
        <sz val="11"/>
        <color theme="1"/>
        <rFont val="Times New Roman"/>
        <family val="1"/>
      </rPr>
      <t xml:space="preserve">5  </t>
    </r>
    <r>
      <rPr>
        <b/>
        <sz val="11"/>
        <color theme="1"/>
        <rFont val="Times New Roman"/>
        <family val="1"/>
      </rPr>
      <t>(uL)</t>
    </r>
  </si>
  <si>
    <r>
      <t>for 10</t>
    </r>
    <r>
      <rPr>
        <b/>
        <vertAlign val="superscript"/>
        <sz val="11"/>
        <color theme="1"/>
        <rFont val="Times New Roman"/>
        <family val="1"/>
      </rPr>
      <t xml:space="preserve">5  </t>
    </r>
    <r>
      <rPr>
        <b/>
        <sz val="11"/>
        <color theme="1"/>
        <rFont val="Times New Roman"/>
        <family val="1"/>
      </rPr>
      <t>(mL)</t>
    </r>
  </si>
  <si>
    <t>counts</t>
  </si>
  <si>
    <t>dil</t>
  </si>
  <si>
    <t>approx. # of phage added to assay</t>
  </si>
  <si>
    <t>T0 titer</t>
  </si>
  <si>
    <t>T40 titer</t>
  </si>
  <si>
    <t>Passage Time (hr)</t>
  </si>
  <si>
    <t>fitness</t>
  </si>
  <si>
    <t>comment</t>
  </si>
  <si>
    <t>redo, low T40 based on lower than expected titer</t>
  </si>
  <si>
    <t>tmtc</t>
  </si>
  <si>
    <t>redo, 5 big plqs on 5e-5 T40; very small plqs</t>
  </si>
  <si>
    <t>R140.1</t>
  </si>
  <si>
    <t>R110.1</t>
  </si>
  <si>
    <t>redo, low T40</t>
  </si>
  <si>
    <t>R140.2</t>
  </si>
  <si>
    <t>R110.2</t>
  </si>
  <si>
    <t>possibly some defined plqs, same size</t>
  </si>
  <si>
    <t xml:space="preserve">Sample # </t>
  </si>
  <si>
    <t>Passage #</t>
  </si>
  <si>
    <t>Passage Fitness</t>
  </si>
  <si>
    <t>Original Fitness</t>
  </si>
  <si>
    <t>T0 Titer</t>
  </si>
  <si>
    <t>T40 Titer</t>
  </si>
  <si>
    <t>Passage Time (hrs)</t>
  </si>
  <si>
    <t>Large Plqs (Y/N)</t>
  </si>
  <si>
    <t>Notes on Large Plqs</t>
  </si>
  <si>
    <t>N</t>
  </si>
  <si>
    <t>N/A</t>
  </si>
  <si>
    <t>Y</t>
  </si>
  <si>
    <t>5 large plqs on 5e-5 T40 plate</t>
  </si>
  <si>
    <t>Y?</t>
  </si>
  <si>
    <t>Frandom 100% rep 1</t>
  </si>
  <si>
    <t>R110.4</t>
  </si>
  <si>
    <t>R125.2</t>
  </si>
  <si>
    <t>R113.1</t>
  </si>
  <si>
    <t>R129.1</t>
  </si>
  <si>
    <t>R140.4</t>
  </si>
  <si>
    <t>R156.1</t>
  </si>
  <si>
    <t>larger plqs on T40 (1, 1e-5; 3, 5e-6)</t>
  </si>
  <si>
    <t>1 large plq on 1e-5, 3 on 5e-6</t>
  </si>
  <si>
    <t>R125.3</t>
  </si>
  <si>
    <t>R113.2</t>
  </si>
  <si>
    <t>R129.2</t>
  </si>
  <si>
    <t>R156.2</t>
  </si>
  <si>
    <t>lrger plqs on both initial and final plates</t>
  </si>
  <si>
    <t>NA</t>
  </si>
  <si>
    <t>Lrg plq T0 titer</t>
  </si>
  <si>
    <t>Lrg plq T40 titer</t>
  </si>
  <si>
    <t>Sm plq T0 titer</t>
  </si>
  <si>
    <t>Sm plq T40 titer</t>
  </si>
  <si>
    <t>Fitness Sm plqs</t>
  </si>
  <si>
    <t>Fitness Lrg plqs</t>
  </si>
  <si>
    <t>lrg plqs on both T0 and T40</t>
  </si>
  <si>
    <t>R167.1</t>
  </si>
  <si>
    <t>R125.4</t>
  </si>
  <si>
    <t>R113.3</t>
  </si>
  <si>
    <t>R129.3</t>
  </si>
  <si>
    <t>R152.1</t>
  </si>
  <si>
    <t>R156.3</t>
  </si>
  <si>
    <t>lrg plaques on both T0 and T40</t>
  </si>
  <si>
    <t>R167.2</t>
  </si>
  <si>
    <t>R113.4</t>
  </si>
  <si>
    <t>R129.4</t>
  </si>
  <si>
    <t>R152.2</t>
  </si>
  <si>
    <t>R156.4</t>
  </si>
  <si>
    <t>R164.1</t>
  </si>
  <si>
    <t>lrg plaques on T40, hard to distinguish</t>
  </si>
  <si>
    <t>plated incorrect T0, replate</t>
  </si>
  <si>
    <t>titer wrong, retiter and re-passage</t>
  </si>
  <si>
    <t>T40 plated with wrong dil, replate</t>
  </si>
  <si>
    <t>lrger plqs on T40, hard to count because not super distinguishable</t>
  </si>
  <si>
    <t>R152.3</t>
  </si>
  <si>
    <t>R164.2</t>
  </si>
  <si>
    <t>replate</t>
  </si>
  <si>
    <t>lrger plqs on T0 and T40, almost impossible to count</t>
  </si>
  <si>
    <t>bigger plqs T0 and T40, but hard to count b/c not easily distinguishable</t>
  </si>
  <si>
    <t>210 (replate)</t>
  </si>
  <si>
    <t>R167.2 (replate)</t>
  </si>
  <si>
    <t>R152.4</t>
  </si>
  <si>
    <t>R178.1</t>
  </si>
  <si>
    <t>R164.3</t>
  </si>
  <si>
    <t>R167.3</t>
  </si>
  <si>
    <t>lrger plqs on both T0, T40; a bit hard to distinguish</t>
  </si>
  <si>
    <t>R167.4</t>
  </si>
  <si>
    <t>R164.4</t>
  </si>
  <si>
    <t>R178.2</t>
  </si>
  <si>
    <t>R178.3</t>
  </si>
  <si>
    <t>R179-1.1</t>
  </si>
  <si>
    <t>lrg plqs on both T0 &amp; T40; hazy border</t>
  </si>
  <si>
    <t>lrg plqs on both T0 &amp; T40</t>
  </si>
  <si>
    <t>too faint to count; replate &amp; grow longer</t>
  </si>
  <si>
    <t>lrger plqs on T0 &amp; T40; hazy border</t>
  </si>
  <si>
    <t>lrger plqs on T0 &amp; T40, hard to count because not super distinguishable</t>
  </si>
  <si>
    <t>229.2(replate)</t>
  </si>
  <si>
    <t>229.2 (replate)</t>
  </si>
  <si>
    <t>R144-1</t>
  </si>
  <si>
    <t>R205</t>
  </si>
  <si>
    <t>R225</t>
  </si>
  <si>
    <t>R226</t>
  </si>
  <si>
    <t>R231</t>
  </si>
  <si>
    <t>large plaques on T40</t>
  </si>
  <si>
    <t>replate!</t>
  </si>
  <si>
    <t>large plqs on T0 and T40</t>
  </si>
  <si>
    <t>lrg plqs on T40</t>
  </si>
  <si>
    <t>R179-1.2</t>
  </si>
  <si>
    <t>R178.4</t>
  </si>
  <si>
    <t>larger plqs on T0 &amp; T40</t>
  </si>
  <si>
    <t>larger plqs on T0 &amp; T40; hazy border</t>
  </si>
  <si>
    <t>need to replate even below 5e-8, all lrg pqs</t>
  </si>
  <si>
    <t>low plating, almost all large on T40</t>
  </si>
  <si>
    <t>208 (replate)</t>
  </si>
  <si>
    <t>lrg plaques on T40</t>
  </si>
  <si>
    <t>large plqs on T40</t>
  </si>
  <si>
    <t>208(replate)</t>
  </si>
  <si>
    <t>almomst all large plaqs on T40</t>
  </si>
  <si>
    <t>R225.1</t>
  </si>
  <si>
    <t>R202.1</t>
  </si>
  <si>
    <t>R144.1</t>
  </si>
  <si>
    <t>R179.3</t>
  </si>
  <si>
    <t>need to grow plates longer (O/N)</t>
  </si>
  <si>
    <t>plate lower T40. lrg plqs on T0 &amp; T40</t>
  </si>
  <si>
    <t>plate lower T40, lrg plqs on T0 &amp; T40</t>
  </si>
  <si>
    <t>R144.2</t>
  </si>
  <si>
    <t>R179.4</t>
  </si>
  <si>
    <t>plate low, large plaques on T0 &amp; T40</t>
  </si>
  <si>
    <t>larger plaqs on T0 &amp; T40</t>
  </si>
  <si>
    <t>plate low, sm &amp; lrg plqs on T0, all lrg T40</t>
  </si>
  <si>
    <t>R202.2</t>
  </si>
  <si>
    <t>R205.1</t>
  </si>
  <si>
    <t>R225.2</t>
  </si>
  <si>
    <t>R144.3</t>
  </si>
  <si>
    <t>R144-1.1</t>
  </si>
  <si>
    <t>R179-1.3</t>
  </si>
  <si>
    <t>R144-1.2</t>
  </si>
  <si>
    <t>R225.1 (replate)</t>
  </si>
  <si>
    <t>large plaques on T0 &amp; T40</t>
  </si>
  <si>
    <t>208.1 (replate)</t>
  </si>
  <si>
    <t>sm &amp; lrg plqs on T0, all lrg T40</t>
  </si>
  <si>
    <t>lrg plqs on T0 &amp; T40</t>
  </si>
  <si>
    <t>possibly some more defined, similar sized plqs on T40; can't count</t>
  </si>
  <si>
    <t>R225.3</t>
  </si>
  <si>
    <t>R144-1.4</t>
  </si>
  <si>
    <t>R226.1</t>
  </si>
  <si>
    <t>R205.2</t>
  </si>
  <si>
    <t>several lrg plaques T40</t>
  </si>
  <si>
    <t>sm, med, lrg plaques T0; T40 plqs overgrew</t>
  </si>
  <si>
    <t>all lrg!</t>
  </si>
  <si>
    <t>lrg on both T0 and T40; hard to distinguish</t>
  </si>
  <si>
    <t>R144-1.3</t>
  </si>
  <si>
    <t>all lrg plaqs on T0 &amp; T40</t>
  </si>
  <si>
    <t>all lrg on T0 &amp; T40</t>
  </si>
  <si>
    <t>R144.4</t>
  </si>
  <si>
    <t>some lrger plaques on tmtc T40 plates</t>
  </si>
  <si>
    <t>T40 overgrew; replate &amp; don't grow O/N</t>
  </si>
  <si>
    <t>larger plqs on T40</t>
  </si>
  <si>
    <t>1 lrg plq T0; T40 overgrew; replate</t>
  </si>
  <si>
    <t>sm &amp; med on T0; med &amp; lrg on T40</t>
  </si>
  <si>
    <t>sm &amp; lrg plqs on T0 &amp; T40</t>
  </si>
  <si>
    <t>T40 overgrew</t>
  </si>
  <si>
    <t>232.3 (replate)</t>
  </si>
  <si>
    <t>three plaque size</t>
  </si>
  <si>
    <t>R225.4</t>
  </si>
  <si>
    <t>R202.4</t>
  </si>
  <si>
    <t>R205.3</t>
  </si>
  <si>
    <t>R226.2</t>
  </si>
  <si>
    <t>R207.1</t>
  </si>
  <si>
    <t>R231.1</t>
  </si>
  <si>
    <t>R204</t>
  </si>
  <si>
    <t>lrg plaques on T0; T40 overgrew-- replate</t>
  </si>
  <si>
    <t>2 lrg plqs T0; T40 mostly large plaques</t>
  </si>
  <si>
    <t>R207(replate)</t>
  </si>
  <si>
    <t>R205.2(replate)</t>
  </si>
  <si>
    <t>R231.2</t>
  </si>
  <si>
    <t>R204.1</t>
  </si>
  <si>
    <t>R226.3</t>
  </si>
  <si>
    <t>R205.4</t>
  </si>
  <si>
    <t>overgrown; plate low and not O/N</t>
  </si>
  <si>
    <t>plate low; plate longer to see T0</t>
  </si>
  <si>
    <t>all T40 larger</t>
  </si>
  <si>
    <t>plate lower T0; T40; plater longer for start</t>
  </si>
  <si>
    <t>can't count T0; plate longer; more defined plqs on T40</t>
  </si>
  <si>
    <t>small &amp; lrg T0; all larger T40</t>
  </si>
  <si>
    <t>small &amp; lrg T0 &amp; T40</t>
  </si>
  <si>
    <t>all lrg</t>
  </si>
  <si>
    <t>more defined plqs on T40</t>
  </si>
  <si>
    <t>R204-2</t>
  </si>
  <si>
    <t>added too much; T40 titer yesterday miscalculated; re-passage</t>
  </si>
  <si>
    <t>T0 &amp; T40 all large</t>
  </si>
  <si>
    <t>replate today; T0=small, T40=large</t>
  </si>
  <si>
    <t>plate lower than 5e-8; T0=small, T40=large</t>
  </si>
  <si>
    <t>T0=sm &amp; med; T40=sm, med, large plaques</t>
  </si>
  <si>
    <t>232.4 (replate)</t>
  </si>
  <si>
    <t>R204-2.1</t>
  </si>
  <si>
    <t>innoculated with too much</t>
  </si>
  <si>
    <t>R225.4(replate)</t>
  </si>
  <si>
    <t>three plaque sizes</t>
  </si>
  <si>
    <t>R226.2(replate)</t>
  </si>
  <si>
    <t>T0=small, T40=large</t>
  </si>
  <si>
    <t>R231.1 (replate)</t>
  </si>
  <si>
    <t>R204.2</t>
  </si>
  <si>
    <t>F worst 75% rep 2</t>
  </si>
  <si>
    <t>F random 75% rep 3</t>
  </si>
  <si>
    <t>G worst 75% rep 1</t>
  </si>
  <si>
    <t>F random 100% rep 2</t>
  </si>
  <si>
    <t>F worst 100% rep 1</t>
  </si>
  <si>
    <t>G shuffle 75% rep 2</t>
  </si>
  <si>
    <t>G worst 75% rep 2</t>
  </si>
  <si>
    <t>R204.3</t>
  </si>
  <si>
    <t>R226.4</t>
  </si>
  <si>
    <t>all T0 small; all T40 large</t>
  </si>
  <si>
    <t>R226.2 (replate)</t>
  </si>
  <si>
    <t>T0, T40 are all large</t>
  </si>
  <si>
    <t>R204-2.2</t>
  </si>
  <si>
    <t>R207.2</t>
  </si>
  <si>
    <t>R46</t>
  </si>
  <si>
    <t>R53</t>
  </si>
  <si>
    <t>R54</t>
  </si>
  <si>
    <t>R109</t>
  </si>
  <si>
    <t>R111</t>
  </si>
  <si>
    <t>R165</t>
  </si>
  <si>
    <t>plate lower, T0 &amp; T40 all large</t>
  </si>
  <si>
    <t>Rand-2 GH-2</t>
  </si>
  <si>
    <t>T0 &amp; T40 large</t>
  </si>
  <si>
    <t>R204-2.3</t>
  </si>
  <si>
    <t>R207.1 (replate)</t>
  </si>
  <si>
    <t>R231.3</t>
  </si>
  <si>
    <t>R128</t>
  </si>
  <si>
    <t>G random max rep 1</t>
  </si>
  <si>
    <t>some larger plqs on T40</t>
  </si>
  <si>
    <t>mostly larger plaqs on T40</t>
  </si>
  <si>
    <t>T0 &amp; T40 larger</t>
  </si>
  <si>
    <t>R204-2.4</t>
  </si>
  <si>
    <t>R231.2 (replate)</t>
  </si>
  <si>
    <t>all T0 &amp; T40 larger</t>
  </si>
  <si>
    <t>R107.1</t>
  </si>
  <si>
    <t>R139.1</t>
  </si>
  <si>
    <t>orig plate: 5e-5</t>
  </si>
  <si>
    <t>R122.1</t>
  </si>
  <si>
    <t>R207.3</t>
  </si>
  <si>
    <t>R203</t>
  </si>
  <si>
    <t>R224</t>
  </si>
  <si>
    <t>R223-2</t>
  </si>
  <si>
    <t>R139.2</t>
  </si>
  <si>
    <t>R207.4</t>
  </si>
  <si>
    <t>R122.2</t>
  </si>
  <si>
    <t>H randomx 75% rep 3</t>
  </si>
  <si>
    <t>R231.4</t>
  </si>
  <si>
    <t>R203.1</t>
  </si>
  <si>
    <t>R107.2</t>
  </si>
  <si>
    <t>Photos?</t>
  </si>
  <si>
    <t>some lrg T0; all lrg T40</t>
  </si>
  <si>
    <t>a few lrg on T40</t>
  </si>
  <si>
    <t>y</t>
  </si>
  <si>
    <t>T0 several lrg; T40 all large</t>
  </si>
  <si>
    <t>R139.3</t>
  </si>
  <si>
    <t>R107.3</t>
  </si>
  <si>
    <t>R122.3</t>
  </si>
  <si>
    <t>R203.2</t>
  </si>
  <si>
    <t>T0 &amp; T40 have a few small, mostly lrg</t>
  </si>
  <si>
    <t>R139.4</t>
  </si>
  <si>
    <t>R107.4</t>
  </si>
  <si>
    <t>R122.4</t>
  </si>
  <si>
    <t>R128.1</t>
  </si>
  <si>
    <t>R109.1</t>
  </si>
  <si>
    <t>R203.3</t>
  </si>
  <si>
    <t>sm &amp; lrg on both T0 &amp; T40</t>
  </si>
  <si>
    <t>some lrg on T40</t>
  </si>
  <si>
    <t>R109.2</t>
  </si>
  <si>
    <t>R128.2</t>
  </si>
  <si>
    <t>R203.4</t>
  </si>
  <si>
    <t>R165.1</t>
  </si>
  <si>
    <t>R111.1</t>
  </si>
  <si>
    <t>plated wrong T0, replate today</t>
  </si>
  <si>
    <t>T0 &amp; T40 have both lrg and sm plqs</t>
  </si>
  <si>
    <t>T0 sm &amp; lrg; T40 all lrg, need to plate low</t>
  </si>
  <si>
    <t>T0 sm &amp; lrg; T40 all lrg</t>
  </si>
  <si>
    <t>R128.3</t>
  </si>
  <si>
    <t>R109.3</t>
  </si>
  <si>
    <t>R111.2</t>
  </si>
  <si>
    <t>R224.1</t>
  </si>
  <si>
    <t>some lrg on T0 &amp; T40; hard to distinguish</t>
  </si>
  <si>
    <t>sm &amp; med on T0; sm, med, lrg on T40</t>
  </si>
  <si>
    <t>R128.4</t>
  </si>
  <si>
    <t>R109.4</t>
  </si>
  <si>
    <t>R111.3</t>
  </si>
  <si>
    <t>R224.2</t>
  </si>
  <si>
    <t>orig plate: 5e-4</t>
  </si>
  <si>
    <t>R165.2</t>
  </si>
  <si>
    <t>sm &amp; lrg on T0 &amp; T40</t>
  </si>
  <si>
    <t>sm &amp; lrg on T0; mostly lrg T40</t>
  </si>
  <si>
    <t>R165.3</t>
  </si>
  <si>
    <t>R111.4</t>
  </si>
  <si>
    <t>R224.3</t>
  </si>
  <si>
    <t>T0 &amp; T40 sm. &amp; lrg. plaques</t>
  </si>
  <si>
    <t>hard to see orig.; T0 &amp; T40 are large</t>
  </si>
  <si>
    <t>Flask Passaging 11/05/2021</t>
  </si>
  <si>
    <t>R224.4</t>
  </si>
  <si>
    <t>R165.4</t>
  </si>
  <si>
    <t>10^-2 135.1</t>
  </si>
  <si>
    <t>R165.1 (replate)</t>
  </si>
  <si>
    <t>R224.3 (replate)</t>
  </si>
  <si>
    <t>all plqs lrg</t>
  </si>
  <si>
    <t>R224 (replate)</t>
  </si>
  <si>
    <t>can't distinguish sm &amp; lrg</t>
  </si>
  <si>
    <t>R165.2 (replate)</t>
  </si>
  <si>
    <t>Fitness Increase?</t>
  </si>
  <si>
    <t>Lrger plqs?</t>
  </si>
  <si>
    <t>1st appearance of fitness increase/lrger plqs</t>
  </si>
  <si>
    <t>R179-1.4</t>
  </si>
  <si>
    <t>R202.1 (replate)</t>
  </si>
  <si>
    <t>R202.3</t>
  </si>
  <si>
    <t>R223-2.1</t>
  </si>
  <si>
    <t>R223-2.2</t>
  </si>
  <si>
    <t>R223-2.3</t>
  </si>
  <si>
    <t>R223-2.4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</si>
</sst>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5">
    <xf numFmtId="0" fontId="0" fillId="0" borderId="0" xfId="0"/>
    <xf numFmtId="0" fontId="0" fillId="0" borderId="0" xfId="0" applyBorder="1"/>
    <xf numFmtId="0" fontId="0" fillId="0" borderId="0" xfId="0" applyFill="1" applyBorder="1"/>
    <xf numFmtId="14" fontId="0" fillId="0" borderId="0" xfId="0" applyNumberFormat="1" applyFill="1" applyBorder="1"/>
    <xf numFmtId="0" fontId="0" fillId="0" borderId="0" xfId="0" applyFill="1" applyBorder="1" applyAlignment="1">
      <alignment horizontal="left"/>
    </xf>
    <xf numFmtId="0" fontId="0" fillId="0" borderId="0" xfId="0" applyAlignment="1">
      <alignment horizontal="center"/>
    </xf>
    <xf numFmtId="11" fontId="0" fillId="0" borderId="0" xfId="0" applyNumberFormat="1" applyFill="1" applyBorder="1"/>
    <xf numFmtId="0" fontId="0" fillId="0" borderId="0" xfId="0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6" fillId="0" borderId="0" xfId="0" applyFont="1" applyFill="1" applyBorder="1"/>
    <xf numFmtId="0" fontId="6" fillId="0" borderId="0" xfId="0" applyNumberFormat="1" applyFont="1" applyFill="1" applyBorder="1"/>
    <xf numFmtId="11" fontId="6" fillId="0" borderId="0" xfId="0" applyNumberFormat="1" applyFont="1" applyFill="1" applyBorder="1"/>
    <xf numFmtId="14" fontId="6" fillId="0" borderId="0" xfId="0" applyNumberFormat="1" applyFont="1" applyFill="1" applyBorder="1"/>
    <xf numFmtId="49" fontId="6" fillId="0" borderId="0" xfId="0" applyNumberFormat="1" applyFont="1" applyFill="1" applyBorder="1" applyAlignment="1">
      <alignment horizontal="center"/>
    </xf>
    <xf numFmtId="14" fontId="9" fillId="0" borderId="0" xfId="0" applyNumberFormat="1" applyFont="1" applyFill="1" applyBorder="1"/>
    <xf numFmtId="0" fontId="9" fillId="0" borderId="0" xfId="0" applyFont="1" applyFill="1" applyBorder="1" applyAlignment="1">
      <alignment horizontal="center" wrapText="1"/>
    </xf>
    <xf numFmtId="11" fontId="9" fillId="0" borderId="0" xfId="0" applyNumberFormat="1" applyFont="1" applyFill="1" applyBorder="1" applyAlignment="1">
      <alignment horizontal="center"/>
    </xf>
    <xf numFmtId="0" fontId="11" fillId="0" borderId="0" xfId="0" applyFont="1" applyFill="1" applyBorder="1"/>
    <xf numFmtId="164" fontId="6" fillId="0" borderId="0" xfId="0" applyNumberFormat="1" applyFont="1" applyFill="1" applyBorder="1"/>
    <xf numFmtId="0" fontId="2" fillId="0" borderId="0" xfId="0" applyFont="1" applyFill="1" applyBorder="1"/>
    <xf numFmtId="11" fontId="2" fillId="0" borderId="0" xfId="0" applyNumberFormat="1" applyFont="1" applyFill="1" applyBorder="1"/>
    <xf numFmtId="2" fontId="0" fillId="0" borderId="0" xfId="0" applyNumberFormat="1" applyFill="1" applyBorder="1" applyAlignment="1">
      <alignment horizontal="center"/>
    </xf>
    <xf numFmtId="2" fontId="0" fillId="0" borderId="0" xfId="0" applyNumberFormat="1" applyFill="1" applyBorder="1" applyAlignment="1">
      <alignment horizontal="left"/>
    </xf>
    <xf numFmtId="2" fontId="0" fillId="0" borderId="0" xfId="0" applyNumberFormat="1" applyFill="1" applyBorder="1"/>
    <xf numFmtId="0" fontId="0" fillId="0" borderId="0" xfId="0" applyFill="1" applyBorder="1" applyAlignment="1"/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left" vertical="center"/>
    </xf>
    <xf numFmtId="0" fontId="1" fillId="0" borderId="0" xfId="0" applyFont="1" applyBorder="1" applyAlignment="1">
      <alignment horizontal="left"/>
    </xf>
    <xf numFmtId="0" fontId="0" fillId="0" borderId="1" xfId="0" applyFill="1" applyBorder="1"/>
    <xf numFmtId="0" fontId="0" fillId="0" borderId="0" xfId="0" applyFill="1"/>
    <xf numFmtId="2" fontId="0" fillId="0" borderId="1" xfId="0" applyNumberFormat="1" applyFill="1" applyBorder="1" applyAlignment="1">
      <alignment horizontal="left"/>
    </xf>
    <xf numFmtId="11" fontId="0" fillId="0" borderId="1" xfId="0" applyNumberFormat="1" applyFill="1" applyBorder="1" applyAlignment="1">
      <alignment horizontal="left"/>
    </xf>
    <xf numFmtId="11" fontId="0" fillId="2" borderId="1" xfId="0" applyNumberFormat="1" applyFill="1" applyBorder="1"/>
    <xf numFmtId="0" fontId="0" fillId="0" borderId="1" xfId="0" applyBorder="1" applyAlignment="1">
      <alignment horizontal="left"/>
    </xf>
    <xf numFmtId="2" fontId="0" fillId="2" borderId="1" xfId="0" applyNumberFormat="1" applyFill="1" applyBorder="1"/>
    <xf numFmtId="0" fontId="0" fillId="0" borderId="2" xfId="0" applyFill="1" applyBorder="1"/>
    <xf numFmtId="0" fontId="0" fillId="0" borderId="2" xfId="0" applyFill="1" applyBorder="1" applyAlignment="1"/>
    <xf numFmtId="0" fontId="0" fillId="0" borderId="2" xfId="0" applyFill="1" applyBorder="1" applyAlignment="1">
      <alignment horizontal="right"/>
    </xf>
    <xf numFmtId="0" fontId="0" fillId="0" borderId="1" xfId="0" applyFill="1" applyBorder="1" applyAlignment="1"/>
    <xf numFmtId="11" fontId="0" fillId="0" borderId="1" xfId="0" applyNumberFormat="1" applyFill="1" applyBorder="1"/>
    <xf numFmtId="11" fontId="2" fillId="0" borderId="1" xfId="0" applyNumberFormat="1" applyFont="1" applyFill="1" applyBorder="1"/>
    <xf numFmtId="1" fontId="6" fillId="0" borderId="0" xfId="0" applyNumberFormat="1" applyFont="1" applyFill="1" applyBorder="1"/>
    <xf numFmtId="1" fontId="0" fillId="0" borderId="1" xfId="0" applyNumberFormat="1" applyFill="1" applyBorder="1" applyAlignment="1">
      <alignment horizontal="center"/>
    </xf>
    <xf numFmtId="21" fontId="0" fillId="0" borderId="1" xfId="0" applyNumberFormat="1" applyFill="1" applyBorder="1"/>
    <xf numFmtId="2" fontId="0" fillId="0" borderId="1" xfId="0" applyNumberFormat="1" applyFill="1" applyBorder="1"/>
    <xf numFmtId="2" fontId="6" fillId="0" borderId="0" xfId="0" applyNumberFormat="1" applyFont="1" applyFill="1" applyBorder="1"/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14" fontId="6" fillId="0" borderId="0" xfId="0" applyNumberFormat="1" applyFont="1" applyFill="1" applyBorder="1" applyAlignment="1">
      <alignment horizontal="left"/>
    </xf>
    <xf numFmtId="165" fontId="6" fillId="0" borderId="0" xfId="0" applyNumberFormat="1" applyFont="1" applyFill="1" applyBorder="1"/>
    <xf numFmtId="1" fontId="0" fillId="0" borderId="0" xfId="0" applyNumberFormat="1" applyFill="1" applyBorder="1" applyAlignment="1">
      <alignment horizontal="center"/>
    </xf>
    <xf numFmtId="1" fontId="0" fillId="0" borderId="1" xfId="0" applyNumberFormat="1" applyFill="1" applyBorder="1"/>
    <xf numFmtId="0" fontId="6" fillId="0" borderId="0" xfId="0" applyFont="1" applyFill="1" applyBorder="1" applyAlignment="1">
      <alignment vertical="center"/>
    </xf>
    <xf numFmtId="165" fontId="0" fillId="0" borderId="0" xfId="0" applyNumberFormat="1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21" fontId="0" fillId="3" borderId="1" xfId="0" applyNumberFormat="1" applyFill="1" applyBorder="1"/>
    <xf numFmtId="2" fontId="0" fillId="3" borderId="1" xfId="0" applyNumberFormat="1" applyFill="1" applyBorder="1"/>
    <xf numFmtId="0" fontId="0" fillId="2" borderId="1" xfId="0" applyNumberFormat="1" applyFill="1" applyBorder="1"/>
    <xf numFmtId="0" fontId="0" fillId="0" borderId="1" xfId="0" applyFill="1" applyBorder="1" applyAlignment="1">
      <alignment horizontal="center"/>
    </xf>
    <xf numFmtId="0" fontId="0" fillId="0" borderId="0" xfId="0" applyFont="1" applyFill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/>
    <xf numFmtId="14" fontId="2" fillId="0" borderId="1" xfId="0" applyNumberFormat="1" applyFont="1" applyFill="1" applyBorder="1"/>
    <xf numFmtId="2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14" fontId="0" fillId="0" borderId="1" xfId="0" applyNumberFormat="1" applyFill="1" applyBorder="1"/>
    <xf numFmtId="2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11" fontId="4" fillId="0" borderId="1" xfId="0" applyNumberFormat="1" applyFont="1" applyFill="1" applyBorder="1"/>
    <xf numFmtId="2" fontId="6" fillId="0" borderId="1" xfId="0" applyNumberFormat="1" applyFont="1" applyFill="1" applyBorder="1"/>
    <xf numFmtId="0" fontId="1" fillId="0" borderId="1" xfId="0" applyFont="1" applyFill="1" applyBorder="1" applyAlignment="1">
      <alignment horizontal="left"/>
    </xf>
    <xf numFmtId="0" fontId="6" fillId="0" borderId="1" xfId="0" applyNumberFormat="1" applyFont="1" applyFill="1" applyBorder="1"/>
    <xf numFmtId="0" fontId="5" fillId="0" borderId="1" xfId="1" applyFill="1" applyBorder="1" applyAlignment="1">
      <alignment horizontal="left"/>
    </xf>
    <xf numFmtId="0" fontId="6" fillId="0" borderId="1" xfId="0" applyFont="1" applyFill="1" applyBorder="1" applyAlignment="1">
      <alignment vertical="center"/>
    </xf>
    <xf numFmtId="0" fontId="6" fillId="0" borderId="1" xfId="0" applyFont="1" applyFill="1" applyBorder="1"/>
    <xf numFmtId="14" fontId="6" fillId="0" borderId="0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9" fillId="0" borderId="0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horizontal="left" wrapText="1"/>
    </xf>
    <xf numFmtId="0" fontId="0" fillId="0" borderId="5" xfId="0" applyFill="1" applyBorder="1" applyAlignment="1">
      <alignment horizontal="left"/>
    </xf>
    <xf numFmtId="0" fontId="0" fillId="0" borderId="5" xfId="0" applyFill="1" applyBorder="1"/>
    <xf numFmtId="14" fontId="0" fillId="0" borderId="5" xfId="0" applyNumberFormat="1" applyFill="1" applyBorder="1"/>
    <xf numFmtId="2" fontId="0" fillId="0" borderId="5" xfId="0" applyNumberFormat="1" applyFill="1" applyBorder="1" applyAlignment="1">
      <alignment horizontal="center"/>
    </xf>
    <xf numFmtId="11" fontId="0" fillId="0" borderId="5" xfId="0" applyNumberFormat="1" applyFill="1" applyBorder="1"/>
    <xf numFmtId="0" fontId="0" fillId="0" borderId="5" xfId="0" applyFill="1" applyBorder="1" applyAlignment="1">
      <alignment horizontal="center"/>
    </xf>
    <xf numFmtId="11" fontId="0" fillId="0" borderId="1" xfId="0" applyNumberFormat="1" applyFill="1" applyBorder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14" fontId="6" fillId="0" borderId="0" xfId="0" applyNumberFormat="1" applyFont="1" applyFill="1" applyBorder="1" applyAlignment="1">
      <alignment horizontal="left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00"/>
      <color rgb="FFFF531D"/>
      <color rgb="FFDAAAD2"/>
      <color rgb="FFD86694"/>
      <color rgb="FFFF9725"/>
      <color rgb="FFFF481D"/>
      <color rgb="FFFC8420"/>
      <color rgb="FFD866A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AAA28-AC0A-42F6-8B4B-A4B4685409D1}">
  <sheetPr>
    <pageSetUpPr fitToPage="1"/>
  </sheetPr>
  <dimension ref="A1:K73"/>
  <sheetViews>
    <sheetView workbookViewId="0">
      <selection activeCell="J16" sqref="J16"/>
    </sheetView>
  </sheetViews>
  <sheetFormatPr defaultRowHeight="15" x14ac:dyDescent="0.25"/>
  <cols>
    <col min="1" max="1" width="8.28515625" style="95" bestFit="1" customWidth="1"/>
    <col min="2" max="2" width="20.7109375" style="29" bestFit="1" customWidth="1"/>
    <col min="3" max="3" width="17.85546875" style="96" hidden="1" customWidth="1"/>
    <col min="4" max="4" width="7.28515625" style="97" hidden="1" customWidth="1"/>
    <col min="5" max="5" width="19.42578125" style="96" hidden="1" customWidth="1"/>
    <col min="6" max="7" width="19.7109375" style="96" hidden="1" customWidth="1"/>
    <col min="8" max="8" width="20" style="96" customWidth="1"/>
    <col min="9" max="9" width="16.28515625" style="29" customWidth="1"/>
    <col min="10" max="10" width="10.5703125" style="29" customWidth="1"/>
    <col min="11" max="11" width="23.140625" style="29" customWidth="1"/>
    <col min="12" max="16384" width="9.140625" style="29"/>
  </cols>
  <sheetData>
    <row r="1" spans="1:11" ht="27.75" customHeight="1" x14ac:dyDescent="0.25">
      <c r="A1" s="65" t="s">
        <v>0</v>
      </c>
      <c r="B1" s="65" t="s">
        <v>1</v>
      </c>
      <c r="C1" s="65" t="s">
        <v>2</v>
      </c>
      <c r="D1" s="73" t="s">
        <v>3</v>
      </c>
      <c r="E1" s="85" t="s">
        <v>4</v>
      </c>
      <c r="F1" s="85" t="s">
        <v>5</v>
      </c>
      <c r="G1" s="85" t="s">
        <v>6</v>
      </c>
      <c r="H1" s="85" t="s">
        <v>416</v>
      </c>
      <c r="I1" s="85" t="s">
        <v>472</v>
      </c>
      <c r="J1" s="85" t="s">
        <v>473</v>
      </c>
      <c r="K1" s="99" t="s">
        <v>474</v>
      </c>
    </row>
    <row r="2" spans="1:11" x14ac:dyDescent="0.25">
      <c r="A2" s="65" t="s">
        <v>7</v>
      </c>
      <c r="B2" s="65" t="s">
        <v>8</v>
      </c>
      <c r="C2" s="31">
        <v>11900000</v>
      </c>
      <c r="D2" s="30">
        <v>14.7</v>
      </c>
      <c r="E2" s="74" t="s">
        <v>9</v>
      </c>
      <c r="F2" s="65" t="s">
        <v>10</v>
      </c>
      <c r="G2" s="65" t="s">
        <v>10</v>
      </c>
      <c r="H2" s="85" t="s">
        <v>38</v>
      </c>
      <c r="I2" s="28" t="s">
        <v>193</v>
      </c>
      <c r="J2" s="28" t="s">
        <v>193</v>
      </c>
      <c r="K2" s="98"/>
    </row>
    <row r="3" spans="1:11" x14ac:dyDescent="0.25">
      <c r="A3" s="65" t="s">
        <v>11</v>
      </c>
      <c r="B3" s="65" t="s">
        <v>12</v>
      </c>
      <c r="C3" s="31">
        <v>600000</v>
      </c>
      <c r="D3" s="30">
        <v>15.71</v>
      </c>
      <c r="E3" s="65" t="s">
        <v>10</v>
      </c>
      <c r="F3" s="74" t="s">
        <v>13</v>
      </c>
      <c r="G3" s="65" t="s">
        <v>10</v>
      </c>
      <c r="H3" s="85" t="s">
        <v>38</v>
      </c>
      <c r="I3" s="28" t="s">
        <v>193</v>
      </c>
      <c r="J3" s="28" t="s">
        <v>193</v>
      </c>
      <c r="K3" s="28"/>
    </row>
    <row r="4" spans="1:11" x14ac:dyDescent="0.25">
      <c r="A4" s="65" t="s">
        <v>14</v>
      </c>
      <c r="B4" s="65" t="s">
        <v>15</v>
      </c>
      <c r="C4" s="31">
        <v>460000</v>
      </c>
      <c r="D4" s="30">
        <v>17.03</v>
      </c>
      <c r="E4" s="65" t="s">
        <v>10</v>
      </c>
      <c r="F4" s="65" t="s">
        <v>10</v>
      </c>
      <c r="G4" s="74" t="s">
        <v>16</v>
      </c>
      <c r="H4" s="85" t="s">
        <v>38</v>
      </c>
      <c r="I4" s="28" t="s">
        <v>193</v>
      </c>
      <c r="J4" s="28" t="s">
        <v>193</v>
      </c>
      <c r="K4" s="28"/>
    </row>
    <row r="5" spans="1:11" ht="15.75" x14ac:dyDescent="0.25">
      <c r="A5" s="65">
        <v>201</v>
      </c>
      <c r="B5" s="77" t="s">
        <v>17</v>
      </c>
      <c r="C5" s="31">
        <v>1080000</v>
      </c>
      <c r="D5" s="30">
        <v>4.47</v>
      </c>
      <c r="E5" s="74" t="s">
        <v>9</v>
      </c>
      <c r="F5" s="74" t="s">
        <v>13</v>
      </c>
      <c r="G5" s="65" t="s">
        <v>10</v>
      </c>
      <c r="H5" s="85" t="s">
        <v>38</v>
      </c>
      <c r="I5" s="28" t="s">
        <v>195</v>
      </c>
      <c r="J5" s="28" t="s">
        <v>195</v>
      </c>
      <c r="K5" s="28">
        <v>3</v>
      </c>
    </row>
    <row r="6" spans="1:11" ht="15.75" hidden="1" x14ac:dyDescent="0.25">
      <c r="A6" s="65">
        <v>227</v>
      </c>
      <c r="B6" s="77" t="s">
        <v>18</v>
      </c>
      <c r="C6" s="31" t="s">
        <v>19</v>
      </c>
      <c r="D6" s="30"/>
      <c r="E6" s="74" t="s">
        <v>9</v>
      </c>
      <c r="F6" s="74" t="s">
        <v>13</v>
      </c>
      <c r="G6" s="74" t="s">
        <v>16</v>
      </c>
      <c r="H6" s="94"/>
      <c r="I6" s="28"/>
      <c r="J6" s="28"/>
      <c r="K6" s="28"/>
    </row>
    <row r="7" spans="1:11" ht="15.75" x14ac:dyDescent="0.25">
      <c r="A7" s="65">
        <v>204</v>
      </c>
      <c r="B7" s="77" t="s">
        <v>20</v>
      </c>
      <c r="C7" s="31">
        <f>168/(0.001)</f>
        <v>168000</v>
      </c>
      <c r="D7" s="30">
        <v>8.2666666666666675</v>
      </c>
      <c r="E7" s="74" t="s">
        <v>9</v>
      </c>
      <c r="F7" s="65" t="s">
        <v>10</v>
      </c>
      <c r="G7" s="74" t="s">
        <v>16</v>
      </c>
      <c r="H7" s="94"/>
      <c r="I7" s="28" t="s">
        <v>195</v>
      </c>
      <c r="J7" s="28" t="s">
        <v>195</v>
      </c>
      <c r="K7" s="28">
        <v>5</v>
      </c>
    </row>
    <row r="8" spans="1:11" ht="15.75" x14ac:dyDescent="0.25">
      <c r="A8" s="65" t="s">
        <v>264</v>
      </c>
      <c r="B8" s="77" t="s">
        <v>21</v>
      </c>
      <c r="C8" s="31">
        <f>114/(0.0005)</f>
        <v>228000</v>
      </c>
      <c r="D8" s="30">
        <v>8.7433333333333323</v>
      </c>
      <c r="E8" s="65" t="s">
        <v>10</v>
      </c>
      <c r="F8" s="74" t="s">
        <v>13</v>
      </c>
      <c r="G8" s="74" t="s">
        <v>16</v>
      </c>
      <c r="H8" s="94" t="s">
        <v>38</v>
      </c>
      <c r="I8" s="28" t="s">
        <v>195</v>
      </c>
      <c r="J8" s="28" t="s">
        <v>195</v>
      </c>
      <c r="K8" s="28">
        <v>4</v>
      </c>
    </row>
    <row r="9" spans="1:11" ht="15.75" x14ac:dyDescent="0.25">
      <c r="A9" s="65" t="s">
        <v>22</v>
      </c>
      <c r="B9" s="77" t="s">
        <v>23</v>
      </c>
      <c r="C9" s="31">
        <f>90/(0.0002)</f>
        <v>450000</v>
      </c>
      <c r="D9" s="30">
        <v>15.83</v>
      </c>
      <c r="E9" s="74" t="s">
        <v>24</v>
      </c>
      <c r="F9" s="65" t="s">
        <v>10</v>
      </c>
      <c r="G9" s="65" t="s">
        <v>10</v>
      </c>
      <c r="H9" s="94" t="s">
        <v>38</v>
      </c>
      <c r="I9" s="28" t="s">
        <v>193</v>
      </c>
      <c r="J9" s="28" t="s">
        <v>193</v>
      </c>
      <c r="K9" s="28"/>
    </row>
    <row r="10" spans="1:11" ht="15.75" x14ac:dyDescent="0.25">
      <c r="A10" s="65" t="s">
        <v>25</v>
      </c>
      <c r="B10" s="77" t="s">
        <v>26</v>
      </c>
      <c r="C10" s="31">
        <f>96/(0.000005)</f>
        <v>19200000</v>
      </c>
      <c r="D10" s="30">
        <v>16.920000000000002</v>
      </c>
      <c r="E10" s="65" t="s">
        <v>10</v>
      </c>
      <c r="F10" s="74" t="s">
        <v>27</v>
      </c>
      <c r="G10" s="65" t="s">
        <v>10</v>
      </c>
      <c r="H10" s="94" t="s">
        <v>38</v>
      </c>
      <c r="I10" s="28" t="s">
        <v>193</v>
      </c>
      <c r="J10" s="28" t="s">
        <v>193</v>
      </c>
      <c r="K10" s="28"/>
    </row>
    <row r="11" spans="1:11" ht="15.75" x14ac:dyDescent="0.25">
      <c r="A11" s="65" t="s">
        <v>262</v>
      </c>
      <c r="B11" s="77" t="s">
        <v>28</v>
      </c>
      <c r="C11" s="31">
        <f>103/(0.0005)</f>
        <v>206000</v>
      </c>
      <c r="D11" s="30">
        <v>16.14</v>
      </c>
      <c r="E11" s="65" t="s">
        <v>10</v>
      </c>
      <c r="F11" s="65" t="s">
        <v>10</v>
      </c>
      <c r="G11" s="65" t="s">
        <v>29</v>
      </c>
      <c r="H11" s="94" t="s">
        <v>38</v>
      </c>
      <c r="I11" s="28" t="s">
        <v>193</v>
      </c>
      <c r="J11" s="28" t="s">
        <v>193</v>
      </c>
      <c r="K11" s="28"/>
    </row>
    <row r="12" spans="1:11" ht="15.75" x14ac:dyDescent="0.25">
      <c r="A12" s="65" t="s">
        <v>30</v>
      </c>
      <c r="B12" s="77" t="s">
        <v>31</v>
      </c>
      <c r="C12" s="31">
        <f>145/(0.0001)</f>
        <v>1450000</v>
      </c>
      <c r="D12" s="30">
        <v>6.9266666666666667</v>
      </c>
      <c r="E12" s="74" t="s">
        <v>24</v>
      </c>
      <c r="F12" s="74" t="s">
        <v>27</v>
      </c>
      <c r="G12" s="65" t="s">
        <v>10</v>
      </c>
      <c r="H12" s="94" t="s">
        <v>38</v>
      </c>
      <c r="I12" s="28" t="s">
        <v>195</v>
      </c>
      <c r="J12" s="28" t="s">
        <v>195</v>
      </c>
      <c r="K12" s="28">
        <v>1</v>
      </c>
    </row>
    <row r="13" spans="1:11" ht="15.75" hidden="1" x14ac:dyDescent="0.25">
      <c r="A13" s="65">
        <v>228</v>
      </c>
      <c r="B13" s="77" t="s">
        <v>32</v>
      </c>
      <c r="C13" s="31" t="s">
        <v>19</v>
      </c>
      <c r="D13" s="30"/>
      <c r="E13" s="74" t="s">
        <v>24</v>
      </c>
      <c r="F13" s="74" t="s">
        <v>27</v>
      </c>
      <c r="G13" s="65" t="s">
        <v>29</v>
      </c>
      <c r="H13" s="94"/>
      <c r="I13" s="28"/>
      <c r="J13" s="28"/>
      <c r="K13" s="28"/>
    </row>
    <row r="14" spans="1:11" ht="15.75" x14ac:dyDescent="0.25">
      <c r="A14" s="65" t="s">
        <v>263</v>
      </c>
      <c r="B14" s="77" t="s">
        <v>33</v>
      </c>
      <c r="C14" s="31">
        <f>32/(0.0005)</f>
        <v>64000</v>
      </c>
      <c r="D14" s="30">
        <v>7.3433333333333337</v>
      </c>
      <c r="E14" s="74" t="s">
        <v>24</v>
      </c>
      <c r="F14" s="65" t="s">
        <v>10</v>
      </c>
      <c r="G14" s="65" t="s">
        <v>29</v>
      </c>
      <c r="H14" s="94" t="s">
        <v>38</v>
      </c>
      <c r="I14" s="28" t="s">
        <v>195</v>
      </c>
      <c r="J14" s="28" t="s">
        <v>195</v>
      </c>
      <c r="K14" s="28">
        <v>2</v>
      </c>
    </row>
    <row r="15" spans="1:11" ht="15.75" x14ac:dyDescent="0.25">
      <c r="A15" s="65" t="s">
        <v>265</v>
      </c>
      <c r="B15" s="77" t="s">
        <v>34</v>
      </c>
      <c r="C15" s="31">
        <f>59/(0.0005)</f>
        <v>118000</v>
      </c>
      <c r="D15" s="30">
        <v>5.6099999999999994</v>
      </c>
      <c r="E15" s="65" t="s">
        <v>10</v>
      </c>
      <c r="F15" s="74" t="s">
        <v>27</v>
      </c>
      <c r="G15" s="65" t="s">
        <v>29</v>
      </c>
      <c r="H15" s="94"/>
      <c r="I15" s="28" t="s">
        <v>195</v>
      </c>
      <c r="J15" s="28" t="s">
        <v>195</v>
      </c>
      <c r="K15" s="28">
        <v>3</v>
      </c>
    </row>
    <row r="16" spans="1:11" ht="15.75" x14ac:dyDescent="0.25">
      <c r="A16" s="65" t="s">
        <v>35</v>
      </c>
      <c r="B16" s="77" t="s">
        <v>36</v>
      </c>
      <c r="C16" s="31">
        <f>60/(0.00001)</f>
        <v>5999999.9999999991</v>
      </c>
      <c r="D16" s="30">
        <v>15.26</v>
      </c>
      <c r="E16" s="65" t="s">
        <v>37</v>
      </c>
      <c r="F16" s="65" t="s">
        <v>10</v>
      </c>
      <c r="G16" s="65" t="s">
        <v>10</v>
      </c>
      <c r="H16" s="94"/>
      <c r="I16" s="28" t="s">
        <v>193</v>
      </c>
      <c r="J16" s="28" t="s">
        <v>193</v>
      </c>
      <c r="K16" s="28"/>
    </row>
    <row r="17" spans="1:11" ht="15.75" x14ac:dyDescent="0.25">
      <c r="A17" s="65" t="s">
        <v>39</v>
      </c>
      <c r="B17" s="77" t="s">
        <v>40</v>
      </c>
      <c r="C17" s="31">
        <f>72/(0.00001)</f>
        <v>7199999.9999999991</v>
      </c>
      <c r="D17" s="30">
        <v>14.39</v>
      </c>
      <c r="E17" s="65" t="s">
        <v>10</v>
      </c>
      <c r="F17" s="65" t="s">
        <v>41</v>
      </c>
      <c r="G17" s="65" t="s">
        <v>10</v>
      </c>
      <c r="H17" s="94"/>
      <c r="I17" s="28" t="s">
        <v>193</v>
      </c>
      <c r="J17" s="28" t="s">
        <v>193</v>
      </c>
      <c r="K17" s="28"/>
    </row>
    <row r="18" spans="1:11" ht="15.75" x14ac:dyDescent="0.25">
      <c r="A18" s="65" t="s">
        <v>42</v>
      </c>
      <c r="B18" s="77" t="s">
        <v>43</v>
      </c>
      <c r="C18" s="31">
        <f>(96)/(0.00005)</f>
        <v>1920000</v>
      </c>
      <c r="D18" s="30">
        <v>18.11</v>
      </c>
      <c r="E18" s="65" t="s">
        <v>10</v>
      </c>
      <c r="F18" s="65" t="s">
        <v>10</v>
      </c>
      <c r="G18" s="65" t="s">
        <v>44</v>
      </c>
      <c r="H18" s="94"/>
      <c r="I18" s="28" t="s">
        <v>193</v>
      </c>
      <c r="J18" s="28" t="s">
        <v>193</v>
      </c>
      <c r="K18" s="28"/>
    </row>
    <row r="19" spans="1:11" ht="15.75" x14ac:dyDescent="0.25">
      <c r="A19" s="65" t="s">
        <v>406</v>
      </c>
      <c r="B19" s="77" t="s">
        <v>45</v>
      </c>
      <c r="C19" s="31">
        <f>81/(0.0001)</f>
        <v>810000</v>
      </c>
      <c r="D19" s="30">
        <v>5.4333333333333336</v>
      </c>
      <c r="E19" s="65" t="s">
        <v>37</v>
      </c>
      <c r="F19" s="65" t="s">
        <v>41</v>
      </c>
      <c r="G19" s="65" t="s">
        <v>10</v>
      </c>
      <c r="H19" s="94"/>
      <c r="I19" s="28" t="s">
        <v>195</v>
      </c>
      <c r="J19" s="28" t="s">
        <v>195</v>
      </c>
      <c r="K19" s="28">
        <v>4</v>
      </c>
    </row>
    <row r="20" spans="1:11" ht="15.75" x14ac:dyDescent="0.25">
      <c r="A20" s="65" t="s">
        <v>407</v>
      </c>
      <c r="B20" s="77" t="s">
        <v>46</v>
      </c>
      <c r="C20" s="31">
        <f>(144)/(0.001)</f>
        <v>144000</v>
      </c>
      <c r="D20" s="30">
        <v>2.0433333333333334</v>
      </c>
      <c r="E20" s="65" t="s">
        <v>37</v>
      </c>
      <c r="F20" s="65" t="s">
        <v>41</v>
      </c>
      <c r="G20" s="65" t="s">
        <v>44</v>
      </c>
      <c r="H20" s="94"/>
      <c r="I20" s="28" t="s">
        <v>195</v>
      </c>
      <c r="J20" s="28" t="s">
        <v>195</v>
      </c>
      <c r="K20" s="28">
        <v>2</v>
      </c>
    </row>
    <row r="21" spans="1:11" ht="15.75" x14ac:dyDescent="0.25">
      <c r="A21" s="65">
        <v>206</v>
      </c>
      <c r="B21" s="77" t="s">
        <v>47</v>
      </c>
      <c r="C21" s="31">
        <f>(82)/(0.00001)</f>
        <v>8199999.9999999991</v>
      </c>
      <c r="D21" s="30">
        <v>10.436666666666666</v>
      </c>
      <c r="E21" s="65" t="s">
        <v>37</v>
      </c>
      <c r="F21" s="65" t="s">
        <v>10</v>
      </c>
      <c r="G21" s="65" t="s">
        <v>44</v>
      </c>
      <c r="H21" s="94"/>
      <c r="I21" s="28" t="s">
        <v>195</v>
      </c>
      <c r="J21" s="28" t="s">
        <v>195</v>
      </c>
      <c r="K21" s="28">
        <v>1</v>
      </c>
    </row>
    <row r="22" spans="1:11" ht="15.75" x14ac:dyDescent="0.25">
      <c r="A22" s="65" t="s">
        <v>408</v>
      </c>
      <c r="B22" s="77" t="s">
        <v>48</v>
      </c>
      <c r="C22" s="31">
        <f>25/(0.00001)</f>
        <v>2500000</v>
      </c>
      <c r="D22" s="30">
        <v>9.2200000000000006</v>
      </c>
      <c r="E22" s="65" t="s">
        <v>10</v>
      </c>
      <c r="F22" s="65" t="s">
        <v>41</v>
      </c>
      <c r="G22" s="65" t="s">
        <v>44</v>
      </c>
      <c r="H22" s="94"/>
      <c r="I22" s="28" t="s">
        <v>195</v>
      </c>
      <c r="J22" s="28" t="s">
        <v>195</v>
      </c>
      <c r="K22" s="28">
        <v>1</v>
      </c>
    </row>
    <row r="23" spans="1:11" ht="15.75" x14ac:dyDescent="0.25">
      <c r="A23" s="65" t="s">
        <v>49</v>
      </c>
      <c r="B23" s="77" t="s">
        <v>50</v>
      </c>
      <c r="C23" s="31">
        <f>93/(0.00005)</f>
        <v>1860000</v>
      </c>
      <c r="D23" s="30">
        <v>16.3</v>
      </c>
      <c r="E23" s="65" t="s">
        <v>51</v>
      </c>
      <c r="F23" s="65" t="s">
        <v>10</v>
      </c>
      <c r="G23" s="65" t="s">
        <v>10</v>
      </c>
      <c r="H23" s="94" t="s">
        <v>38</v>
      </c>
      <c r="I23" s="28" t="s">
        <v>193</v>
      </c>
      <c r="J23" s="28" t="s">
        <v>193</v>
      </c>
      <c r="K23" s="28"/>
    </row>
    <row r="24" spans="1:11" ht="15.75" x14ac:dyDescent="0.25">
      <c r="A24" s="65" t="s">
        <v>52</v>
      </c>
      <c r="B24" s="77" t="s">
        <v>53</v>
      </c>
      <c r="C24" s="31">
        <f>22/(0.001)</f>
        <v>22000</v>
      </c>
      <c r="D24" s="30">
        <v>11.85</v>
      </c>
      <c r="E24" s="65" t="s">
        <v>10</v>
      </c>
      <c r="F24" s="65" t="s">
        <v>54</v>
      </c>
      <c r="G24" s="65" t="s">
        <v>10</v>
      </c>
      <c r="H24" s="94" t="s">
        <v>38</v>
      </c>
      <c r="I24" s="28" t="s">
        <v>193</v>
      </c>
      <c r="J24" s="28" t="s">
        <v>193</v>
      </c>
      <c r="K24" s="28"/>
    </row>
    <row r="25" spans="1:11" ht="15.75" x14ac:dyDescent="0.25">
      <c r="A25" s="65" t="s">
        <v>55</v>
      </c>
      <c r="B25" s="77" t="s">
        <v>56</v>
      </c>
      <c r="C25" s="31">
        <f>(238)/(0.00001)</f>
        <v>23799999.999999996</v>
      </c>
      <c r="D25" s="30">
        <v>19.89</v>
      </c>
      <c r="E25" s="65" t="s">
        <v>10</v>
      </c>
      <c r="F25" s="65" t="s">
        <v>10</v>
      </c>
      <c r="G25" s="65" t="s">
        <v>57</v>
      </c>
      <c r="H25" s="94" t="s">
        <v>38</v>
      </c>
      <c r="I25" s="28" t="s">
        <v>193</v>
      </c>
      <c r="J25" s="28" t="s">
        <v>193</v>
      </c>
      <c r="K25" s="28"/>
    </row>
    <row r="26" spans="1:11" ht="15.75" x14ac:dyDescent="0.25">
      <c r="A26" s="65" t="s">
        <v>58</v>
      </c>
      <c r="B26" s="77" t="s">
        <v>59</v>
      </c>
      <c r="C26" s="31">
        <f>47/(0.0005)</f>
        <v>94000</v>
      </c>
      <c r="D26" s="30">
        <v>4.9933333333333332</v>
      </c>
      <c r="E26" s="65" t="s">
        <v>51</v>
      </c>
      <c r="F26" s="65" t="s">
        <v>54</v>
      </c>
      <c r="G26" s="65" t="s">
        <v>10</v>
      </c>
      <c r="H26" s="94"/>
      <c r="I26" s="28" t="s">
        <v>195</v>
      </c>
      <c r="J26" s="28" t="s">
        <v>195</v>
      </c>
      <c r="K26" s="28">
        <v>1</v>
      </c>
    </row>
    <row r="27" spans="1:11" ht="15.75" x14ac:dyDescent="0.25">
      <c r="A27" s="65" t="s">
        <v>266</v>
      </c>
      <c r="B27" s="77" t="s">
        <v>60</v>
      </c>
      <c r="C27" s="31">
        <f>38/(0.0005)</f>
        <v>76000</v>
      </c>
      <c r="D27" s="30">
        <v>3.6599999999999997</v>
      </c>
      <c r="E27" s="65" t="s">
        <v>51</v>
      </c>
      <c r="F27" s="65" t="s">
        <v>54</v>
      </c>
      <c r="G27" s="65" t="s">
        <v>57</v>
      </c>
      <c r="H27" s="94"/>
      <c r="I27" s="28" t="s">
        <v>195</v>
      </c>
      <c r="J27" s="28" t="s">
        <v>195</v>
      </c>
      <c r="K27" s="28">
        <v>1</v>
      </c>
    </row>
    <row r="28" spans="1:11" ht="15.75" x14ac:dyDescent="0.25">
      <c r="A28" s="65">
        <v>210</v>
      </c>
      <c r="B28" s="77" t="s">
        <v>61</v>
      </c>
      <c r="C28" s="31">
        <f>34/(0.000007)</f>
        <v>4857142.8571428573</v>
      </c>
      <c r="D28" s="30">
        <v>15.323333333333332</v>
      </c>
      <c r="E28" s="65" t="s">
        <v>51</v>
      </c>
      <c r="F28" s="65" t="s">
        <v>10</v>
      </c>
      <c r="G28" s="65" t="s">
        <v>57</v>
      </c>
      <c r="H28" s="94" t="s">
        <v>38</v>
      </c>
      <c r="I28" s="28" t="s">
        <v>195</v>
      </c>
      <c r="J28" s="28" t="s">
        <v>195</v>
      </c>
      <c r="K28" s="28">
        <v>3</v>
      </c>
    </row>
    <row r="29" spans="1:11" ht="15.75" x14ac:dyDescent="0.25">
      <c r="A29" s="65">
        <v>229</v>
      </c>
      <c r="B29" s="77" t="s">
        <v>62</v>
      </c>
      <c r="C29" s="31">
        <f>14/(0.00003)</f>
        <v>466666.66666666663</v>
      </c>
      <c r="D29" s="30">
        <v>9.9933333333333341</v>
      </c>
      <c r="E29" s="65" t="s">
        <v>10</v>
      </c>
      <c r="F29" s="65" t="s">
        <v>54</v>
      </c>
      <c r="G29" s="65" t="s">
        <v>57</v>
      </c>
      <c r="H29" s="94" t="s">
        <v>38</v>
      </c>
      <c r="I29" s="28" t="s">
        <v>193</v>
      </c>
      <c r="J29" s="28" t="s">
        <v>193</v>
      </c>
      <c r="K29" s="28"/>
    </row>
    <row r="30" spans="1:11" ht="15.75" x14ac:dyDescent="0.25">
      <c r="A30" s="65" t="s">
        <v>63</v>
      </c>
      <c r="B30" s="77" t="s">
        <v>64</v>
      </c>
      <c r="C30" s="31">
        <f>130/(0.00005)</f>
        <v>2600000</v>
      </c>
      <c r="D30" s="30">
        <v>17.86</v>
      </c>
      <c r="E30" s="65" t="s">
        <v>65</v>
      </c>
      <c r="F30" s="65" t="s">
        <v>10</v>
      </c>
      <c r="G30" s="65" t="s">
        <v>10</v>
      </c>
      <c r="H30" s="94" t="s">
        <v>38</v>
      </c>
      <c r="I30" s="28" t="s">
        <v>193</v>
      </c>
      <c r="J30" s="28" t="s">
        <v>193</v>
      </c>
      <c r="K30" s="28"/>
    </row>
    <row r="31" spans="1:11" ht="15.75" x14ac:dyDescent="0.25">
      <c r="A31" s="65" t="s">
        <v>66</v>
      </c>
      <c r="B31" s="77" t="s">
        <v>67</v>
      </c>
      <c r="C31" s="31">
        <f>66/(0.00008)</f>
        <v>824999.99999999988</v>
      </c>
      <c r="D31" s="30">
        <v>9.73</v>
      </c>
      <c r="E31" s="65" t="s">
        <v>10</v>
      </c>
      <c r="F31" s="65" t="s">
        <v>68</v>
      </c>
      <c r="G31" s="65" t="s">
        <v>10</v>
      </c>
      <c r="H31" s="94" t="s">
        <v>38</v>
      </c>
      <c r="I31" s="28" t="s">
        <v>195</v>
      </c>
      <c r="J31" s="28" t="s">
        <v>195</v>
      </c>
      <c r="K31" s="28">
        <v>2</v>
      </c>
    </row>
    <row r="32" spans="1:11" ht="15.75" x14ac:dyDescent="0.25">
      <c r="A32" s="65" t="s">
        <v>69</v>
      </c>
      <c r="B32" s="77" t="s">
        <v>70</v>
      </c>
      <c r="C32" s="31">
        <f>34/(0.000005)</f>
        <v>6799999.9999999991</v>
      </c>
      <c r="D32" s="30">
        <v>20.03</v>
      </c>
      <c r="E32" s="65" t="s">
        <v>10</v>
      </c>
      <c r="F32" s="65" t="s">
        <v>10</v>
      </c>
      <c r="G32" s="65" t="s">
        <v>71</v>
      </c>
      <c r="H32" s="94" t="s">
        <v>38</v>
      </c>
      <c r="I32" s="28" t="s">
        <v>193</v>
      </c>
      <c r="J32" s="28" t="s">
        <v>193</v>
      </c>
      <c r="K32" s="28"/>
    </row>
    <row r="33" spans="1:11" ht="15.75" x14ac:dyDescent="0.25">
      <c r="A33" s="65">
        <v>208</v>
      </c>
      <c r="B33" s="77" t="s">
        <v>72</v>
      </c>
      <c r="C33" s="31">
        <f>47/(0.00006)</f>
        <v>783333.33333333326</v>
      </c>
      <c r="D33" s="30">
        <v>4.5</v>
      </c>
      <c r="E33" s="65" t="s">
        <v>65</v>
      </c>
      <c r="F33" s="65" t="s">
        <v>68</v>
      </c>
      <c r="G33" s="65" t="s">
        <v>10</v>
      </c>
      <c r="H33" s="94" t="s">
        <v>38</v>
      </c>
      <c r="I33" s="28" t="s">
        <v>195</v>
      </c>
      <c r="J33" s="28" t="s">
        <v>195</v>
      </c>
      <c r="K33" s="28">
        <v>1</v>
      </c>
    </row>
    <row r="34" spans="1:11" ht="15.75" x14ac:dyDescent="0.25">
      <c r="A34" s="65">
        <v>232</v>
      </c>
      <c r="B34" s="77" t="s">
        <v>73</v>
      </c>
      <c r="C34" s="31">
        <f>91/(0.0003)</f>
        <v>303333.33333333337</v>
      </c>
      <c r="D34" s="30">
        <v>2.7966666666666669</v>
      </c>
      <c r="E34" s="65" t="s">
        <v>65</v>
      </c>
      <c r="F34" s="65" t="s">
        <v>68</v>
      </c>
      <c r="G34" s="65" t="s">
        <v>71</v>
      </c>
      <c r="H34" s="94" t="s">
        <v>38</v>
      </c>
      <c r="I34" s="28" t="s">
        <v>195</v>
      </c>
      <c r="J34" s="28" t="s">
        <v>195</v>
      </c>
      <c r="K34" s="28">
        <v>1</v>
      </c>
    </row>
    <row r="35" spans="1:11" ht="15.75" x14ac:dyDescent="0.25">
      <c r="A35" s="65">
        <v>211</v>
      </c>
      <c r="B35" s="77" t="s">
        <v>74</v>
      </c>
      <c r="C35" s="31">
        <f>36/(0.000005)</f>
        <v>7199999.9999999991</v>
      </c>
      <c r="D35" s="30">
        <v>16.653333333333332</v>
      </c>
      <c r="E35" s="65" t="s">
        <v>65</v>
      </c>
      <c r="F35" s="65" t="s">
        <v>10</v>
      </c>
      <c r="G35" s="65" t="s">
        <v>71</v>
      </c>
      <c r="H35" s="94" t="s">
        <v>38</v>
      </c>
      <c r="I35" s="28" t="s">
        <v>193</v>
      </c>
      <c r="J35" s="28" t="s">
        <v>193</v>
      </c>
      <c r="K35" s="28"/>
    </row>
    <row r="36" spans="1:11" ht="15.75" x14ac:dyDescent="0.25">
      <c r="A36" s="65">
        <v>230</v>
      </c>
      <c r="B36" s="77" t="s">
        <v>75</v>
      </c>
      <c r="C36" s="31">
        <f>27/(0.0004)</f>
        <v>67500</v>
      </c>
      <c r="D36" s="30">
        <v>8.0666666666666647</v>
      </c>
      <c r="E36" s="65" t="s">
        <v>10</v>
      </c>
      <c r="F36" s="65" t="s">
        <v>68</v>
      </c>
      <c r="G36" s="65" t="s">
        <v>71</v>
      </c>
      <c r="H36" s="94" t="s">
        <v>38</v>
      </c>
      <c r="I36" s="28" t="s">
        <v>195</v>
      </c>
      <c r="J36" s="28" t="s">
        <v>195</v>
      </c>
      <c r="K36" s="28">
        <v>2</v>
      </c>
    </row>
    <row r="37" spans="1:11" ht="15.75" x14ac:dyDescent="0.25">
      <c r="A37" s="65">
        <v>157</v>
      </c>
      <c r="B37" s="77" t="s">
        <v>76</v>
      </c>
      <c r="C37" s="31">
        <v>178000000</v>
      </c>
      <c r="D37" s="30">
        <v>14.14</v>
      </c>
      <c r="E37" s="65" t="s">
        <v>77</v>
      </c>
      <c r="F37" s="65" t="s">
        <v>10</v>
      </c>
      <c r="G37" s="65" t="s">
        <v>10</v>
      </c>
      <c r="H37" s="94" t="s">
        <v>38</v>
      </c>
      <c r="I37" s="28"/>
      <c r="J37" s="28"/>
      <c r="K37" s="28"/>
    </row>
    <row r="38" spans="1:11" ht="15.75" hidden="1" x14ac:dyDescent="0.25">
      <c r="A38" s="65" t="s">
        <v>78</v>
      </c>
      <c r="B38" s="77" t="s">
        <v>79</v>
      </c>
      <c r="C38" s="31">
        <v>21300000</v>
      </c>
      <c r="D38" s="30">
        <v>15.87</v>
      </c>
      <c r="E38" s="65" t="s">
        <v>10</v>
      </c>
      <c r="F38" s="65" t="s">
        <v>80</v>
      </c>
      <c r="G38" s="65" t="s">
        <v>10</v>
      </c>
      <c r="H38" s="94" t="s">
        <v>38</v>
      </c>
      <c r="I38" s="28"/>
      <c r="J38" s="28"/>
      <c r="K38" s="28"/>
    </row>
    <row r="39" spans="1:11" ht="15.75" hidden="1" x14ac:dyDescent="0.25">
      <c r="A39" s="65" t="s">
        <v>81</v>
      </c>
      <c r="B39" s="77" t="s">
        <v>82</v>
      </c>
      <c r="C39" s="31">
        <v>4000000</v>
      </c>
      <c r="D39" s="30">
        <v>17.73</v>
      </c>
      <c r="E39" s="65" t="s">
        <v>10</v>
      </c>
      <c r="F39" s="65" t="s">
        <v>10</v>
      </c>
      <c r="G39" s="65" t="s">
        <v>83</v>
      </c>
      <c r="H39" s="94" t="s">
        <v>38</v>
      </c>
      <c r="I39" s="28"/>
      <c r="J39" s="28"/>
      <c r="K39" s="28"/>
    </row>
    <row r="40" spans="1:11" ht="15.75" hidden="1" x14ac:dyDescent="0.25">
      <c r="A40" s="65">
        <v>209</v>
      </c>
      <c r="B40" s="77" t="s">
        <v>84</v>
      </c>
      <c r="C40" s="31">
        <v>360000</v>
      </c>
      <c r="D40" s="30">
        <v>4.54</v>
      </c>
      <c r="E40" s="65" t="s">
        <v>77</v>
      </c>
      <c r="F40" s="65" t="s">
        <v>80</v>
      </c>
      <c r="G40" s="65" t="s">
        <v>10</v>
      </c>
      <c r="H40" s="94" t="s">
        <v>38</v>
      </c>
      <c r="I40" s="28"/>
      <c r="J40" s="28"/>
      <c r="K40" s="28"/>
    </row>
    <row r="41" spans="1:11" ht="15.75" hidden="1" x14ac:dyDescent="0.25">
      <c r="A41" s="65">
        <v>222</v>
      </c>
      <c r="B41" s="77" t="s">
        <v>85</v>
      </c>
      <c r="C41" s="31">
        <v>1050000</v>
      </c>
      <c r="D41" s="30">
        <v>5.6499999999999995</v>
      </c>
      <c r="E41" s="65" t="s">
        <v>77</v>
      </c>
      <c r="F41" s="65" t="s">
        <v>80</v>
      </c>
      <c r="G41" s="65" t="s">
        <v>83</v>
      </c>
      <c r="H41" s="85" t="s">
        <v>38</v>
      </c>
      <c r="I41" s="28"/>
      <c r="J41" s="28"/>
      <c r="K41" s="28"/>
    </row>
    <row r="42" spans="1:11" ht="15.75" hidden="1" x14ac:dyDescent="0.25">
      <c r="A42" s="65">
        <v>212</v>
      </c>
      <c r="B42" s="77" t="s">
        <v>86</v>
      </c>
      <c r="C42" s="31">
        <v>6399999.9999999991</v>
      </c>
      <c r="D42" s="30">
        <v>8.6533333333333342</v>
      </c>
      <c r="E42" s="65" t="s">
        <v>77</v>
      </c>
      <c r="F42" s="65" t="s">
        <v>10</v>
      </c>
      <c r="G42" s="65" t="s">
        <v>83</v>
      </c>
      <c r="H42" s="85" t="s">
        <v>38</v>
      </c>
      <c r="I42" s="28"/>
      <c r="J42" s="28"/>
      <c r="K42" s="28"/>
    </row>
    <row r="43" spans="1:11" ht="15.75" hidden="1" x14ac:dyDescent="0.25">
      <c r="A43" s="65">
        <v>221</v>
      </c>
      <c r="B43" s="77" t="s">
        <v>87</v>
      </c>
      <c r="C43" s="31">
        <v>5600000</v>
      </c>
      <c r="D43" s="30">
        <v>9.7100000000000009</v>
      </c>
      <c r="E43" s="65" t="s">
        <v>88</v>
      </c>
      <c r="F43" s="65" t="s">
        <v>80</v>
      </c>
      <c r="G43" s="65" t="s">
        <v>83</v>
      </c>
      <c r="H43" s="85" t="s">
        <v>38</v>
      </c>
      <c r="I43" s="28"/>
      <c r="J43" s="28"/>
      <c r="K43" s="28"/>
    </row>
    <row r="44" spans="1:11" ht="15.75" hidden="1" x14ac:dyDescent="0.25">
      <c r="A44" s="65">
        <v>41</v>
      </c>
      <c r="B44" s="77" t="s">
        <v>89</v>
      </c>
      <c r="C44" s="31">
        <v>218000000</v>
      </c>
      <c r="D44" s="30">
        <v>16.62</v>
      </c>
      <c r="E44" s="65" t="s">
        <v>90</v>
      </c>
      <c r="F44" s="65" t="s">
        <v>10</v>
      </c>
      <c r="G44" s="65" t="s">
        <v>10</v>
      </c>
      <c r="H44" s="85"/>
      <c r="I44" s="28"/>
      <c r="J44" s="28"/>
      <c r="K44" s="28"/>
    </row>
    <row r="45" spans="1:11" ht="15.75" hidden="1" x14ac:dyDescent="0.25">
      <c r="A45" s="65">
        <v>51</v>
      </c>
      <c r="B45" s="77" t="s">
        <v>91</v>
      </c>
      <c r="C45" s="31">
        <v>148000000</v>
      </c>
      <c r="D45" s="30">
        <v>14.47</v>
      </c>
      <c r="E45" s="65" t="s">
        <v>10</v>
      </c>
      <c r="F45" s="65" t="s">
        <v>92</v>
      </c>
      <c r="G45" s="65" t="s">
        <v>10</v>
      </c>
      <c r="H45" s="85"/>
      <c r="I45" s="28"/>
      <c r="J45" s="28"/>
      <c r="K45" s="28"/>
    </row>
    <row r="46" spans="1:11" ht="15.75" hidden="1" x14ac:dyDescent="0.25">
      <c r="A46" s="65" t="s">
        <v>93</v>
      </c>
      <c r="B46" s="77" t="s">
        <v>94</v>
      </c>
      <c r="C46" s="31">
        <v>1590000</v>
      </c>
      <c r="D46" s="30">
        <v>16.43</v>
      </c>
      <c r="E46" s="65" t="s">
        <v>10</v>
      </c>
      <c r="F46" s="65" t="s">
        <v>10</v>
      </c>
      <c r="G46" s="65" t="s">
        <v>95</v>
      </c>
      <c r="H46" s="85"/>
      <c r="I46" s="28"/>
      <c r="J46" s="28"/>
      <c r="K46" s="28"/>
    </row>
    <row r="47" spans="1:11" ht="15.75" hidden="1" x14ac:dyDescent="0.25">
      <c r="A47" s="65">
        <v>213</v>
      </c>
      <c r="B47" s="77" t="s">
        <v>96</v>
      </c>
      <c r="C47" s="31">
        <v>10300000</v>
      </c>
      <c r="D47" s="30">
        <v>5.080000000000001</v>
      </c>
      <c r="E47" s="65" t="s">
        <v>90</v>
      </c>
      <c r="F47" s="65" t="s">
        <v>92</v>
      </c>
      <c r="G47" s="65" t="s">
        <v>10</v>
      </c>
      <c r="H47" s="85"/>
      <c r="I47" s="28"/>
      <c r="J47" s="28"/>
      <c r="K47" s="28"/>
    </row>
    <row r="48" spans="1:11" ht="15.75" hidden="1" x14ac:dyDescent="0.25">
      <c r="A48" s="65">
        <v>236</v>
      </c>
      <c r="B48" s="77" t="s">
        <v>97</v>
      </c>
      <c r="C48" s="31">
        <v>820000</v>
      </c>
      <c r="D48" s="30">
        <v>3.9899999999999998</v>
      </c>
      <c r="E48" s="65" t="s">
        <v>90</v>
      </c>
      <c r="F48" s="65" t="s">
        <v>92</v>
      </c>
      <c r="G48" s="65" t="s">
        <v>95</v>
      </c>
      <c r="H48" s="85"/>
      <c r="I48" s="28"/>
      <c r="J48" s="28"/>
      <c r="K48" s="28"/>
    </row>
    <row r="49" spans="1:11" ht="15.75" hidden="1" x14ac:dyDescent="0.25">
      <c r="A49" s="65">
        <v>216</v>
      </c>
      <c r="B49" s="77" t="s">
        <v>98</v>
      </c>
      <c r="C49" s="31">
        <v>16399999.999999998</v>
      </c>
      <c r="D49" s="30">
        <v>9.2733333333333334</v>
      </c>
      <c r="E49" s="65" t="s">
        <v>90</v>
      </c>
      <c r="F49" s="65" t="s">
        <v>10</v>
      </c>
      <c r="G49" s="65" t="s">
        <v>95</v>
      </c>
      <c r="H49" s="85"/>
      <c r="I49" s="28"/>
      <c r="J49" s="28"/>
      <c r="K49" s="28"/>
    </row>
    <row r="50" spans="1:11" ht="15.75" hidden="1" x14ac:dyDescent="0.25">
      <c r="A50" s="65">
        <v>233</v>
      </c>
      <c r="B50" s="77" t="s">
        <v>99</v>
      </c>
      <c r="C50" s="31">
        <v>1660000</v>
      </c>
      <c r="D50" s="30">
        <v>6.1433333333333335</v>
      </c>
      <c r="E50" s="65" t="s">
        <v>10</v>
      </c>
      <c r="F50" s="65" t="s">
        <v>92</v>
      </c>
      <c r="G50" s="65" t="s">
        <v>95</v>
      </c>
      <c r="H50" s="85"/>
      <c r="I50" s="28"/>
      <c r="J50" s="28"/>
      <c r="K50" s="28"/>
    </row>
    <row r="51" spans="1:11" ht="15.75" hidden="1" x14ac:dyDescent="0.25">
      <c r="A51" s="65">
        <v>45</v>
      </c>
      <c r="B51" s="77" t="s">
        <v>100</v>
      </c>
      <c r="C51" s="31">
        <v>135000000</v>
      </c>
      <c r="D51" s="30">
        <v>13.66</v>
      </c>
      <c r="E51" s="65" t="s">
        <v>101</v>
      </c>
      <c r="F51" s="65" t="s">
        <v>10</v>
      </c>
      <c r="G51" s="65" t="s">
        <v>10</v>
      </c>
      <c r="H51" s="85"/>
      <c r="I51" s="28"/>
      <c r="J51" s="28"/>
      <c r="K51" s="28"/>
    </row>
    <row r="52" spans="1:11" ht="15.75" hidden="1" x14ac:dyDescent="0.25">
      <c r="A52" s="65">
        <v>52</v>
      </c>
      <c r="B52" s="77" t="s">
        <v>102</v>
      </c>
      <c r="C52" s="31">
        <v>74400000</v>
      </c>
      <c r="D52" s="30">
        <v>15.64</v>
      </c>
      <c r="E52" s="65" t="s">
        <v>10</v>
      </c>
      <c r="F52" s="65" t="s">
        <v>103</v>
      </c>
      <c r="G52" s="65" t="s">
        <v>10</v>
      </c>
      <c r="H52" s="85"/>
      <c r="I52" s="28"/>
      <c r="J52" s="28"/>
      <c r="K52" s="28"/>
    </row>
    <row r="53" spans="1:11" ht="15.75" hidden="1" x14ac:dyDescent="0.25">
      <c r="A53" s="65" t="s">
        <v>104</v>
      </c>
      <c r="B53" s="77" t="s">
        <v>105</v>
      </c>
      <c r="C53" s="31">
        <v>2110000</v>
      </c>
      <c r="D53" s="30">
        <v>18.170000000000002</v>
      </c>
      <c r="E53" s="65" t="s">
        <v>10</v>
      </c>
      <c r="F53" s="65" t="s">
        <v>10</v>
      </c>
      <c r="G53" s="65" t="s">
        <v>106</v>
      </c>
      <c r="H53" s="85"/>
      <c r="I53" s="28"/>
      <c r="J53" s="28"/>
      <c r="K53" s="28"/>
    </row>
    <row r="54" spans="1:11" ht="15.75" hidden="1" x14ac:dyDescent="0.25">
      <c r="A54" s="65">
        <v>214</v>
      </c>
      <c r="B54" s="77" t="s">
        <v>107</v>
      </c>
      <c r="C54" s="31">
        <v>4500000</v>
      </c>
      <c r="D54" s="30">
        <v>4.2233333333333336</v>
      </c>
      <c r="E54" s="65" t="s">
        <v>101</v>
      </c>
      <c r="F54" s="65" t="s">
        <v>103</v>
      </c>
      <c r="G54" s="65" t="s">
        <v>10</v>
      </c>
      <c r="H54" s="85"/>
      <c r="I54" s="28"/>
      <c r="J54" s="28"/>
      <c r="K54" s="28"/>
    </row>
    <row r="55" spans="1:11" ht="15.75" hidden="1" x14ac:dyDescent="0.25">
      <c r="A55" s="65">
        <v>237</v>
      </c>
      <c r="B55" s="77" t="s">
        <v>108</v>
      </c>
      <c r="C55" s="31" t="s">
        <v>19</v>
      </c>
      <c r="D55" s="30"/>
      <c r="E55" s="65" t="s">
        <v>101</v>
      </c>
      <c r="F55" s="65" t="s">
        <v>103</v>
      </c>
      <c r="G55" s="65" t="s">
        <v>106</v>
      </c>
      <c r="H55" s="85"/>
      <c r="I55" s="28"/>
      <c r="J55" s="28"/>
      <c r="K55" s="28"/>
    </row>
    <row r="56" spans="1:11" ht="15.75" hidden="1" x14ac:dyDescent="0.25">
      <c r="A56" s="65">
        <v>217</v>
      </c>
      <c r="B56" s="77" t="s">
        <v>109</v>
      </c>
      <c r="C56" s="31">
        <v>17300000</v>
      </c>
      <c r="D56" s="30">
        <v>7.9333333333333336</v>
      </c>
      <c r="E56" s="65" t="s">
        <v>101</v>
      </c>
      <c r="F56" s="65" t="s">
        <v>10</v>
      </c>
      <c r="G56" s="65" t="s">
        <v>106</v>
      </c>
      <c r="H56" s="85"/>
      <c r="I56" s="28"/>
      <c r="J56" s="28"/>
      <c r="K56" s="28"/>
    </row>
    <row r="57" spans="1:11" ht="15.75" hidden="1" x14ac:dyDescent="0.25">
      <c r="A57" s="65">
        <v>234</v>
      </c>
      <c r="B57" s="77" t="s">
        <v>110</v>
      </c>
      <c r="C57" s="31">
        <v>2710000</v>
      </c>
      <c r="D57" s="30">
        <v>8.2900000000000009</v>
      </c>
      <c r="E57" s="65" t="s">
        <v>10</v>
      </c>
      <c r="F57" s="65" t="s">
        <v>103</v>
      </c>
      <c r="G57" s="65" t="s">
        <v>106</v>
      </c>
      <c r="H57" s="85"/>
      <c r="I57" s="28"/>
      <c r="J57" s="28"/>
      <c r="K57" s="28"/>
    </row>
    <row r="58" spans="1:11" ht="15.75" hidden="1" x14ac:dyDescent="0.25">
      <c r="A58" s="65">
        <v>42</v>
      </c>
      <c r="B58" s="77" t="s">
        <v>111</v>
      </c>
      <c r="C58" s="31">
        <v>170000000</v>
      </c>
      <c r="D58" s="30">
        <v>16.989999999999998</v>
      </c>
      <c r="E58" s="65" t="s">
        <v>112</v>
      </c>
      <c r="F58" s="65" t="s">
        <v>10</v>
      </c>
      <c r="G58" s="65" t="s">
        <v>10</v>
      </c>
      <c r="H58" s="85"/>
      <c r="I58" s="28"/>
      <c r="J58" s="28"/>
      <c r="K58" s="28"/>
    </row>
    <row r="59" spans="1:11" ht="15.75" hidden="1" x14ac:dyDescent="0.25">
      <c r="A59" s="65">
        <v>55</v>
      </c>
      <c r="B59" s="77" t="s">
        <v>113</v>
      </c>
      <c r="C59" s="31">
        <v>11600000</v>
      </c>
      <c r="D59" s="30">
        <v>12.07</v>
      </c>
      <c r="E59" s="65" t="s">
        <v>10</v>
      </c>
      <c r="F59" s="65" t="s">
        <v>114</v>
      </c>
      <c r="G59" s="65" t="s">
        <v>10</v>
      </c>
      <c r="H59" s="85"/>
      <c r="I59" s="28"/>
      <c r="J59" s="28"/>
      <c r="K59" s="28"/>
    </row>
    <row r="60" spans="1:11" ht="15.75" hidden="1" x14ac:dyDescent="0.25">
      <c r="A60" s="65" t="s">
        <v>115</v>
      </c>
      <c r="B60" s="77" t="s">
        <v>116</v>
      </c>
      <c r="C60" s="31">
        <v>3730000</v>
      </c>
      <c r="D60" s="30">
        <v>16.7</v>
      </c>
      <c r="E60" s="65" t="s">
        <v>10</v>
      </c>
      <c r="F60" s="65" t="s">
        <v>10</v>
      </c>
      <c r="G60" s="65" t="s">
        <v>117</v>
      </c>
      <c r="H60" s="85"/>
      <c r="I60" s="28"/>
      <c r="J60" s="28"/>
      <c r="K60" s="28"/>
    </row>
    <row r="61" spans="1:11" ht="15.75" hidden="1" x14ac:dyDescent="0.25">
      <c r="A61" s="65">
        <v>215</v>
      </c>
      <c r="B61" s="77" t="s">
        <v>118</v>
      </c>
      <c r="C61" s="31">
        <v>5799999.9999999991</v>
      </c>
      <c r="D61" s="30">
        <v>3.77</v>
      </c>
      <c r="E61" s="65" t="s">
        <v>112</v>
      </c>
      <c r="F61" s="65" t="s">
        <v>114</v>
      </c>
      <c r="G61" s="65" t="s">
        <v>10</v>
      </c>
      <c r="H61" s="85"/>
      <c r="I61" s="28"/>
      <c r="J61" s="28"/>
      <c r="K61" s="28"/>
    </row>
    <row r="62" spans="1:11" ht="15.75" hidden="1" x14ac:dyDescent="0.25">
      <c r="A62" s="65">
        <v>238</v>
      </c>
      <c r="B62" s="77" t="s">
        <v>119</v>
      </c>
      <c r="C62" s="31" t="s">
        <v>19</v>
      </c>
      <c r="D62" s="30"/>
      <c r="E62" s="65" t="s">
        <v>112</v>
      </c>
      <c r="F62" s="65" t="s">
        <v>114</v>
      </c>
      <c r="G62" s="65" t="s">
        <v>117</v>
      </c>
      <c r="H62" s="85"/>
      <c r="I62" s="28"/>
      <c r="J62" s="28"/>
      <c r="K62" s="28"/>
    </row>
    <row r="63" spans="1:11" ht="15.75" hidden="1" x14ac:dyDescent="0.25">
      <c r="A63" s="65">
        <v>218</v>
      </c>
      <c r="B63" s="77" t="s">
        <v>120</v>
      </c>
      <c r="C63" s="31">
        <v>14999999.999999998</v>
      </c>
      <c r="D63" s="30">
        <v>7.9533333333333331</v>
      </c>
      <c r="E63" s="65" t="s">
        <v>112</v>
      </c>
      <c r="F63" s="65" t="s">
        <v>10</v>
      </c>
      <c r="G63" s="65" t="s">
        <v>117</v>
      </c>
      <c r="H63" s="85"/>
      <c r="I63" s="28"/>
      <c r="J63" s="28"/>
      <c r="K63" s="28"/>
    </row>
    <row r="64" spans="1:11" ht="15.75" hidden="1" x14ac:dyDescent="0.25">
      <c r="A64" s="65">
        <v>235</v>
      </c>
      <c r="B64" s="77" t="s">
        <v>121</v>
      </c>
      <c r="C64" s="31">
        <v>95000</v>
      </c>
      <c r="D64" s="30">
        <v>5.5</v>
      </c>
      <c r="E64" s="65" t="s">
        <v>10</v>
      </c>
      <c r="F64" s="65" t="s">
        <v>114</v>
      </c>
      <c r="G64" s="65" t="s">
        <v>117</v>
      </c>
      <c r="H64" s="85"/>
      <c r="I64" s="28"/>
      <c r="J64" s="28"/>
      <c r="K64" s="28"/>
    </row>
    <row r="65" spans="1:11" ht="15.75" hidden="1" x14ac:dyDescent="0.25">
      <c r="A65" s="65">
        <v>219</v>
      </c>
      <c r="B65" s="77" t="s">
        <v>122</v>
      </c>
      <c r="C65" s="31">
        <v>224000000</v>
      </c>
      <c r="D65" s="30">
        <v>20.146953989426343</v>
      </c>
      <c r="E65" s="65" t="s">
        <v>10</v>
      </c>
      <c r="F65" s="65" t="s">
        <v>10</v>
      </c>
      <c r="G65" s="65" t="s">
        <v>10</v>
      </c>
      <c r="H65" s="85"/>
      <c r="I65" s="28"/>
      <c r="J65" s="28"/>
      <c r="K65" s="28"/>
    </row>
    <row r="66" spans="1:11" ht="15.75" hidden="1" x14ac:dyDescent="0.25">
      <c r="A66" s="65">
        <v>44</v>
      </c>
      <c r="B66" s="77" t="s">
        <v>367</v>
      </c>
      <c r="C66" s="94">
        <f>235/(0.000005)</f>
        <v>46999999.999999993</v>
      </c>
      <c r="D66" s="73">
        <v>9.9700000000000006</v>
      </c>
      <c r="E66" s="85"/>
      <c r="F66" s="85"/>
      <c r="G66" s="85"/>
      <c r="H66" s="85"/>
      <c r="I66" s="28"/>
      <c r="J66" s="28"/>
      <c r="K66" s="28"/>
    </row>
    <row r="67" spans="1:11" ht="15.75" x14ac:dyDescent="0.25">
      <c r="A67" s="65" t="s">
        <v>384</v>
      </c>
      <c r="B67" s="77" t="s">
        <v>368</v>
      </c>
      <c r="C67" s="94">
        <f>(39)/(0.00005)</f>
        <v>780000</v>
      </c>
      <c r="D67" s="73">
        <v>10.17</v>
      </c>
      <c r="E67" s="85"/>
      <c r="F67" s="85"/>
      <c r="G67" s="85"/>
      <c r="H67" s="85"/>
      <c r="I67" s="28" t="s">
        <v>195</v>
      </c>
      <c r="J67" s="28" t="s">
        <v>195</v>
      </c>
      <c r="K67" s="28">
        <v>4</v>
      </c>
    </row>
    <row r="68" spans="1:11" ht="15.75" x14ac:dyDescent="0.25">
      <c r="A68" s="65" t="s">
        <v>393</v>
      </c>
      <c r="B68" s="77" t="s">
        <v>394</v>
      </c>
      <c r="C68" s="94">
        <f>(138)/(0.00005)</f>
        <v>2760000</v>
      </c>
      <c r="D68" s="73">
        <v>11.24</v>
      </c>
      <c r="E68" s="85"/>
      <c r="F68" s="85"/>
      <c r="G68" s="85"/>
      <c r="H68" s="85"/>
      <c r="I68" s="28" t="s">
        <v>193</v>
      </c>
      <c r="J68" s="28" t="s">
        <v>193</v>
      </c>
      <c r="K68" s="28"/>
    </row>
    <row r="69" spans="1:11" ht="15.75" hidden="1" x14ac:dyDescent="0.25">
      <c r="A69" s="65" t="s">
        <v>382</v>
      </c>
      <c r="B69" s="77" t="s">
        <v>369</v>
      </c>
      <c r="C69" s="94">
        <f>130/(0.00005)</f>
        <v>2600000</v>
      </c>
      <c r="D69" s="73">
        <v>11.35</v>
      </c>
      <c r="E69" s="85"/>
      <c r="F69" s="85"/>
      <c r="G69" s="85"/>
      <c r="H69" s="85"/>
      <c r="I69" s="28"/>
      <c r="J69" s="28"/>
      <c r="K69" s="28"/>
    </row>
    <row r="70" spans="1:11" ht="15.75" x14ac:dyDescent="0.25">
      <c r="A70" s="65" t="s">
        <v>385</v>
      </c>
      <c r="B70" s="77" t="s">
        <v>370</v>
      </c>
      <c r="C70" s="94">
        <f>120/(0.00005)</f>
        <v>2400000</v>
      </c>
      <c r="D70" s="73">
        <v>6.12</v>
      </c>
      <c r="E70" s="85"/>
      <c r="F70" s="85"/>
      <c r="G70" s="85"/>
      <c r="H70" s="85"/>
      <c r="I70" s="28" t="s">
        <v>195</v>
      </c>
      <c r="J70" s="28" t="s">
        <v>195</v>
      </c>
      <c r="K70" s="28">
        <v>4</v>
      </c>
    </row>
    <row r="71" spans="1:11" ht="15.75" hidden="1" x14ac:dyDescent="0.25">
      <c r="A71" s="65" t="s">
        <v>381</v>
      </c>
      <c r="B71" s="77" t="s">
        <v>371</v>
      </c>
      <c r="C71" s="94">
        <f>81/(0.00005)</f>
        <v>1620000</v>
      </c>
      <c r="D71" s="73">
        <v>7.72</v>
      </c>
      <c r="E71" s="85"/>
      <c r="F71" s="85"/>
      <c r="G71" s="85"/>
      <c r="H71" s="85"/>
      <c r="I71" s="28"/>
      <c r="J71" s="28"/>
      <c r="K71" s="28"/>
    </row>
    <row r="72" spans="1:11" ht="15.75" x14ac:dyDescent="0.25">
      <c r="A72" s="65" t="s">
        <v>386</v>
      </c>
      <c r="B72" s="77" t="s">
        <v>372</v>
      </c>
      <c r="C72" s="94">
        <f>(62)/(0.00005)</f>
        <v>1240000</v>
      </c>
      <c r="D72" s="73">
        <v>5.6</v>
      </c>
      <c r="E72" s="85"/>
      <c r="F72" s="85"/>
      <c r="G72" s="85"/>
      <c r="H72" s="85"/>
      <c r="I72" s="28" t="s">
        <v>195</v>
      </c>
      <c r="J72" s="28" t="s">
        <v>195</v>
      </c>
      <c r="K72" s="28">
        <v>1</v>
      </c>
    </row>
    <row r="73" spans="1:11" ht="15.75" hidden="1" x14ac:dyDescent="0.25">
      <c r="A73" s="65" t="s">
        <v>383</v>
      </c>
      <c r="B73" s="77" t="s">
        <v>373</v>
      </c>
      <c r="C73" s="94">
        <f>160/(0.00005)</f>
        <v>3200000</v>
      </c>
      <c r="D73" s="73">
        <v>6.41</v>
      </c>
      <c r="E73" s="85"/>
      <c r="F73" s="85"/>
      <c r="G73" s="85"/>
      <c r="H73" s="85"/>
      <c r="I73" s="28"/>
      <c r="J73" s="28"/>
      <c r="K73" s="28"/>
    </row>
  </sheetData>
  <sortState xmlns:xlrd2="http://schemas.microsoft.com/office/spreadsheetml/2017/richdata2" ref="A5:D65">
    <sortCondition ref="B1:B65"/>
  </sortState>
  <printOptions gridLines="1"/>
  <pageMargins left="0.7" right="0.7" top="0.75" bottom="0.75" header="0.3" footer="0.3"/>
  <pageSetup scale="91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D305-6B17-410D-BE34-BBBA6C42DA63}">
  <sheetPr>
    <pageSetUpPr fitToPage="1"/>
  </sheetPr>
  <dimension ref="A1:T86"/>
  <sheetViews>
    <sheetView topLeftCell="C1" workbookViewId="0">
      <selection activeCell="C9" sqref="C9"/>
    </sheetView>
  </sheetViews>
  <sheetFormatPr defaultRowHeight="15" x14ac:dyDescent="0.25"/>
  <cols>
    <col min="1" max="1" width="46.85546875" bestFit="1" customWidth="1"/>
    <col min="2" max="2" width="21" bestFit="1" customWidth="1"/>
    <col min="3" max="3" width="20.140625" bestFit="1" customWidth="1"/>
    <col min="4" max="4" width="10.42578125" customWidth="1"/>
    <col min="5" max="5" width="44.28515625" bestFit="1" customWidth="1"/>
    <col min="6" max="6" width="20.7109375" bestFit="1" customWidth="1"/>
    <col min="7" max="7" width="15" bestFit="1" customWidth="1"/>
    <col min="8" max="8" width="10.7109375" bestFit="1" customWidth="1"/>
    <col min="9" max="9" width="13.5703125" bestFit="1" customWidth="1"/>
    <col min="10" max="10" width="7.5703125" customWidth="1"/>
    <col min="11" max="11" width="13.85546875" customWidth="1"/>
    <col min="12" max="12" width="19.7109375" bestFit="1" customWidth="1"/>
    <col min="13" max="13" width="11.85546875" bestFit="1" customWidth="1"/>
    <col min="14" max="14" width="15.85546875" bestFit="1" customWidth="1"/>
    <col min="15" max="15" width="15.28515625" bestFit="1" customWidth="1"/>
    <col min="17" max="17" width="12" customWidth="1"/>
    <col min="18" max="18" width="10.85546875" bestFit="1" customWidth="1"/>
  </cols>
  <sheetData>
    <row r="1" spans="1:20" x14ac:dyDescent="0.25">
      <c r="A1" t="s">
        <v>462</v>
      </c>
      <c r="E1" s="2"/>
      <c r="F1" s="2"/>
      <c r="G1" s="6"/>
      <c r="I1" t="s">
        <v>462</v>
      </c>
      <c r="J1" s="2"/>
      <c r="K1" s="2"/>
      <c r="L1" s="2"/>
      <c r="M1" s="2"/>
      <c r="N1" s="2"/>
      <c r="O1" s="2"/>
      <c r="R1" s="2"/>
    </row>
    <row r="2" spans="1:20" x14ac:dyDescent="0.25">
      <c r="A2" s="28" t="s">
        <v>123</v>
      </c>
      <c r="B2" s="83" t="s">
        <v>463</v>
      </c>
      <c r="C2" s="2"/>
      <c r="D2" s="2"/>
      <c r="E2" s="28" t="s">
        <v>123</v>
      </c>
      <c r="F2" s="83" t="s">
        <v>464</v>
      </c>
      <c r="G2" s="2"/>
      <c r="I2" s="2"/>
      <c r="J2" s="2"/>
      <c r="K2" s="2"/>
      <c r="L2" s="2"/>
      <c r="M2" s="2"/>
      <c r="N2" s="2"/>
      <c r="O2" s="2"/>
      <c r="Q2" s="46" t="s">
        <v>126</v>
      </c>
      <c r="R2" s="47" t="s">
        <v>127</v>
      </c>
    </row>
    <row r="3" spans="1:20" x14ac:dyDescent="0.25">
      <c r="A3" s="28" t="s">
        <v>1</v>
      </c>
      <c r="B3" s="33" t="s">
        <v>46</v>
      </c>
      <c r="C3" s="7" t="s">
        <v>128</v>
      </c>
      <c r="D3" s="2"/>
      <c r="E3" s="28" t="s">
        <v>1</v>
      </c>
      <c r="F3" s="33" t="s">
        <v>372</v>
      </c>
      <c r="G3" s="2"/>
      <c r="I3" s="2"/>
      <c r="J3" s="2"/>
      <c r="K3" s="2"/>
      <c r="L3" s="2"/>
      <c r="M3" s="2"/>
      <c r="N3" s="2"/>
      <c r="O3" s="2"/>
      <c r="Q3" s="35"/>
      <c r="R3" s="2"/>
    </row>
    <row r="4" spans="1:20" x14ac:dyDescent="0.25">
      <c r="A4" s="28" t="s">
        <v>129</v>
      </c>
      <c r="B4" s="30">
        <v>2.04</v>
      </c>
      <c r="C4" s="6">
        <v>9.9999999999999995E-7</v>
      </c>
      <c r="D4" s="2"/>
      <c r="E4" s="28" t="s">
        <v>129</v>
      </c>
      <c r="F4" s="30">
        <v>5.6</v>
      </c>
      <c r="G4" s="2"/>
      <c r="I4" s="48" t="s">
        <v>130</v>
      </c>
      <c r="J4" s="61" t="s">
        <v>131</v>
      </c>
      <c r="K4" s="61" t="s">
        <v>123</v>
      </c>
      <c r="L4" s="61" t="s">
        <v>132</v>
      </c>
      <c r="M4" s="61" t="s">
        <v>133</v>
      </c>
      <c r="N4" s="61" t="s">
        <v>134</v>
      </c>
      <c r="O4" s="61" t="s">
        <v>135</v>
      </c>
      <c r="Q4" s="36"/>
      <c r="R4" s="24"/>
    </row>
    <row r="5" spans="1:20" x14ac:dyDescent="0.25">
      <c r="A5" s="28" t="s">
        <v>136</v>
      </c>
      <c r="B5" s="30">
        <v>7.3</v>
      </c>
      <c r="C5" s="6">
        <v>5.0000000000000004E-6</v>
      </c>
      <c r="D5" s="2"/>
      <c r="E5" s="28" t="s">
        <v>136</v>
      </c>
      <c r="F5" s="30">
        <v>19.43</v>
      </c>
      <c r="G5" s="2"/>
      <c r="I5" s="42">
        <v>20</v>
      </c>
      <c r="J5" s="42">
        <v>1</v>
      </c>
      <c r="K5" s="65" t="s">
        <v>464</v>
      </c>
      <c r="L5" s="28">
        <v>0.67</v>
      </c>
      <c r="M5" s="43">
        <v>3.4722222222222224E-4</v>
      </c>
      <c r="N5" s="44" t="s">
        <v>465</v>
      </c>
      <c r="O5" s="43">
        <v>2.8125000000000001E-2</v>
      </c>
      <c r="Q5" s="37"/>
      <c r="R5" s="6"/>
    </row>
    <row r="6" spans="1:20" x14ac:dyDescent="0.25">
      <c r="A6" s="28" t="s">
        <v>137</v>
      </c>
      <c r="B6" s="53">
        <v>5</v>
      </c>
      <c r="C6" s="20">
        <v>1.0000000000000001E-5</v>
      </c>
      <c r="D6" s="2"/>
      <c r="E6" s="28" t="s">
        <v>137</v>
      </c>
      <c r="F6" s="53">
        <v>5</v>
      </c>
      <c r="G6" s="2"/>
      <c r="I6" s="42">
        <v>21</v>
      </c>
      <c r="J6" s="42">
        <v>2</v>
      </c>
      <c r="K6" s="65" t="s">
        <v>463</v>
      </c>
      <c r="L6" s="28">
        <v>1.25</v>
      </c>
      <c r="M6" s="43">
        <v>1.0416666666666667E-3</v>
      </c>
      <c r="N6" s="44">
        <v>9.52</v>
      </c>
      <c r="O6" s="43">
        <v>5.3124999999999999E-2</v>
      </c>
      <c r="Q6" s="37"/>
      <c r="R6" s="6"/>
    </row>
    <row r="7" spans="1:20" x14ac:dyDescent="0.25">
      <c r="A7" s="28" t="s">
        <v>139</v>
      </c>
      <c r="B7" s="31">
        <v>10500000</v>
      </c>
      <c r="C7" s="6">
        <v>5.0000000000000002E-5</v>
      </c>
      <c r="D7" s="2"/>
      <c r="E7" s="28" t="s">
        <v>139</v>
      </c>
      <c r="F7" s="31">
        <v>74000000</v>
      </c>
      <c r="G7" s="2"/>
      <c r="I7" s="42">
        <v>22</v>
      </c>
      <c r="J7" s="56" t="s">
        <v>138</v>
      </c>
      <c r="K7" s="64"/>
      <c r="L7" s="57"/>
      <c r="M7" s="58"/>
      <c r="N7" s="59"/>
      <c r="O7" s="58"/>
      <c r="Q7" s="35"/>
      <c r="R7" s="3"/>
    </row>
    <row r="8" spans="1:20" x14ac:dyDescent="0.25">
      <c r="A8" s="28" t="s">
        <v>140</v>
      </c>
      <c r="B8" s="32">
        <f>(100000)/B7</f>
        <v>9.5238095238095247E-3</v>
      </c>
      <c r="C8" s="2"/>
      <c r="D8" s="2"/>
      <c r="E8" s="28" t="s">
        <v>140</v>
      </c>
      <c r="F8" s="60">
        <f>(100000)/F7</f>
        <v>1.3513513513513514E-3</v>
      </c>
      <c r="G8" s="2"/>
      <c r="I8" s="52"/>
      <c r="J8" s="2"/>
      <c r="K8" s="2"/>
      <c r="L8" s="2"/>
      <c r="M8" s="2"/>
      <c r="N8" s="2"/>
      <c r="O8" s="2"/>
      <c r="Q8" s="35"/>
      <c r="R8" s="4"/>
    </row>
    <row r="9" spans="1:20" x14ac:dyDescent="0.25">
      <c r="A9" s="28" t="s">
        <v>141</v>
      </c>
      <c r="B9" s="34">
        <f>B8*1000</f>
        <v>9.5238095238095255</v>
      </c>
      <c r="C9" s="2"/>
      <c r="D9" s="2"/>
      <c r="E9" s="28" t="s">
        <v>141</v>
      </c>
      <c r="F9" s="34">
        <f>F8*1000</f>
        <v>1.3513513513513513</v>
      </c>
      <c r="G9" s="2" t="s">
        <v>465</v>
      </c>
      <c r="I9" s="52"/>
      <c r="J9" s="2"/>
      <c r="K9" s="100" t="s">
        <v>149</v>
      </c>
      <c r="L9" s="100"/>
      <c r="M9" s="2"/>
      <c r="N9" s="2"/>
      <c r="O9" s="2"/>
      <c r="Q9" s="35"/>
      <c r="R9" s="2"/>
    </row>
    <row r="10" spans="1:20" x14ac:dyDescent="0.25">
      <c r="A10" s="28" t="s">
        <v>142</v>
      </c>
      <c r="B10" s="32">
        <f>(B8*B7)/10</f>
        <v>10000.000000000002</v>
      </c>
      <c r="C10" s="19"/>
      <c r="D10" s="2"/>
      <c r="E10" s="28" t="s">
        <v>142</v>
      </c>
      <c r="F10" s="32">
        <f>(F8*F7)/10</f>
        <v>10000</v>
      </c>
      <c r="G10" s="2"/>
      <c r="I10" s="52"/>
      <c r="J10" s="2"/>
      <c r="K10" s="28" t="s">
        <v>150</v>
      </c>
      <c r="L10" s="28"/>
      <c r="M10" s="2"/>
      <c r="N10" s="2"/>
      <c r="O10" s="2"/>
      <c r="Q10" s="35"/>
      <c r="R10" s="3"/>
      <c r="T10" s="5"/>
    </row>
    <row r="11" spans="1:20" x14ac:dyDescent="0.25">
      <c r="A11" s="28" t="s">
        <v>144</v>
      </c>
      <c r="B11" s="32">
        <f>(100)/B7</f>
        <v>9.5238095238095231E-6</v>
      </c>
      <c r="D11" s="2"/>
      <c r="E11" s="28" t="s">
        <v>144</v>
      </c>
      <c r="F11" s="32">
        <f>(100)/F7</f>
        <v>1.3513513513513513E-6</v>
      </c>
      <c r="G11" s="2"/>
      <c r="I11" s="2"/>
      <c r="J11" s="2"/>
      <c r="K11" s="28" t="s">
        <v>151</v>
      </c>
      <c r="L11" s="28"/>
      <c r="M11" s="2"/>
      <c r="N11" s="2"/>
      <c r="O11" s="2"/>
      <c r="Q11" s="35"/>
      <c r="R11" s="4"/>
    </row>
    <row r="12" spans="1:20" x14ac:dyDescent="0.25">
      <c r="A12" s="28" t="s">
        <v>145</v>
      </c>
      <c r="B12" s="32">
        <f>100/EXP((B5*B14*LN(2))+LN(B10))</f>
        <v>1.7910235218841234E-5</v>
      </c>
      <c r="C12" s="2"/>
      <c r="D12" s="2"/>
      <c r="E12" s="28" t="s">
        <v>145</v>
      </c>
      <c r="F12" s="32">
        <f>100/EXP((F5*F14*LN(2))+LN(F10))</f>
        <v>1.2054838971466454E-6</v>
      </c>
      <c r="G12" s="2"/>
      <c r="I12" s="2"/>
      <c r="J12" s="2"/>
      <c r="K12" s="28" t="s">
        <v>152</v>
      </c>
      <c r="L12" s="28"/>
      <c r="M12" s="2"/>
      <c r="N12" s="2"/>
      <c r="O12" s="2"/>
      <c r="Q12" s="35"/>
      <c r="R12" s="4"/>
    </row>
    <row r="13" spans="1:20" x14ac:dyDescent="0.25">
      <c r="A13" s="28" t="s">
        <v>146</v>
      </c>
      <c r="B13" s="34">
        <f>((LN((10000000)/B10)/LN(2))/B5)</f>
        <v>1.3651759294057653</v>
      </c>
      <c r="C13" s="29"/>
      <c r="D13" s="29"/>
      <c r="E13" s="28" t="s">
        <v>146</v>
      </c>
      <c r="F13" s="34">
        <f>((LN((10000000)/F10)/LN(2))/F5)</f>
        <v>0.51290706560278365</v>
      </c>
      <c r="G13" s="29"/>
      <c r="H13" s="29"/>
      <c r="I13" s="2"/>
      <c r="J13" s="2"/>
      <c r="K13" s="28" t="s">
        <v>153</v>
      </c>
      <c r="L13" s="28"/>
      <c r="M13" s="2"/>
      <c r="N13" s="2"/>
      <c r="O13" s="2"/>
      <c r="Q13" s="35"/>
      <c r="R13" s="22"/>
    </row>
    <row r="14" spans="1:20" x14ac:dyDescent="0.25">
      <c r="A14" s="28" t="s">
        <v>147</v>
      </c>
      <c r="B14" s="28">
        <v>1.25</v>
      </c>
      <c r="C14" s="29"/>
      <c r="D14" s="29"/>
      <c r="E14" s="28" t="s">
        <v>147</v>
      </c>
      <c r="F14" s="28">
        <v>0.67</v>
      </c>
      <c r="G14" s="29"/>
      <c r="H14" s="29"/>
      <c r="I14" s="2"/>
      <c r="J14" s="2"/>
      <c r="K14" s="2"/>
      <c r="L14" s="2"/>
      <c r="M14" s="2"/>
      <c r="N14" s="2"/>
      <c r="O14" s="2"/>
      <c r="Q14" s="35"/>
      <c r="R14" s="2"/>
    </row>
    <row r="15" spans="1:20" s="1" customFormat="1" x14ac:dyDescent="0.25">
      <c r="A15" s="38" t="s">
        <v>148</v>
      </c>
      <c r="B15" s="40">
        <v>1.0000000000000001E-5</v>
      </c>
      <c r="C15" s="28" t="s">
        <v>453</v>
      </c>
      <c r="D15" s="6"/>
      <c r="E15" s="38" t="s">
        <v>148</v>
      </c>
      <c r="F15" s="40">
        <v>9.9999999999999995E-7</v>
      </c>
      <c r="G15" s="39" t="s">
        <v>403</v>
      </c>
      <c r="H15" s="6"/>
      <c r="I15" s="2"/>
      <c r="J15" s="2"/>
      <c r="K15" s="2"/>
      <c r="L15" s="2"/>
      <c r="M15" s="2"/>
      <c r="N15" s="2"/>
      <c r="O15" s="2"/>
      <c r="Q15" s="35"/>
      <c r="R15" s="2"/>
    </row>
    <row r="16" spans="1:20" s="1" customFormat="1" x14ac:dyDescent="0.25">
      <c r="E16"/>
      <c r="F16"/>
      <c r="G16"/>
      <c r="I16" s="2"/>
      <c r="J16" s="2"/>
      <c r="K16" s="2"/>
      <c r="L16" s="2"/>
      <c r="M16" s="2"/>
      <c r="N16" s="2"/>
      <c r="O16" s="2"/>
      <c r="Q16" s="35"/>
      <c r="R16" s="2"/>
    </row>
    <row r="17" spans="1:17" s="2" customFormat="1" x14ac:dyDescent="0.25">
      <c r="A17" s="2" t="s">
        <v>240</v>
      </c>
      <c r="E17"/>
      <c r="F17"/>
      <c r="G17"/>
      <c r="Q17" s="35"/>
    </row>
    <row r="18" spans="1:17" s="2" customFormat="1" x14ac:dyDescent="0.25">
      <c r="A18" s="2" t="s">
        <v>459</v>
      </c>
      <c r="B18" s="6">
        <v>9.9999999999999995E-8</v>
      </c>
      <c r="C18" s="6">
        <v>4.9999999999999998E-7</v>
      </c>
      <c r="E18"/>
      <c r="F18"/>
      <c r="G18"/>
      <c r="Q18" s="35"/>
    </row>
    <row r="19" spans="1:17" s="2" customFormat="1" x14ac:dyDescent="0.25">
      <c r="E19"/>
      <c r="F19"/>
      <c r="G19"/>
      <c r="Q19" s="35"/>
    </row>
    <row r="20" spans="1:17" s="2" customFormat="1" x14ac:dyDescent="0.25">
      <c r="E20"/>
      <c r="F20"/>
      <c r="G20"/>
    </row>
    <row r="21" spans="1:17" s="2" customFormat="1" x14ac:dyDescent="0.25">
      <c r="E21"/>
      <c r="F21"/>
      <c r="G21"/>
    </row>
    <row r="22" spans="1:17" s="2" customFormat="1" x14ac:dyDescent="0.25">
      <c r="E22"/>
      <c r="F22"/>
      <c r="G22"/>
    </row>
    <row r="23" spans="1:17" s="2" customFormat="1" x14ac:dyDescent="0.25">
      <c r="E23"/>
      <c r="F23"/>
      <c r="G23"/>
    </row>
    <row r="24" spans="1:17" s="2" customFormat="1" x14ac:dyDescent="0.25">
      <c r="E24"/>
      <c r="F24"/>
      <c r="G24"/>
    </row>
    <row r="25" spans="1:17" s="2" customFormat="1" x14ac:dyDescent="0.25">
      <c r="E25"/>
      <c r="F25"/>
      <c r="G25"/>
    </row>
    <row r="26" spans="1:17" s="2" customFormat="1" x14ac:dyDescent="0.25">
      <c r="E26"/>
      <c r="F26"/>
      <c r="G26"/>
    </row>
    <row r="27" spans="1:17" s="2" customFormat="1" x14ac:dyDescent="0.25">
      <c r="E27"/>
      <c r="F27"/>
      <c r="G27"/>
    </row>
    <row r="28" spans="1:17" s="2" customFormat="1" x14ac:dyDescent="0.25">
      <c r="D28" s="29"/>
      <c r="E28"/>
      <c r="F28"/>
      <c r="G28"/>
      <c r="H28" s="29"/>
    </row>
    <row r="29" spans="1:17" s="2" customFormat="1" x14ac:dyDescent="0.25">
      <c r="D29" s="29"/>
      <c r="E29"/>
      <c r="F29"/>
      <c r="G29"/>
      <c r="H29" s="29"/>
    </row>
    <row r="30" spans="1:17" s="2" customFormat="1" x14ac:dyDescent="0.25">
      <c r="D30" s="6"/>
      <c r="E30"/>
      <c r="F30"/>
      <c r="G30"/>
      <c r="H30" s="6"/>
    </row>
    <row r="31" spans="1:17" s="2" customFormat="1" x14ac:dyDescent="0.25">
      <c r="A31"/>
      <c r="B31"/>
      <c r="C31"/>
      <c r="E31"/>
      <c r="F31"/>
      <c r="G31"/>
    </row>
    <row r="32" spans="1:17" s="2" customFormat="1" x14ac:dyDescent="0.25">
      <c r="A32"/>
      <c r="B32"/>
      <c r="C32"/>
      <c r="E32"/>
      <c r="F32"/>
      <c r="G32"/>
    </row>
    <row r="33" spans="1:7" s="2" customFormat="1" x14ac:dyDescent="0.25">
      <c r="A33"/>
      <c r="B33"/>
      <c r="C33"/>
      <c r="E33"/>
      <c r="F33"/>
      <c r="G33"/>
    </row>
    <row r="34" spans="1:7" s="2" customFormat="1" x14ac:dyDescent="0.25">
      <c r="A34"/>
      <c r="B34"/>
      <c r="C34"/>
      <c r="E34"/>
      <c r="F34"/>
      <c r="G34"/>
    </row>
    <row r="35" spans="1:7" s="2" customFormat="1" x14ac:dyDescent="0.25">
      <c r="A35"/>
      <c r="B35"/>
      <c r="C35"/>
      <c r="E35"/>
      <c r="F35"/>
      <c r="G35"/>
    </row>
    <row r="36" spans="1:7" s="2" customFormat="1" x14ac:dyDescent="0.25">
      <c r="A36"/>
      <c r="B36"/>
      <c r="C36"/>
      <c r="E36"/>
      <c r="F36"/>
      <c r="G36"/>
    </row>
    <row r="37" spans="1:7" s="2" customFormat="1" x14ac:dyDescent="0.25">
      <c r="A37"/>
      <c r="B37"/>
      <c r="C37"/>
      <c r="E37"/>
      <c r="F37"/>
      <c r="G37"/>
    </row>
    <row r="38" spans="1:7" s="2" customFormat="1" x14ac:dyDescent="0.25">
      <c r="A38"/>
      <c r="B38"/>
      <c r="C38"/>
      <c r="E38"/>
      <c r="F38"/>
      <c r="G38"/>
    </row>
    <row r="39" spans="1:7" s="2" customFormat="1" x14ac:dyDescent="0.25">
      <c r="A39"/>
      <c r="B39"/>
      <c r="C39"/>
      <c r="E39"/>
      <c r="F39"/>
      <c r="G39"/>
    </row>
    <row r="40" spans="1:7" s="2" customFormat="1" x14ac:dyDescent="0.25">
      <c r="A40"/>
      <c r="B40"/>
      <c r="C40"/>
      <c r="E40"/>
      <c r="F40"/>
      <c r="G40"/>
    </row>
    <row r="41" spans="1:7" s="2" customFormat="1" x14ac:dyDescent="0.25">
      <c r="A41"/>
      <c r="B41"/>
      <c r="C41"/>
      <c r="E41"/>
      <c r="F41"/>
      <c r="G41"/>
    </row>
    <row r="42" spans="1:7" s="2" customFormat="1" x14ac:dyDescent="0.25">
      <c r="A42"/>
      <c r="B42"/>
      <c r="C42"/>
      <c r="E42"/>
      <c r="F42"/>
      <c r="G42"/>
    </row>
    <row r="43" spans="1:7" s="2" customFormat="1" x14ac:dyDescent="0.25">
      <c r="A43"/>
      <c r="B43"/>
      <c r="C43"/>
      <c r="D43" s="29"/>
      <c r="E43"/>
      <c r="F43"/>
      <c r="G43"/>
    </row>
    <row r="44" spans="1:7" s="2" customFormat="1" x14ac:dyDescent="0.25">
      <c r="A44"/>
      <c r="B44"/>
      <c r="C44"/>
      <c r="D44" s="29"/>
      <c r="E44"/>
      <c r="F44"/>
      <c r="G44"/>
    </row>
    <row r="45" spans="1:7" s="2" customFormat="1" x14ac:dyDescent="0.25">
      <c r="A45"/>
      <c r="B45"/>
      <c r="C45"/>
      <c r="D45" s="6"/>
      <c r="E45"/>
      <c r="F45"/>
      <c r="G45"/>
    </row>
    <row r="46" spans="1:7" s="2" customFormat="1" x14ac:dyDescent="0.25">
      <c r="A46"/>
      <c r="B46"/>
      <c r="C46"/>
      <c r="D46" s="1"/>
      <c r="E46"/>
      <c r="F46"/>
      <c r="G46"/>
    </row>
    <row r="47" spans="1:7" s="2" customFormat="1" x14ac:dyDescent="0.25">
      <c r="A47"/>
      <c r="B47"/>
      <c r="C47"/>
      <c r="E47"/>
      <c r="F47"/>
      <c r="G47"/>
    </row>
    <row r="48" spans="1:7" s="2" customFormat="1" x14ac:dyDescent="0.25">
      <c r="A48"/>
      <c r="B48"/>
      <c r="C48"/>
      <c r="E48"/>
      <c r="F48"/>
      <c r="G48"/>
    </row>
    <row r="49" spans="1:17" s="2" customFormat="1" x14ac:dyDescent="0.25">
      <c r="A49"/>
      <c r="B49"/>
      <c r="C49"/>
      <c r="E49"/>
      <c r="F49"/>
      <c r="G49"/>
    </row>
    <row r="50" spans="1:17" s="2" customFormat="1" x14ac:dyDescent="0.25">
      <c r="A50"/>
      <c r="B50"/>
      <c r="C50"/>
      <c r="E50"/>
      <c r="F50"/>
      <c r="G50"/>
      <c r="H50" s="24"/>
      <c r="Q50" s="24"/>
    </row>
    <row r="51" spans="1:17" s="2" customFormat="1" x14ac:dyDescent="0.25">
      <c r="A51"/>
      <c r="B51"/>
      <c r="C51"/>
      <c r="E51"/>
      <c r="F51"/>
      <c r="G51"/>
    </row>
    <row r="52" spans="1:17" s="2" customFormat="1" x14ac:dyDescent="0.25">
      <c r="A52"/>
      <c r="B52"/>
      <c r="C52"/>
      <c r="E52"/>
      <c r="F52"/>
      <c r="G52"/>
    </row>
    <row r="53" spans="1:17" s="2" customFormat="1" x14ac:dyDescent="0.25">
      <c r="A53"/>
      <c r="B53"/>
      <c r="C53"/>
      <c r="E53"/>
      <c r="F53"/>
      <c r="G53"/>
    </row>
    <row r="54" spans="1:17" s="2" customFormat="1" x14ac:dyDescent="0.25">
      <c r="A54"/>
      <c r="B54"/>
      <c r="C54"/>
      <c r="E54"/>
      <c r="F54"/>
      <c r="G54"/>
    </row>
    <row r="55" spans="1:17" s="2" customFormat="1" x14ac:dyDescent="0.25">
      <c r="A55"/>
      <c r="B55"/>
      <c r="C55"/>
      <c r="E55"/>
      <c r="F55"/>
      <c r="G55"/>
    </row>
    <row r="56" spans="1:17" s="2" customFormat="1" x14ac:dyDescent="0.25">
      <c r="A56"/>
      <c r="B56"/>
      <c r="C56"/>
      <c r="E56"/>
      <c r="F56"/>
      <c r="G56"/>
      <c r="J56"/>
      <c r="K56"/>
      <c r="L56"/>
      <c r="M56"/>
      <c r="N56"/>
      <c r="O56"/>
    </row>
    <row r="57" spans="1:17" s="2" customFormat="1" x14ac:dyDescent="0.25">
      <c r="A57"/>
      <c r="B57"/>
      <c r="C57"/>
      <c r="E57"/>
      <c r="F57"/>
      <c r="G57"/>
      <c r="J57"/>
      <c r="K57"/>
      <c r="L57"/>
      <c r="M57"/>
      <c r="N57"/>
      <c r="O57"/>
    </row>
    <row r="58" spans="1:17" x14ac:dyDescent="0.25">
      <c r="D58" s="29"/>
      <c r="I58" s="2"/>
    </row>
    <row r="59" spans="1:17" x14ac:dyDescent="0.25">
      <c r="D59" s="29"/>
    </row>
    <row r="60" spans="1:17" x14ac:dyDescent="0.25">
      <c r="D60" s="6"/>
    </row>
    <row r="61" spans="1:17" x14ac:dyDescent="0.25">
      <c r="D61" s="2"/>
    </row>
    <row r="62" spans="1:17" x14ac:dyDescent="0.25">
      <c r="D62" s="2"/>
    </row>
    <row r="63" spans="1:17" x14ac:dyDescent="0.25">
      <c r="D63" s="2"/>
    </row>
    <row r="64" spans="1:17" x14ac:dyDescent="0.25">
      <c r="D64" s="6"/>
    </row>
    <row r="65" spans="4:4" x14ac:dyDescent="0.25">
      <c r="D65" s="2"/>
    </row>
    <row r="66" spans="4:4" x14ac:dyDescent="0.25">
      <c r="D66" s="2"/>
    </row>
    <row r="67" spans="4:4" x14ac:dyDescent="0.25">
      <c r="D67" s="2"/>
    </row>
    <row r="68" spans="4:4" x14ac:dyDescent="0.25">
      <c r="D68" s="2"/>
    </row>
    <row r="69" spans="4:4" x14ac:dyDescent="0.25">
      <c r="D69" s="2"/>
    </row>
    <row r="70" spans="4:4" x14ac:dyDescent="0.25">
      <c r="D70" s="2"/>
    </row>
    <row r="71" spans="4:4" x14ac:dyDescent="0.25">
      <c r="D71" s="2"/>
    </row>
    <row r="72" spans="4:4" x14ac:dyDescent="0.25">
      <c r="D72" s="2"/>
    </row>
    <row r="73" spans="4:4" x14ac:dyDescent="0.25">
      <c r="D73" s="2"/>
    </row>
    <row r="74" spans="4:4" x14ac:dyDescent="0.25">
      <c r="D74" s="2"/>
    </row>
    <row r="75" spans="4:4" x14ac:dyDescent="0.25">
      <c r="D75" s="2"/>
    </row>
    <row r="76" spans="4:4" x14ac:dyDescent="0.25">
      <c r="D76" s="2"/>
    </row>
    <row r="77" spans="4:4" x14ac:dyDescent="0.25">
      <c r="D77" s="2"/>
    </row>
    <row r="78" spans="4:4" x14ac:dyDescent="0.25">
      <c r="D78" s="2"/>
    </row>
    <row r="79" spans="4:4" x14ac:dyDescent="0.25">
      <c r="D79" s="24"/>
    </row>
    <row r="80" spans="4:4" x14ac:dyDescent="0.25">
      <c r="D80" s="2"/>
    </row>
    <row r="81" spans="4:4" x14ac:dyDescent="0.25">
      <c r="D81" s="2"/>
    </row>
    <row r="82" spans="4:4" x14ac:dyDescent="0.25">
      <c r="D82" s="2"/>
    </row>
    <row r="83" spans="4:4" x14ac:dyDescent="0.25">
      <c r="D83" s="2"/>
    </row>
    <row r="84" spans="4:4" x14ac:dyDescent="0.25">
      <c r="D84" s="66"/>
    </row>
    <row r="85" spans="4:4" x14ac:dyDescent="0.25">
      <c r="D85" s="6"/>
    </row>
    <row r="86" spans="4:4" x14ac:dyDescent="0.25">
      <c r="D86" s="6"/>
    </row>
  </sheetData>
  <mergeCells count="1">
    <mergeCell ref="K9:L9"/>
  </mergeCells>
  <pageMargins left="0.7" right="0.7" top="0.75" bottom="0.75" header="0.3" footer="0.3"/>
  <pageSetup scale="2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9AB22-1F7F-47B5-B107-B8BBF98FC1CC}">
  <sheetPr>
    <pageSetUpPr fitToPage="1"/>
  </sheetPr>
  <dimension ref="A1:S257"/>
  <sheetViews>
    <sheetView tabSelected="1" topLeftCell="F1" workbookViewId="0">
      <selection activeCell="K7" sqref="K7"/>
    </sheetView>
  </sheetViews>
  <sheetFormatPr defaultColWidth="9.140625" defaultRowHeight="15" x14ac:dyDescent="0.25"/>
  <cols>
    <col min="1" max="1" width="11.7109375" style="12" customWidth="1"/>
    <col min="2" max="2" width="7.85546875" style="12" customWidth="1"/>
    <col min="3" max="3" width="14" style="8" customWidth="1"/>
    <col min="4" max="4" width="20.7109375" style="9" customWidth="1"/>
    <col min="5" max="5" width="12" style="9" customWidth="1"/>
    <col min="6" max="6" width="12.5703125" style="9" bestFit="1" customWidth="1"/>
    <col min="7" max="7" width="7.140625" style="9" bestFit="1" customWidth="1"/>
    <col min="8" max="8" width="9" style="9" bestFit="1" customWidth="1"/>
    <col min="9" max="9" width="18.42578125" style="9" bestFit="1" customWidth="1"/>
    <col min="10" max="10" width="10.140625" style="9" bestFit="1" customWidth="1"/>
    <col min="11" max="11" width="9.42578125" style="9" customWidth="1"/>
    <col min="12" max="15" width="9.42578125" style="9" bestFit="1" customWidth="1"/>
    <col min="16" max="16" width="9.28515625" style="9" customWidth="1"/>
    <col min="17" max="17" width="9.85546875" style="9" customWidth="1"/>
    <col min="18" max="18" width="12" style="9" customWidth="1"/>
    <col min="19" max="19" width="34.85546875" style="9" customWidth="1"/>
    <col min="20" max="16384" width="9.140625" style="9"/>
  </cols>
  <sheetData>
    <row r="1" spans="1:19" ht="18" x14ac:dyDescent="0.25">
      <c r="A1" s="50" t="s">
        <v>154</v>
      </c>
      <c r="B1" s="50"/>
    </row>
    <row r="2" spans="1:19" ht="16.5" x14ac:dyDescent="0.3">
      <c r="A2" s="102" t="s">
        <v>155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</row>
    <row r="3" spans="1:19" ht="18" x14ac:dyDescent="0.25">
      <c r="A3" s="102" t="s">
        <v>156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82"/>
      <c r="P3" s="11"/>
      <c r="Q3" s="11"/>
    </row>
    <row r="4" spans="1:19" x14ac:dyDescent="0.25">
      <c r="A4" s="102" t="s">
        <v>157</v>
      </c>
      <c r="B4" s="102"/>
      <c r="C4" s="102"/>
      <c r="D4" s="102"/>
      <c r="E4" s="102"/>
      <c r="F4" s="102"/>
      <c r="G4" s="102"/>
      <c r="H4" s="102"/>
      <c r="I4" s="102"/>
      <c r="J4" s="102"/>
      <c r="K4" s="102"/>
      <c r="L4" s="102"/>
      <c r="M4" s="102"/>
      <c r="N4" s="102"/>
      <c r="O4" s="82"/>
    </row>
    <row r="5" spans="1:19" x14ac:dyDescent="0.25">
      <c r="A5" s="102" t="s">
        <v>158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82"/>
    </row>
    <row r="6" spans="1:19" x14ac:dyDescent="0.25">
      <c r="A6" s="102" t="s">
        <v>159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82"/>
    </row>
    <row r="7" spans="1:19" x14ac:dyDescent="0.25">
      <c r="A7" s="50" t="s">
        <v>160</v>
      </c>
      <c r="B7" s="50"/>
    </row>
    <row r="8" spans="1:19" x14ac:dyDescent="0.25">
      <c r="F8" s="13"/>
      <c r="G8" s="101" t="s">
        <v>161</v>
      </c>
      <c r="H8" s="101"/>
      <c r="I8" s="101"/>
      <c r="J8" s="101"/>
      <c r="K8" s="101" t="s">
        <v>162</v>
      </c>
      <c r="L8" s="101"/>
      <c r="M8" s="101"/>
      <c r="N8" s="101"/>
      <c r="O8" s="101"/>
      <c r="P8" s="101"/>
      <c r="Q8" s="49"/>
      <c r="R8" s="49"/>
    </row>
    <row r="9" spans="1:19" ht="29.25" x14ac:dyDescent="0.25">
      <c r="A9" s="14" t="s">
        <v>163</v>
      </c>
      <c r="B9" s="14" t="s">
        <v>164</v>
      </c>
      <c r="C9" s="15" t="s">
        <v>123</v>
      </c>
      <c r="D9" s="84" t="s">
        <v>1</v>
      </c>
      <c r="E9" s="84" t="s">
        <v>165</v>
      </c>
      <c r="F9" s="84" t="s">
        <v>166</v>
      </c>
      <c r="G9" s="84" t="s">
        <v>167</v>
      </c>
      <c r="H9" s="84" t="s">
        <v>168</v>
      </c>
      <c r="I9" s="15" t="s">
        <v>169</v>
      </c>
      <c r="J9" s="15" t="s">
        <v>170</v>
      </c>
      <c r="K9" s="16">
        <v>5.0000000000000002E-5</v>
      </c>
      <c r="L9" s="16">
        <v>1.0000000000000001E-5</v>
      </c>
      <c r="M9" s="16">
        <v>5.0000000000000004E-6</v>
      </c>
      <c r="N9" s="16">
        <v>9.9999999999999995E-7</v>
      </c>
      <c r="O9" s="16">
        <v>4.9999999999999998E-7</v>
      </c>
      <c r="P9" s="84" t="s">
        <v>171</v>
      </c>
      <c r="Q9" s="15" t="s">
        <v>172</v>
      </c>
      <c r="R9" s="84" t="s">
        <v>173</v>
      </c>
      <c r="S9" s="84" t="s">
        <v>174</v>
      </c>
    </row>
    <row r="10" spans="1:19" x14ac:dyDescent="0.25">
      <c r="A10" s="12">
        <v>44433</v>
      </c>
      <c r="B10" s="41">
        <v>1</v>
      </c>
      <c r="C10" s="4" t="s">
        <v>14</v>
      </c>
      <c r="D10" s="26" t="s">
        <v>16</v>
      </c>
      <c r="E10" s="45">
        <v>21.47</v>
      </c>
      <c r="F10" s="11">
        <f>E10/1000</f>
        <v>2.147E-2</v>
      </c>
      <c r="G10" s="9">
        <f>128+25+9</f>
        <v>162</v>
      </c>
      <c r="H10" s="11">
        <f>(0.0005)+(0.0001)+(0.00005)</f>
        <v>6.5000000000000008E-4</v>
      </c>
      <c r="I10" s="11">
        <f>F10*G10/H10</f>
        <v>5350.9846153846147</v>
      </c>
      <c r="J10" s="11">
        <f>I10/10</f>
        <v>535.09846153846149</v>
      </c>
      <c r="K10" s="9">
        <v>53</v>
      </c>
      <c r="L10" s="9">
        <v>9</v>
      </c>
      <c r="M10" s="9">
        <v>1</v>
      </c>
      <c r="N10" s="9">
        <v>1</v>
      </c>
      <c r="P10" s="11">
        <f>(SUM(K10,L10,M10,N10))/(SUM(K9,L9,M9,N9))</f>
        <v>969696.96969696961</v>
      </c>
      <c r="Q10" s="2">
        <v>0.75</v>
      </c>
      <c r="R10" s="45">
        <f>LN(P10/J10)/(Q10*LN(2))</f>
        <v>14.431351838850853</v>
      </c>
    </row>
    <row r="11" spans="1:19" x14ac:dyDescent="0.25">
      <c r="A11" s="12">
        <v>44433</v>
      </c>
      <c r="B11" s="41">
        <v>2</v>
      </c>
      <c r="C11" s="4" t="s">
        <v>11</v>
      </c>
      <c r="D11" s="26" t="s">
        <v>13</v>
      </c>
      <c r="E11" s="45">
        <v>16.670000000000002</v>
      </c>
      <c r="F11" s="11">
        <f t="shared" ref="F11:F13" si="0">E11/1000</f>
        <v>1.6670000000000001E-2</v>
      </c>
      <c r="G11" s="9">
        <f>162+42+13</f>
        <v>217</v>
      </c>
      <c r="H11" s="11">
        <f>(0.0005)+(0.0001)+(0.00005)</f>
        <v>6.5000000000000008E-4</v>
      </c>
      <c r="I11" s="11">
        <f t="shared" ref="I11:I13" si="1">F11*G11/H11</f>
        <v>5565.2153846153842</v>
      </c>
      <c r="J11" s="11">
        <f t="shared" ref="J11:J13" si="2">I11/10</f>
        <v>556.5215384615384</v>
      </c>
      <c r="K11" s="9">
        <v>12</v>
      </c>
      <c r="L11" s="9">
        <v>6</v>
      </c>
      <c r="M11" s="9">
        <v>1</v>
      </c>
      <c r="N11" s="9">
        <v>0</v>
      </c>
      <c r="P11" s="11">
        <f>(SUM(K11,L11,M11,N11))/(SUM(K9,L9,M9,N9))</f>
        <v>287878.78787878784</v>
      </c>
      <c r="Q11" s="2">
        <v>0.75</v>
      </c>
      <c r="R11" s="45">
        <f>LN(P11/J11)/(Q11*LN(2))</f>
        <v>12.019744333192303</v>
      </c>
      <c r="S11" s="9" t="s">
        <v>175</v>
      </c>
    </row>
    <row r="12" spans="1:19" ht="15.75" x14ac:dyDescent="0.25">
      <c r="A12" s="12">
        <v>44433</v>
      </c>
      <c r="B12" s="41">
        <v>3</v>
      </c>
      <c r="C12" s="4">
        <v>201</v>
      </c>
      <c r="D12" s="27" t="s">
        <v>17</v>
      </c>
      <c r="E12" s="45">
        <v>9.26</v>
      </c>
      <c r="F12" s="11">
        <f t="shared" si="0"/>
        <v>9.2599999999999991E-3</v>
      </c>
      <c r="G12" s="9">
        <v>0</v>
      </c>
      <c r="H12" s="11">
        <v>0</v>
      </c>
      <c r="I12" s="11" t="e">
        <f t="shared" si="1"/>
        <v>#DIV/0!</v>
      </c>
      <c r="J12" s="11" t="e">
        <f t="shared" si="2"/>
        <v>#DIV/0!</v>
      </c>
      <c r="K12" s="9" t="s">
        <v>176</v>
      </c>
      <c r="L12" s="9" t="s">
        <v>176</v>
      </c>
      <c r="M12" s="9" t="s">
        <v>176</v>
      </c>
      <c r="N12" s="9" t="s">
        <v>176</v>
      </c>
      <c r="P12" s="11"/>
      <c r="Q12" s="2">
        <v>3</v>
      </c>
      <c r="R12" s="45" t="e">
        <f>LN(P12/J12)/(Q12*LN(2))</f>
        <v>#DIV/0!</v>
      </c>
      <c r="S12" s="9" t="s">
        <v>177</v>
      </c>
    </row>
    <row r="13" spans="1:19" x14ac:dyDescent="0.25">
      <c r="A13" s="12">
        <v>44433</v>
      </c>
      <c r="B13" s="41">
        <v>4</v>
      </c>
      <c r="C13" s="25" t="s">
        <v>7</v>
      </c>
      <c r="D13" s="26" t="s">
        <v>9</v>
      </c>
      <c r="E13" s="45">
        <v>8.4</v>
      </c>
      <c r="F13" s="11">
        <f t="shared" si="0"/>
        <v>8.4000000000000012E-3</v>
      </c>
      <c r="G13" s="9">
        <f>(63+23)</f>
        <v>86</v>
      </c>
      <c r="H13" s="11">
        <f>(0.00001)+(0.000005)</f>
        <v>1.5000000000000002E-5</v>
      </c>
      <c r="I13" s="11">
        <f t="shared" si="1"/>
        <v>48160</v>
      </c>
      <c r="J13" s="11">
        <f t="shared" si="2"/>
        <v>4816</v>
      </c>
      <c r="K13" s="9">
        <v>100</v>
      </c>
      <c r="L13" s="9">
        <v>23</v>
      </c>
      <c r="M13" s="9">
        <v>9</v>
      </c>
      <c r="N13" s="9">
        <v>1</v>
      </c>
      <c r="P13" s="11">
        <f>(SUM(K13,L13,M13,N13))/(SUM(K9,L9,M9,N9))</f>
        <v>2015151.5151515149</v>
      </c>
      <c r="Q13" s="2">
        <v>0.67</v>
      </c>
      <c r="R13" s="45">
        <f>LN(P13/J13)/(Q13*LN(2))</f>
        <v>12.998264490607772</v>
      </c>
    </row>
    <row r="14" spans="1:19" x14ac:dyDescent="0.25">
      <c r="F14" s="11"/>
      <c r="H14" s="11"/>
      <c r="I14" s="11"/>
      <c r="J14" s="11"/>
      <c r="P14" s="11"/>
      <c r="Q14" s="11"/>
      <c r="R14" s="10"/>
    </row>
    <row r="15" spans="1:19" x14ac:dyDescent="0.25">
      <c r="A15" s="12">
        <v>44434</v>
      </c>
      <c r="B15" s="41">
        <v>1</v>
      </c>
      <c r="C15" s="4" t="s">
        <v>178</v>
      </c>
      <c r="D15" s="26" t="s">
        <v>16</v>
      </c>
      <c r="E15" s="9">
        <v>103.1</v>
      </c>
      <c r="F15" s="11">
        <f>E15/1000</f>
        <v>0.1031</v>
      </c>
      <c r="G15" s="9">
        <f>85+49</f>
        <v>134</v>
      </c>
      <c r="H15" s="11">
        <f>(0.0001)+(0.00005)</f>
        <v>1.5000000000000001E-4</v>
      </c>
      <c r="I15" s="11">
        <f>F15*G15/H15</f>
        <v>92102.666666666657</v>
      </c>
      <c r="J15" s="11">
        <f>I15/10</f>
        <v>9210.2666666666664</v>
      </c>
      <c r="K15" s="9" t="s">
        <v>176</v>
      </c>
      <c r="L15" s="9">
        <v>138</v>
      </c>
      <c r="M15" s="9">
        <v>75</v>
      </c>
      <c r="N15" s="9">
        <v>12</v>
      </c>
      <c r="P15" s="11">
        <f>SUM(L15,M15,N15)/SUM(L9,M9,N9)</f>
        <v>14062499.999999998</v>
      </c>
      <c r="Q15" s="2">
        <v>0.67</v>
      </c>
      <c r="R15" s="45">
        <f>LN(P15/J15)/(Q15*LN(2))</f>
        <v>15.785556042274399</v>
      </c>
    </row>
    <row r="16" spans="1:19" x14ac:dyDescent="0.25">
      <c r="A16" s="12">
        <v>44434</v>
      </c>
      <c r="B16" s="41">
        <v>2</v>
      </c>
      <c r="C16" s="4" t="s">
        <v>179</v>
      </c>
      <c r="D16" s="26" t="s">
        <v>9</v>
      </c>
      <c r="E16" s="45">
        <v>49.5</v>
      </c>
      <c r="F16" s="11">
        <f t="shared" ref="F16:F18" si="3">E16/1000</f>
        <v>4.9500000000000002E-2</v>
      </c>
      <c r="G16" s="9">
        <f>152+73+14</f>
        <v>239</v>
      </c>
      <c r="H16" s="11">
        <f>(0.0001)+(0.00005)+(0.00001)</f>
        <v>1.6000000000000001E-4</v>
      </c>
      <c r="I16" s="11">
        <f t="shared" ref="I16:I18" si="4">F16*G16/H16</f>
        <v>73940.625</v>
      </c>
      <c r="J16" s="11">
        <f t="shared" ref="J16:J18" si="5">I16/10</f>
        <v>7394.0625</v>
      </c>
      <c r="L16" s="9">
        <v>130</v>
      </c>
      <c r="M16" s="9">
        <v>50</v>
      </c>
      <c r="N16" s="9">
        <v>13</v>
      </c>
      <c r="P16" s="11">
        <f>(SUM(L16,M16,N16))/(SUM(L9,N9,M9))</f>
        <v>12062499.999999998</v>
      </c>
      <c r="Q16" s="2">
        <v>0.75</v>
      </c>
      <c r="R16" s="45">
        <f>LN(P16/J16)/(Q16*LN(2))</f>
        <v>14.22916544485938</v>
      </c>
    </row>
    <row r="17" spans="1:19" x14ac:dyDescent="0.25">
      <c r="A17" s="12">
        <v>44434</v>
      </c>
      <c r="B17" s="41">
        <v>3</v>
      </c>
      <c r="C17" s="4" t="s">
        <v>11</v>
      </c>
      <c r="D17" s="26" t="s">
        <v>13</v>
      </c>
      <c r="E17" s="45">
        <v>30</v>
      </c>
      <c r="F17" s="11">
        <f t="shared" si="3"/>
        <v>0.03</v>
      </c>
      <c r="G17" s="9">
        <f>132+25</f>
        <v>157</v>
      </c>
      <c r="H17" s="11">
        <f>(0.0005)+(0.0001)</f>
        <v>6.0000000000000006E-4</v>
      </c>
      <c r="I17" s="11">
        <f t="shared" si="4"/>
        <v>7849.9999999999991</v>
      </c>
      <c r="J17" s="11">
        <f t="shared" si="5"/>
        <v>784.99999999999989</v>
      </c>
      <c r="K17" s="9">
        <v>11</v>
      </c>
      <c r="L17" s="9">
        <v>5</v>
      </c>
      <c r="M17" s="9">
        <v>2</v>
      </c>
      <c r="N17" s="9">
        <v>0</v>
      </c>
      <c r="P17" s="11">
        <f>SUM(K17,L17,M17,N17)/SUM(K9,L9,M9,N9)</f>
        <v>272727.27272727271</v>
      </c>
      <c r="Q17" s="2">
        <v>0.75</v>
      </c>
      <c r="R17" s="45">
        <f>LN(P17/J17)/(Q17*LN(2))</f>
        <v>11.254067476838726</v>
      </c>
      <c r="S17" s="9" t="s">
        <v>180</v>
      </c>
    </row>
    <row r="18" spans="1:19" ht="15.75" x14ac:dyDescent="0.25">
      <c r="A18" s="12">
        <v>44434</v>
      </c>
      <c r="B18" s="41">
        <v>4</v>
      </c>
      <c r="C18" s="25">
        <v>201</v>
      </c>
      <c r="D18" s="27" t="s">
        <v>17</v>
      </c>
      <c r="E18" s="45">
        <v>9.26</v>
      </c>
      <c r="F18" s="11">
        <f t="shared" si="3"/>
        <v>9.2599999999999991E-3</v>
      </c>
      <c r="G18" s="9">
        <f>160+113+13+8</f>
        <v>294</v>
      </c>
      <c r="H18" s="11">
        <f>(0.001)+(0.0005)+(0.0001)+(0.00005)</f>
        <v>1.65E-3</v>
      </c>
      <c r="I18" s="11">
        <f t="shared" si="4"/>
        <v>1649.9636363636362</v>
      </c>
      <c r="J18" s="11">
        <f t="shared" si="5"/>
        <v>164.99636363636361</v>
      </c>
      <c r="K18" s="9" t="s">
        <v>176</v>
      </c>
      <c r="L18" s="9" t="s">
        <v>176</v>
      </c>
      <c r="M18" s="9" t="s">
        <v>176</v>
      </c>
      <c r="N18" s="9">
        <v>256</v>
      </c>
      <c r="P18" s="11">
        <f>N18/N9</f>
        <v>256000000</v>
      </c>
      <c r="Q18" s="2">
        <v>3</v>
      </c>
      <c r="R18" s="45">
        <f>LN(P18/J18)/(Q18*LN(2))</f>
        <v>6.8550927167869178</v>
      </c>
    </row>
    <row r="19" spans="1:19" x14ac:dyDescent="0.25">
      <c r="F19" s="11"/>
      <c r="H19" s="11"/>
      <c r="I19" s="11"/>
      <c r="J19" s="11"/>
      <c r="P19" s="11"/>
      <c r="Q19" s="11"/>
      <c r="R19" s="11"/>
    </row>
    <row r="20" spans="1:19" x14ac:dyDescent="0.25">
      <c r="A20" s="12">
        <v>44435</v>
      </c>
      <c r="B20" s="41">
        <v>1</v>
      </c>
      <c r="C20" s="4" t="s">
        <v>181</v>
      </c>
      <c r="D20" s="26" t="s">
        <v>16</v>
      </c>
      <c r="E20" s="45">
        <v>7.1</v>
      </c>
      <c r="F20" s="11">
        <f>E20/1000</f>
        <v>7.0999999999999995E-3</v>
      </c>
      <c r="G20" s="9">
        <f>131+58</f>
        <v>189</v>
      </c>
      <c r="H20" s="11">
        <f>(0.00001)+(0.000005)</f>
        <v>1.5000000000000002E-5</v>
      </c>
      <c r="I20" s="11">
        <f>F20*G20/H20</f>
        <v>89459.999999999985</v>
      </c>
      <c r="J20" s="11">
        <f>I20/10</f>
        <v>8945.9999999999982</v>
      </c>
      <c r="K20" s="9" t="s">
        <v>176</v>
      </c>
      <c r="L20" s="9">
        <v>109</v>
      </c>
      <c r="M20" s="9">
        <v>49</v>
      </c>
      <c r="N20" s="9">
        <v>12</v>
      </c>
      <c r="P20" s="11">
        <f>SUM(L20,M20,N20)/SUM(L9,M9,N9)</f>
        <v>10624999.999999998</v>
      </c>
      <c r="Q20" s="2">
        <v>0.67</v>
      </c>
      <c r="R20" s="45">
        <f>LN(P20/J20)/(Q20*LN(2))</f>
        <v>15.244675317100414</v>
      </c>
    </row>
    <row r="21" spans="1:19" x14ac:dyDescent="0.25">
      <c r="A21" s="12">
        <v>44435</v>
      </c>
      <c r="B21" s="41">
        <v>2</v>
      </c>
      <c r="C21" s="4" t="s">
        <v>182</v>
      </c>
      <c r="D21" s="26" t="s">
        <v>9</v>
      </c>
      <c r="E21" s="45">
        <v>8.26</v>
      </c>
      <c r="F21" s="11">
        <f t="shared" ref="F21:F23" si="6">E21/1000</f>
        <v>8.26E-3</v>
      </c>
      <c r="G21" s="9">
        <f>165+72</f>
        <v>237</v>
      </c>
      <c r="H21" s="11">
        <f>(0.00001)+(0.000005)</f>
        <v>1.5000000000000002E-5</v>
      </c>
      <c r="I21" s="11">
        <f>F21*G21/H21</f>
        <v>130507.99999999997</v>
      </c>
      <c r="J21" s="11">
        <f t="shared" ref="J21:J23" si="7">I21/10</f>
        <v>13050.799999999997</v>
      </c>
      <c r="K21" s="9" t="s">
        <v>176</v>
      </c>
      <c r="L21" s="9">
        <v>86</v>
      </c>
      <c r="M21" s="9">
        <v>43</v>
      </c>
      <c r="N21" s="9">
        <v>13</v>
      </c>
      <c r="P21" s="11">
        <f>SUM(L21,M21,N21)/SUM(L9,M9,N9)</f>
        <v>8874999.9999999981</v>
      </c>
      <c r="Q21" s="2">
        <v>0.75</v>
      </c>
      <c r="R21" s="45">
        <f>LN(P21/J21)/(Q21*LN(2))</f>
        <v>12.545953418826228</v>
      </c>
    </row>
    <row r="22" spans="1:19" x14ac:dyDescent="0.25">
      <c r="A22" s="12">
        <v>44435</v>
      </c>
      <c r="B22" s="41">
        <v>3</v>
      </c>
      <c r="C22" s="4" t="s">
        <v>11</v>
      </c>
      <c r="D22" s="26" t="s">
        <v>13</v>
      </c>
      <c r="E22" s="51">
        <v>38.200000000000003</v>
      </c>
      <c r="F22" s="11">
        <f t="shared" si="6"/>
        <v>3.8200000000000005E-2</v>
      </c>
      <c r="G22" s="9">
        <f>325+155+38</f>
        <v>518</v>
      </c>
      <c r="H22" s="11">
        <f>(0.001)+(0.0005)+(0.0001)</f>
        <v>1.6000000000000001E-3</v>
      </c>
      <c r="I22" s="11">
        <f t="shared" ref="I22:I23" si="8">F22*G22/H22</f>
        <v>12367.25</v>
      </c>
      <c r="J22" s="11">
        <f t="shared" si="7"/>
        <v>1236.7249999999999</v>
      </c>
      <c r="K22" s="9" t="s">
        <v>176</v>
      </c>
      <c r="L22" s="9" t="s">
        <v>176</v>
      </c>
      <c r="M22" s="9" t="s">
        <v>176</v>
      </c>
      <c r="N22" s="9">
        <v>183</v>
      </c>
      <c r="P22" s="11">
        <f>N22/N9</f>
        <v>183000000</v>
      </c>
      <c r="Q22" s="2">
        <v>1.25</v>
      </c>
      <c r="R22" s="45">
        <f>LN(P22/J22)/(Q22*LN(2))</f>
        <v>13.739967509418621</v>
      </c>
    </row>
    <row r="23" spans="1:19" ht="15.75" x14ac:dyDescent="0.25">
      <c r="A23" s="12">
        <v>44435</v>
      </c>
      <c r="B23" s="41">
        <v>4</v>
      </c>
      <c r="C23" s="25">
        <v>201.1</v>
      </c>
      <c r="D23" s="27" t="s">
        <v>17</v>
      </c>
      <c r="E23" s="45">
        <v>0.39100000000000001</v>
      </c>
      <c r="F23" s="11">
        <f t="shared" si="6"/>
        <v>3.9100000000000002E-4</v>
      </c>
      <c r="G23" s="9">
        <f>95+19</f>
        <v>114</v>
      </c>
      <c r="H23" s="11">
        <f>(0.0000005)+(0.0000001)</f>
        <v>5.9999999999999997E-7</v>
      </c>
      <c r="I23" s="11">
        <f t="shared" si="8"/>
        <v>74290.000000000015</v>
      </c>
      <c r="J23" s="11">
        <f t="shared" si="7"/>
        <v>7429.0000000000018</v>
      </c>
      <c r="K23" s="9">
        <v>108</v>
      </c>
      <c r="L23" s="9">
        <v>23</v>
      </c>
      <c r="M23" s="9">
        <v>11</v>
      </c>
      <c r="N23" s="9">
        <v>1</v>
      </c>
      <c r="P23" s="11">
        <f>SUM(K23,L23,M23,N23)/SUM(K9,L9,M9,N9)</f>
        <v>2166666.6666666665</v>
      </c>
      <c r="Q23" s="2">
        <v>1.5</v>
      </c>
      <c r="R23" s="45">
        <f>LN(P23/J23)/(Q23*LN(2))</f>
        <v>5.4587289839954485</v>
      </c>
      <c r="S23" s="9" t="s">
        <v>183</v>
      </c>
    </row>
    <row r="24" spans="1:19" x14ac:dyDescent="0.25">
      <c r="F24" s="11"/>
      <c r="H24" s="11"/>
      <c r="I24" s="11"/>
      <c r="J24" s="11"/>
      <c r="M24" s="17"/>
      <c r="P24" s="11"/>
      <c r="Q24" s="11"/>
      <c r="R24" s="10"/>
    </row>
    <row r="25" spans="1:19" x14ac:dyDescent="0.25">
      <c r="A25" s="12">
        <v>44446</v>
      </c>
      <c r="B25" s="41">
        <v>1</v>
      </c>
      <c r="C25" s="4" t="s">
        <v>125</v>
      </c>
      <c r="D25" s="26" t="s">
        <v>16</v>
      </c>
      <c r="E25" s="45">
        <v>9.43</v>
      </c>
      <c r="F25" s="11">
        <f>E25/1000</f>
        <v>9.4299999999999991E-3</v>
      </c>
      <c r="G25" s="9">
        <v>86</v>
      </c>
      <c r="H25" s="11">
        <v>1.0000000000000001E-5</v>
      </c>
      <c r="I25" s="11">
        <f>F25*G25/H25</f>
        <v>81097.999999999985</v>
      </c>
      <c r="J25" s="11">
        <f>I25/10</f>
        <v>8109.7999999999984</v>
      </c>
      <c r="K25" s="9" t="s">
        <v>176</v>
      </c>
      <c r="L25" s="9">
        <v>218</v>
      </c>
      <c r="M25" s="9">
        <v>94</v>
      </c>
      <c r="N25" s="9">
        <v>25</v>
      </c>
      <c r="P25" s="11">
        <f>SUM(L25,M25,N25)/SUM(L9,M9,N9)</f>
        <v>21062499.999999996</v>
      </c>
      <c r="Q25" s="2">
        <v>0.67</v>
      </c>
      <c r="R25" s="45">
        <f t="shared" ref="R25:R30" si="9">LN(P25/J25)/(Q25*LN(2))</f>
        <v>16.929436910471939</v>
      </c>
    </row>
    <row r="26" spans="1:19" x14ac:dyDescent="0.25">
      <c r="A26" s="12">
        <v>44446</v>
      </c>
      <c r="B26" s="41">
        <v>2</v>
      </c>
      <c r="C26" s="4" t="s">
        <v>25</v>
      </c>
      <c r="D26" s="26" t="s">
        <v>27</v>
      </c>
      <c r="E26" s="45">
        <v>5.21</v>
      </c>
      <c r="F26" s="11">
        <f t="shared" ref="F26:F28" si="10">E26/1000</f>
        <v>5.2100000000000002E-3</v>
      </c>
      <c r="G26" s="9">
        <f>143+82+19</f>
        <v>244</v>
      </c>
      <c r="H26" s="11">
        <f>(0.00001)+(0.000005)+(0.000001)</f>
        <v>1.6000000000000003E-5</v>
      </c>
      <c r="I26" s="11">
        <f>F26*G26/H26</f>
        <v>79452.5</v>
      </c>
      <c r="J26" s="11">
        <f t="shared" ref="J26:J28" si="11">I26/10</f>
        <v>7945.25</v>
      </c>
      <c r="K26" s="9" t="s">
        <v>176</v>
      </c>
      <c r="L26" s="9">
        <v>156</v>
      </c>
      <c r="M26" s="9">
        <v>63</v>
      </c>
      <c r="N26" s="9">
        <v>22</v>
      </c>
      <c r="P26" s="11">
        <f>SUM(L26,M26,N26)/SUM(L9,M9,N9)</f>
        <v>15062499.999999998</v>
      </c>
      <c r="Q26" s="2">
        <v>0.67</v>
      </c>
      <c r="R26" s="45">
        <f t="shared" si="9"/>
        <v>16.251613441362299</v>
      </c>
    </row>
    <row r="27" spans="1:19" x14ac:dyDescent="0.25">
      <c r="A27" s="12">
        <v>44446</v>
      </c>
      <c r="B27" s="41">
        <v>3</v>
      </c>
      <c r="C27" s="4" t="s">
        <v>49</v>
      </c>
      <c r="D27" s="26" t="s">
        <v>51</v>
      </c>
      <c r="E27" s="51">
        <v>53.8</v>
      </c>
      <c r="F27" s="11">
        <f t="shared" si="10"/>
        <v>5.3800000000000001E-2</v>
      </c>
      <c r="G27" s="9">
        <f>152+92+15</f>
        <v>259</v>
      </c>
      <c r="H27" s="11">
        <f>(0.0001)+(0.00005)+(0.00001)</f>
        <v>1.6000000000000001E-4</v>
      </c>
      <c r="I27" s="11">
        <f t="shared" ref="I27:I28" si="12">F27*G27/H27</f>
        <v>87088.75</v>
      </c>
      <c r="J27" s="11">
        <f t="shared" si="11"/>
        <v>8708.875</v>
      </c>
      <c r="K27" s="9" t="s">
        <v>176</v>
      </c>
      <c r="L27" s="9">
        <v>136</v>
      </c>
      <c r="M27" s="9">
        <v>60</v>
      </c>
      <c r="N27" s="9">
        <v>14</v>
      </c>
      <c r="P27" s="11">
        <f>SUM(L27,M27,N27)/SUM(L9,M9,N9)</f>
        <v>13124999.999999998</v>
      </c>
      <c r="Q27" s="2">
        <v>0.67</v>
      </c>
      <c r="R27" s="45">
        <f t="shared" si="9"/>
        <v>15.757527517533012</v>
      </c>
    </row>
    <row r="28" spans="1:19" ht="15.75" x14ac:dyDescent="0.25">
      <c r="A28" s="12">
        <v>44446</v>
      </c>
      <c r="B28" s="41">
        <v>4</v>
      </c>
      <c r="C28" s="25" t="s">
        <v>124</v>
      </c>
      <c r="D28" s="27" t="s">
        <v>9</v>
      </c>
      <c r="E28" s="45">
        <v>11.26</v>
      </c>
      <c r="F28" s="11">
        <f t="shared" si="10"/>
        <v>1.1259999999999999E-2</v>
      </c>
      <c r="G28" s="9">
        <v>64</v>
      </c>
      <c r="H28" s="11">
        <v>1.0000000000000001E-5</v>
      </c>
      <c r="I28" s="11">
        <f t="shared" si="12"/>
        <v>72063.999999999985</v>
      </c>
      <c r="J28" s="11">
        <f t="shared" si="11"/>
        <v>7206.3999999999987</v>
      </c>
      <c r="K28" s="9" t="s">
        <v>176</v>
      </c>
      <c r="L28" s="9">
        <v>220</v>
      </c>
      <c r="M28" s="9">
        <v>129</v>
      </c>
      <c r="N28" s="9">
        <v>23</v>
      </c>
      <c r="P28" s="11">
        <f>SUM(L28,M28,N28)/SUM(L9,N9,M9)</f>
        <v>23249999.999999996</v>
      </c>
      <c r="Q28" s="2">
        <v>0.75</v>
      </c>
      <c r="R28" s="45">
        <f t="shared" si="9"/>
        <v>15.540885817652452</v>
      </c>
    </row>
    <row r="29" spans="1:19" x14ac:dyDescent="0.25">
      <c r="A29" s="12">
        <v>44446</v>
      </c>
      <c r="B29" s="41">
        <v>5</v>
      </c>
      <c r="C29" s="4" t="s">
        <v>143</v>
      </c>
      <c r="D29" s="26" t="s">
        <v>13</v>
      </c>
      <c r="E29" s="51">
        <v>0.5</v>
      </c>
      <c r="F29" s="11">
        <f t="shared" ref="F29:F30" si="13">E29/1000</f>
        <v>5.0000000000000001E-4</v>
      </c>
      <c r="G29" s="9">
        <v>57</v>
      </c>
      <c r="H29" s="11">
        <v>4.9999999999999998E-7</v>
      </c>
      <c r="I29" s="11">
        <f t="shared" ref="I29:I30" si="14">F29*G29/H29</f>
        <v>57000.000000000007</v>
      </c>
      <c r="J29" s="11">
        <f t="shared" ref="J29:J30" si="15">I29/10</f>
        <v>5700.0000000000009</v>
      </c>
      <c r="K29" s="9" t="s">
        <v>176</v>
      </c>
      <c r="L29" s="9">
        <v>296</v>
      </c>
      <c r="M29" s="9">
        <v>127</v>
      </c>
      <c r="N29" s="9">
        <v>32</v>
      </c>
      <c r="P29" s="11">
        <f>SUM(L29,M29,N29)/SUM(L9,M9,N9)</f>
        <v>28437499.999999996</v>
      </c>
      <c r="Q29" s="2">
        <v>0.75</v>
      </c>
      <c r="R29" s="45">
        <f t="shared" si="9"/>
        <v>16.379393467294356</v>
      </c>
    </row>
    <row r="30" spans="1:19" ht="15.75" x14ac:dyDescent="0.25">
      <c r="A30" s="12">
        <v>44446</v>
      </c>
      <c r="B30" s="41">
        <v>6</v>
      </c>
      <c r="C30" s="25" t="s">
        <v>22</v>
      </c>
      <c r="D30" s="27" t="s">
        <v>24</v>
      </c>
      <c r="E30" s="45">
        <v>22.22</v>
      </c>
      <c r="F30" s="11">
        <f t="shared" si="13"/>
        <v>2.222E-2</v>
      </c>
      <c r="G30" s="9">
        <f>187+34+28</f>
        <v>249</v>
      </c>
      <c r="H30" s="11">
        <f>(0.0005)+(0.0001)+(0.00005)</f>
        <v>6.5000000000000008E-4</v>
      </c>
      <c r="I30" s="11">
        <f t="shared" si="14"/>
        <v>8511.9692307692294</v>
      </c>
      <c r="J30" s="11">
        <f t="shared" si="15"/>
        <v>851.19692307692299</v>
      </c>
      <c r="K30" s="9">
        <v>95</v>
      </c>
      <c r="L30" s="9">
        <v>17</v>
      </c>
      <c r="M30" s="9">
        <v>8</v>
      </c>
      <c r="N30" s="9">
        <v>3</v>
      </c>
      <c r="P30" s="11">
        <f>SUM(K30,L30,M30,N30)/SUM(K9,L9,M9,N9)</f>
        <v>1863636.3636363635</v>
      </c>
      <c r="Q30" s="2">
        <v>0.75</v>
      </c>
      <c r="R30" s="45">
        <f t="shared" si="9"/>
        <v>14.79511977301814</v>
      </c>
    </row>
    <row r="31" spans="1:19" x14ac:dyDescent="0.25">
      <c r="F31" s="11"/>
      <c r="H31" s="11"/>
      <c r="I31" s="11"/>
      <c r="J31" s="11"/>
      <c r="P31" s="11"/>
      <c r="Q31" s="11"/>
      <c r="R31" s="10"/>
      <c r="S31" s="54"/>
    </row>
    <row r="32" spans="1:19" x14ac:dyDescent="0.25">
      <c r="A32" s="12">
        <v>44447</v>
      </c>
      <c r="B32" s="41">
        <v>1</v>
      </c>
      <c r="C32" s="4" t="s">
        <v>199</v>
      </c>
      <c r="D32" s="26" t="s">
        <v>9</v>
      </c>
      <c r="E32" s="45">
        <v>4.29</v>
      </c>
      <c r="F32" s="11">
        <f>E32/1000</f>
        <v>4.2900000000000004E-3</v>
      </c>
      <c r="G32" s="9">
        <v>87</v>
      </c>
      <c r="H32" s="11">
        <v>5.0000000000000004E-6</v>
      </c>
      <c r="I32" s="11">
        <f>F32*G32/H32</f>
        <v>74646</v>
      </c>
      <c r="J32" s="11">
        <f>I32/10</f>
        <v>7464.6</v>
      </c>
      <c r="K32" s="9" t="s">
        <v>176</v>
      </c>
      <c r="L32" s="9">
        <v>79</v>
      </c>
      <c r="M32" s="9">
        <v>45</v>
      </c>
      <c r="N32" s="9">
        <v>4</v>
      </c>
      <c r="P32" s="11">
        <f>SUM(L32,M32,N32)/(SUM(L9,M9,N9))</f>
        <v>7999999.9999999991</v>
      </c>
      <c r="Q32" s="2">
        <v>0.67</v>
      </c>
      <c r="R32" s="45">
        <f t="shared" ref="R32:R38" si="16">LN(P32/J32)/(Q32*LN(2))</f>
        <v>15.023461687855614</v>
      </c>
      <c r="S32" s="54"/>
    </row>
    <row r="33" spans="1:19" x14ac:dyDescent="0.25">
      <c r="A33" s="12">
        <v>44447</v>
      </c>
      <c r="B33" s="41">
        <v>2</v>
      </c>
      <c r="C33" s="4" t="s">
        <v>200</v>
      </c>
      <c r="D33" s="26" t="s">
        <v>13</v>
      </c>
      <c r="E33" s="45">
        <v>3.52</v>
      </c>
      <c r="F33" s="11">
        <f t="shared" ref="F33:F38" si="17">E33/1000</f>
        <v>3.5200000000000001E-3</v>
      </c>
      <c r="G33" s="9">
        <v>101</v>
      </c>
      <c r="H33" s="11">
        <v>5.0000000000000004E-6</v>
      </c>
      <c r="I33" s="11">
        <f>F33*G33/H33</f>
        <v>71104</v>
      </c>
      <c r="J33" s="11">
        <f t="shared" ref="J33:J38" si="18">I33/10</f>
        <v>7110.4</v>
      </c>
      <c r="K33" s="9" t="s">
        <v>176</v>
      </c>
      <c r="L33" s="9">
        <v>65</v>
      </c>
      <c r="M33" s="9">
        <v>43</v>
      </c>
      <c r="N33" s="9">
        <v>4</v>
      </c>
      <c r="P33" s="11">
        <f>SUM(L33,M33,N33)/SUM(L9,M9,N9)</f>
        <v>6999999.9999999991</v>
      </c>
      <c r="Q33" s="2">
        <v>0.67</v>
      </c>
      <c r="R33" s="45">
        <f t="shared" si="16"/>
        <v>14.840609678925444</v>
      </c>
      <c r="S33" s="54"/>
    </row>
    <row r="34" spans="1:19" x14ac:dyDescent="0.25">
      <c r="A34" s="12">
        <v>44447</v>
      </c>
      <c r="B34" s="41">
        <v>3</v>
      </c>
      <c r="C34" s="4" t="s">
        <v>201</v>
      </c>
      <c r="D34" s="26" t="s">
        <v>24</v>
      </c>
      <c r="E34" s="51">
        <v>53.76</v>
      </c>
      <c r="F34" s="11">
        <f t="shared" si="17"/>
        <v>5.3759999999999995E-2</v>
      </c>
      <c r="G34" s="9">
        <v>79</v>
      </c>
      <c r="H34" s="11">
        <v>5.0000000000000002E-5</v>
      </c>
      <c r="I34" s="11">
        <f t="shared" ref="I34:I38" si="19">F34*G34/H34</f>
        <v>84940.799999999988</v>
      </c>
      <c r="J34" s="11">
        <f t="shared" si="18"/>
        <v>8494.0799999999981</v>
      </c>
      <c r="K34" s="9" t="s">
        <v>176</v>
      </c>
      <c r="L34" s="9">
        <v>91</v>
      </c>
      <c r="M34" s="9">
        <v>62</v>
      </c>
      <c r="N34" s="9">
        <v>8</v>
      </c>
      <c r="P34" s="11">
        <f>SUM(L34,M34,N34)/SUM(L9,M9,N9)</f>
        <v>10062499.999999998</v>
      </c>
      <c r="Q34" s="2">
        <v>0.67</v>
      </c>
      <c r="R34" s="45">
        <f t="shared" si="16"/>
        <v>15.239169352623362</v>
      </c>
    </row>
    <row r="35" spans="1:19" ht="15.75" x14ac:dyDescent="0.25">
      <c r="A35" s="12">
        <v>44447</v>
      </c>
      <c r="B35" s="41">
        <v>4</v>
      </c>
      <c r="C35" s="25" t="s">
        <v>202</v>
      </c>
      <c r="D35" s="27" t="s">
        <v>27</v>
      </c>
      <c r="E35" s="45">
        <v>6.62</v>
      </c>
      <c r="F35" s="11">
        <f t="shared" si="17"/>
        <v>6.62E-3</v>
      </c>
      <c r="G35" s="9">
        <v>82</v>
      </c>
      <c r="H35" s="11">
        <v>5.0000000000000004E-6</v>
      </c>
      <c r="I35" s="11">
        <f t="shared" si="19"/>
        <v>108567.99999999999</v>
      </c>
      <c r="J35" s="11">
        <f t="shared" si="18"/>
        <v>10856.8</v>
      </c>
      <c r="K35" s="9" t="s">
        <v>176</v>
      </c>
      <c r="L35" s="9">
        <v>189</v>
      </c>
      <c r="M35" s="9">
        <v>93</v>
      </c>
      <c r="N35" s="9">
        <v>13</v>
      </c>
      <c r="P35" s="11">
        <f>SUM(L35,M35,N35)/SUM(L9,M9,N9)</f>
        <v>18437499.999999996</v>
      </c>
      <c r="Q35" s="2">
        <v>0.67</v>
      </c>
      <c r="R35" s="45">
        <f t="shared" si="16"/>
        <v>16.014669249306625</v>
      </c>
    </row>
    <row r="36" spans="1:19" x14ac:dyDescent="0.25">
      <c r="A36" s="12">
        <v>44447</v>
      </c>
      <c r="B36" s="41">
        <v>5</v>
      </c>
      <c r="C36" s="4" t="s">
        <v>203</v>
      </c>
      <c r="D36" s="26" t="s">
        <v>16</v>
      </c>
      <c r="E36" s="51">
        <v>4.74</v>
      </c>
      <c r="F36" s="11">
        <f t="shared" si="17"/>
        <v>4.7400000000000003E-3</v>
      </c>
      <c r="G36" s="9">
        <v>99</v>
      </c>
      <c r="H36" s="11">
        <v>5.0000000000000004E-6</v>
      </c>
      <c r="I36" s="11">
        <f t="shared" si="19"/>
        <v>93852</v>
      </c>
      <c r="J36" s="11">
        <f t="shared" si="18"/>
        <v>9385.2000000000007</v>
      </c>
      <c r="K36" s="9" t="s">
        <v>176</v>
      </c>
      <c r="L36" s="9">
        <v>311</v>
      </c>
      <c r="M36" s="9">
        <v>151</v>
      </c>
      <c r="N36" s="9">
        <v>31</v>
      </c>
      <c r="P36" s="11">
        <f>SUM(L36,M36,N36)/SUM(L9,M9,N9)</f>
        <v>30812499.999999996</v>
      </c>
      <c r="Q36" s="2">
        <v>0.67</v>
      </c>
      <c r="R36" s="45">
        <f t="shared" si="16"/>
        <v>17.434090494942655</v>
      </c>
    </row>
    <row r="37" spans="1:19" ht="15.75" x14ac:dyDescent="0.25">
      <c r="A37" s="12">
        <v>44447</v>
      </c>
      <c r="B37" s="41">
        <v>6</v>
      </c>
      <c r="C37" s="25" t="s">
        <v>204</v>
      </c>
      <c r="D37" s="27" t="s">
        <v>51</v>
      </c>
      <c r="E37" s="45">
        <v>7.63</v>
      </c>
      <c r="F37" s="11">
        <f t="shared" si="17"/>
        <v>7.6299999999999996E-3</v>
      </c>
      <c r="G37" s="9">
        <v>153</v>
      </c>
      <c r="H37" s="11">
        <v>1.0000000000000001E-5</v>
      </c>
      <c r="I37" s="11">
        <f t="shared" si="19"/>
        <v>116738.99999999999</v>
      </c>
      <c r="J37" s="11">
        <f t="shared" si="18"/>
        <v>11673.899999999998</v>
      </c>
      <c r="K37" s="9" t="s">
        <v>176</v>
      </c>
      <c r="L37" s="9">
        <v>293</v>
      </c>
      <c r="M37" s="9">
        <v>135</v>
      </c>
      <c r="N37" s="9">
        <v>25</v>
      </c>
      <c r="P37" s="11">
        <f>SUM(L37,M37,N37)/SUM(L9,M9,N9)</f>
        <v>28312499.999999996</v>
      </c>
      <c r="Q37" s="2">
        <v>0.67</v>
      </c>
      <c r="R37" s="45">
        <f t="shared" si="16"/>
        <v>16.78199524586655</v>
      </c>
    </row>
    <row r="38" spans="1:19" ht="15.75" x14ac:dyDescent="0.25">
      <c r="A38" s="12">
        <v>44447</v>
      </c>
      <c r="B38" s="41">
        <v>7</v>
      </c>
      <c r="C38" s="25">
        <v>201.2</v>
      </c>
      <c r="D38" s="27" t="s">
        <v>17</v>
      </c>
      <c r="E38" s="45">
        <v>46.1</v>
      </c>
      <c r="F38" s="11">
        <f t="shared" si="17"/>
        <v>4.6100000000000002E-2</v>
      </c>
      <c r="G38" s="9">
        <v>38</v>
      </c>
      <c r="H38" s="11">
        <v>5.0000000000000002E-5</v>
      </c>
      <c r="I38" s="11">
        <f t="shared" si="19"/>
        <v>35036</v>
      </c>
      <c r="J38" s="11">
        <f t="shared" si="18"/>
        <v>3503.6</v>
      </c>
      <c r="K38" s="9" t="s">
        <v>176</v>
      </c>
      <c r="L38" s="9">
        <v>167</v>
      </c>
      <c r="M38" s="9">
        <v>112</v>
      </c>
      <c r="N38" s="9">
        <v>21</v>
      </c>
      <c r="P38" s="11">
        <f>SUM(L38,M38,N38)/SUM(L9,M9,N9)</f>
        <v>18749999.999999996</v>
      </c>
      <c r="Q38" s="2">
        <v>1.75</v>
      </c>
      <c r="R38" s="45">
        <f t="shared" si="16"/>
        <v>7.0775799433339959</v>
      </c>
      <c r="S38" s="9" t="s">
        <v>205</v>
      </c>
    </row>
    <row r="39" spans="1:19" x14ac:dyDescent="0.25">
      <c r="F39" s="11"/>
      <c r="H39" s="11"/>
      <c r="I39" s="11"/>
      <c r="J39" s="11"/>
      <c r="P39" s="11"/>
      <c r="Q39" s="11"/>
      <c r="R39" s="10"/>
    </row>
    <row r="40" spans="1:19" x14ac:dyDescent="0.25">
      <c r="A40" s="12">
        <v>44448</v>
      </c>
      <c r="B40" s="41">
        <v>1</v>
      </c>
      <c r="C40" s="4" t="s">
        <v>207</v>
      </c>
      <c r="D40" s="26" t="s">
        <v>13</v>
      </c>
      <c r="E40" s="45">
        <v>14.29</v>
      </c>
      <c r="F40" s="11">
        <f>E40/1000</f>
        <v>1.4289999999999999E-2</v>
      </c>
      <c r="G40" s="9">
        <v>97</v>
      </c>
      <c r="H40" s="11">
        <v>1.0000000000000001E-5</v>
      </c>
      <c r="I40" s="11">
        <f>F40*G40/H40</f>
        <v>138612.99999999997</v>
      </c>
      <c r="J40" s="11">
        <f>I40/10</f>
        <v>13861.299999999997</v>
      </c>
      <c r="K40" s="9" t="s">
        <v>176</v>
      </c>
      <c r="L40" s="9">
        <v>69</v>
      </c>
      <c r="M40" s="9">
        <v>33</v>
      </c>
      <c r="N40" s="9">
        <v>6</v>
      </c>
      <c r="P40" s="11">
        <f>SUM(L40,M40,N40)/SUM(L9,M9,N9)</f>
        <v>6749999.9999999991</v>
      </c>
      <c r="Q40" s="2">
        <v>0.67</v>
      </c>
      <c r="R40" s="45">
        <f t="shared" ref="R40:R46" si="20">LN(P40/J40)/(Q40*LN(2))</f>
        <v>13.324897198644868</v>
      </c>
      <c r="S40" s="54"/>
    </row>
    <row r="41" spans="1:19" x14ac:dyDescent="0.25">
      <c r="A41" s="12">
        <v>44448</v>
      </c>
      <c r="B41" s="41">
        <v>2</v>
      </c>
      <c r="C41" s="4" t="s">
        <v>208</v>
      </c>
      <c r="D41" s="26" t="s">
        <v>24</v>
      </c>
      <c r="E41" s="45">
        <v>9.9</v>
      </c>
      <c r="F41" s="11">
        <f t="shared" ref="F41:F46" si="21">E41/1000</f>
        <v>9.9000000000000008E-3</v>
      </c>
      <c r="G41" s="9">
        <v>118</v>
      </c>
      <c r="H41" s="11">
        <v>1.0000000000000001E-5</v>
      </c>
      <c r="I41" s="11">
        <f>F41*G41/H41</f>
        <v>116820</v>
      </c>
      <c r="J41" s="11">
        <f t="shared" ref="J41:J46" si="22">I41/10</f>
        <v>11682</v>
      </c>
      <c r="K41" s="9" t="s">
        <v>176</v>
      </c>
      <c r="L41" s="9">
        <v>104</v>
      </c>
      <c r="M41" s="9">
        <v>57</v>
      </c>
      <c r="N41" s="9">
        <v>10</v>
      </c>
      <c r="P41" s="11">
        <f>SUM(L41,M41,N41)/SUM(L9,M9,N9)</f>
        <v>10687499.999999998</v>
      </c>
      <c r="Q41" s="2">
        <v>0.67</v>
      </c>
      <c r="R41" s="45">
        <f t="shared" si="20"/>
        <v>14.682718529505403</v>
      </c>
      <c r="S41" s="54"/>
    </row>
    <row r="42" spans="1:19" x14ac:dyDescent="0.25">
      <c r="A42" s="12">
        <v>44448</v>
      </c>
      <c r="B42" s="41">
        <v>3</v>
      </c>
      <c r="C42" s="4" t="s">
        <v>209</v>
      </c>
      <c r="D42" s="26" t="s">
        <v>27</v>
      </c>
      <c r="E42" s="51">
        <v>5.43</v>
      </c>
      <c r="F42" s="11">
        <f t="shared" si="21"/>
        <v>5.4299999999999999E-3</v>
      </c>
      <c r="G42" s="9">
        <v>115</v>
      </c>
      <c r="H42" s="11">
        <v>5.0000000000000004E-6</v>
      </c>
      <c r="I42" s="11">
        <f t="shared" ref="I42:I46" si="23">F42*G42/H42</f>
        <v>124889.99999999999</v>
      </c>
      <c r="J42" s="11">
        <f t="shared" si="22"/>
        <v>12488.999999999998</v>
      </c>
      <c r="K42" s="9" t="s">
        <v>176</v>
      </c>
      <c r="L42" s="9">
        <v>201</v>
      </c>
      <c r="M42" s="9">
        <v>118</v>
      </c>
      <c r="N42" s="9">
        <v>20</v>
      </c>
      <c r="P42" s="11">
        <f>SUM(L42,M42,N42)/SUM(L9,M9,N9)</f>
        <v>21187499.999999996</v>
      </c>
      <c r="Q42" s="2">
        <v>0.67</v>
      </c>
      <c r="R42" s="45">
        <f t="shared" si="20"/>
        <v>16.012447296416632</v>
      </c>
    </row>
    <row r="43" spans="1:19" ht="15.75" x14ac:dyDescent="0.25">
      <c r="A43" s="12">
        <v>44448</v>
      </c>
      <c r="B43" s="41">
        <v>4</v>
      </c>
      <c r="C43" s="25" t="s">
        <v>63</v>
      </c>
      <c r="D43" s="27" t="s">
        <v>65</v>
      </c>
      <c r="E43" s="45">
        <v>38.5</v>
      </c>
      <c r="F43" s="11">
        <f t="shared" si="21"/>
        <v>3.85E-2</v>
      </c>
      <c r="G43" s="9">
        <v>145</v>
      </c>
      <c r="H43" s="11">
        <v>5.0000000000000002E-5</v>
      </c>
      <c r="I43" s="11">
        <f t="shared" si="23"/>
        <v>111649.99999999999</v>
      </c>
      <c r="J43" s="11">
        <f t="shared" si="22"/>
        <v>11164.999999999998</v>
      </c>
      <c r="K43" s="9" t="s">
        <v>176</v>
      </c>
      <c r="L43" s="9" t="s">
        <v>176</v>
      </c>
      <c r="M43" s="9">
        <v>144</v>
      </c>
      <c r="N43" s="9">
        <v>30</v>
      </c>
      <c r="P43" s="11">
        <f>SUM(M43,N43)/SUM(M9,N9)</f>
        <v>29000000</v>
      </c>
      <c r="Q43" s="2">
        <v>0.67</v>
      </c>
      <c r="R43" s="45">
        <f t="shared" si="20"/>
        <v>16.929632736928223</v>
      </c>
    </row>
    <row r="44" spans="1:19" x14ac:dyDescent="0.25">
      <c r="A44" s="12">
        <v>44448</v>
      </c>
      <c r="B44" s="41">
        <v>5</v>
      </c>
      <c r="C44" s="4" t="s">
        <v>210</v>
      </c>
      <c r="D44" s="26" t="s">
        <v>51</v>
      </c>
      <c r="E44" s="51">
        <v>3.53</v>
      </c>
      <c r="F44" s="11">
        <f t="shared" si="21"/>
        <v>3.5299999999999997E-3</v>
      </c>
      <c r="G44" s="9">
        <v>166</v>
      </c>
      <c r="H44" s="11">
        <v>5.0000000000000004E-6</v>
      </c>
      <c r="I44" s="11">
        <f t="shared" si="23"/>
        <v>117195.99999999999</v>
      </c>
      <c r="J44" s="11">
        <f t="shared" si="22"/>
        <v>11719.599999999999</v>
      </c>
      <c r="K44" s="9" t="s">
        <v>176</v>
      </c>
      <c r="L44" s="9">
        <v>130</v>
      </c>
      <c r="M44" s="9">
        <v>37</v>
      </c>
      <c r="P44" s="11">
        <f>SUM(L44,M44)/SUM(L9,M9)</f>
        <v>11133333.333333332</v>
      </c>
      <c r="Q44" s="2">
        <v>0.67</v>
      </c>
      <c r="R44" s="45">
        <f t="shared" si="20"/>
        <v>14.763800830535768</v>
      </c>
    </row>
    <row r="45" spans="1:19" ht="15.75" x14ac:dyDescent="0.25">
      <c r="A45" s="12">
        <v>44448</v>
      </c>
      <c r="B45" s="41">
        <v>6</v>
      </c>
      <c r="C45" s="25" t="s">
        <v>66</v>
      </c>
      <c r="D45" s="27" t="s">
        <v>68</v>
      </c>
      <c r="E45" s="45">
        <v>12.12</v>
      </c>
      <c r="F45" s="11">
        <f t="shared" si="21"/>
        <v>1.2119999999999999E-2</v>
      </c>
      <c r="G45" s="9">
        <v>125</v>
      </c>
      <c r="H45" s="11">
        <v>1E-4</v>
      </c>
      <c r="I45" s="11">
        <f t="shared" si="23"/>
        <v>15149.999999999998</v>
      </c>
      <c r="J45" s="11">
        <f t="shared" si="22"/>
        <v>1514.9999999999998</v>
      </c>
      <c r="K45" s="9">
        <v>0</v>
      </c>
      <c r="L45" s="9" t="s">
        <v>176</v>
      </c>
      <c r="M45" s="9" t="s">
        <v>176</v>
      </c>
      <c r="N45" s="9" t="s">
        <v>176</v>
      </c>
      <c r="P45" s="11"/>
      <c r="Q45" s="2">
        <v>1.25</v>
      </c>
      <c r="R45" s="45" t="e">
        <f t="shared" si="20"/>
        <v>#NUM!</v>
      </c>
    </row>
    <row r="46" spans="1:19" ht="15.75" x14ac:dyDescent="0.25">
      <c r="A46" s="12">
        <v>44448</v>
      </c>
      <c r="B46" s="41">
        <v>7</v>
      </c>
      <c r="C46" s="25" t="s">
        <v>52</v>
      </c>
      <c r="D46" s="27" t="s">
        <v>54</v>
      </c>
      <c r="E46" s="45">
        <v>45.5</v>
      </c>
      <c r="F46" s="11">
        <f t="shared" si="21"/>
        <v>4.5499999999999999E-2</v>
      </c>
      <c r="G46" s="9">
        <v>151</v>
      </c>
      <c r="H46" s="11">
        <v>5.0000000000000001E-3</v>
      </c>
      <c r="I46" s="11">
        <f t="shared" si="23"/>
        <v>1374.1</v>
      </c>
      <c r="J46" s="11">
        <f t="shared" si="22"/>
        <v>137.41</v>
      </c>
      <c r="K46" s="9" t="s">
        <v>176</v>
      </c>
      <c r="L46" s="9" t="s">
        <v>176</v>
      </c>
      <c r="M46" s="9">
        <v>245</v>
      </c>
      <c r="N46" s="9">
        <v>55</v>
      </c>
      <c r="P46" s="11">
        <f>SUM(M46,N46)/SUM(M9,N9)</f>
        <v>50000000</v>
      </c>
      <c r="Q46" s="2">
        <v>1.5</v>
      </c>
      <c r="R46" s="45">
        <f t="shared" si="20"/>
        <v>12.3153877128999</v>
      </c>
    </row>
    <row r="47" spans="1:19" ht="15.75" x14ac:dyDescent="0.25">
      <c r="A47" s="12">
        <v>44448</v>
      </c>
      <c r="B47" s="41">
        <v>8</v>
      </c>
      <c r="C47" s="25">
        <v>201.3</v>
      </c>
      <c r="D47" s="27" t="s">
        <v>17</v>
      </c>
      <c r="E47" s="45">
        <v>5.32</v>
      </c>
      <c r="F47" s="11">
        <f t="shared" ref="F47" si="24">E47/1000</f>
        <v>5.3200000000000001E-3</v>
      </c>
      <c r="G47" s="9">
        <f>159+5</f>
        <v>164</v>
      </c>
      <c r="H47" s="11">
        <v>5.0000000000000004E-6</v>
      </c>
      <c r="I47" s="11">
        <f t="shared" ref="I47" si="25">F47*G47/H47</f>
        <v>174496</v>
      </c>
      <c r="J47" s="11">
        <f t="shared" ref="J47" si="26">I47/10</f>
        <v>17449.599999999999</v>
      </c>
      <c r="K47" s="9" t="s">
        <v>176</v>
      </c>
      <c r="L47" s="9">
        <f>249+75</f>
        <v>324</v>
      </c>
      <c r="M47" s="9">
        <f>139+39</f>
        <v>178</v>
      </c>
      <c r="N47" s="9">
        <f>28+8</f>
        <v>36</v>
      </c>
      <c r="P47" s="11">
        <f>SUM(L47,M47,N47)/SUM(L9,M9,N9)</f>
        <v>33624999.999999993</v>
      </c>
      <c r="Q47" s="2">
        <v>1.5</v>
      </c>
      <c r="R47" s="45">
        <f t="shared" ref="R47" si="27">LN(P47/J47)/(Q47*LN(2))</f>
        <v>7.274749724432592</v>
      </c>
      <c r="S47" s="9" t="s">
        <v>211</v>
      </c>
    </row>
    <row r="48" spans="1:19" x14ac:dyDescent="0.25">
      <c r="F48" s="18"/>
      <c r="H48" s="11"/>
      <c r="I48" s="11"/>
      <c r="J48" s="11"/>
      <c r="P48" s="11"/>
      <c r="Q48" s="11"/>
      <c r="R48" s="10"/>
    </row>
    <row r="49" spans="1:19" x14ac:dyDescent="0.25">
      <c r="A49" s="12">
        <v>44452</v>
      </c>
      <c r="B49" s="41">
        <v>1</v>
      </c>
      <c r="C49" s="4" t="s">
        <v>222</v>
      </c>
      <c r="D49" s="26" t="s">
        <v>24</v>
      </c>
      <c r="E49" s="45">
        <v>9.35</v>
      </c>
      <c r="F49" s="11">
        <f>E49/1000</f>
        <v>9.3499999999999989E-3</v>
      </c>
      <c r="G49" s="9">
        <v>108</v>
      </c>
      <c r="H49" s="11">
        <v>1.0000000000000001E-5</v>
      </c>
      <c r="I49" s="11">
        <f>F49*G49/H49</f>
        <v>100979.99999999997</v>
      </c>
      <c r="J49" s="11">
        <f>I49/10</f>
        <v>10097.999999999996</v>
      </c>
      <c r="K49" s="9">
        <v>285</v>
      </c>
      <c r="L49" s="9">
        <v>57</v>
      </c>
      <c r="M49" s="9">
        <v>40</v>
      </c>
      <c r="N49" s="9">
        <v>6</v>
      </c>
      <c r="P49" s="11">
        <f>SUM(L49,K49,M49,N49)/SUM(K9,L9,M9,N9)</f>
        <v>5878787.878787878</v>
      </c>
      <c r="Q49" s="2">
        <v>0.67</v>
      </c>
      <c r="R49" s="45">
        <f t="shared" ref="R49:R56" si="28">LN(P49/J49)/(Q49*LN(2))</f>
        <v>13.709410940450361</v>
      </c>
      <c r="S49" s="54"/>
    </row>
    <row r="50" spans="1:19" x14ac:dyDescent="0.25">
      <c r="A50" s="12">
        <v>44452</v>
      </c>
      <c r="B50" s="41">
        <v>2</v>
      </c>
      <c r="C50" s="4" t="s">
        <v>223</v>
      </c>
      <c r="D50" s="26" t="s">
        <v>27</v>
      </c>
      <c r="E50" s="45">
        <v>4.72</v>
      </c>
      <c r="F50" s="11">
        <f t="shared" ref="F50:F56" si="29">E50/1000</f>
        <v>4.7199999999999994E-3</v>
      </c>
      <c r="G50" s="9">
        <v>100</v>
      </c>
      <c r="H50" s="11">
        <v>5.0000000000000004E-6</v>
      </c>
      <c r="I50" s="11">
        <f>F50*G50/H50</f>
        <v>94399.999999999971</v>
      </c>
      <c r="J50" s="11">
        <f t="shared" ref="J50:J56" si="30">I50/10</f>
        <v>9439.9999999999964</v>
      </c>
      <c r="K50" s="9">
        <v>297</v>
      </c>
      <c r="L50" s="9">
        <v>82</v>
      </c>
      <c r="M50" s="9">
        <v>27</v>
      </c>
      <c r="N50" s="9">
        <v>3</v>
      </c>
      <c r="P50" s="11">
        <f>SUM(K50,L50,M50,N50)/SUM(K9,L9,M9,N9)</f>
        <v>6196969.6969696963</v>
      </c>
      <c r="Q50" s="2">
        <v>0.67</v>
      </c>
      <c r="R50" s="45">
        <f>LN(P50/J50)/(Q50*LN(2))</f>
        <v>13.968000505460099</v>
      </c>
      <c r="S50" s="54"/>
    </row>
    <row r="51" spans="1:19" ht="15.75" x14ac:dyDescent="0.25">
      <c r="A51" s="12">
        <v>44452</v>
      </c>
      <c r="B51" s="41">
        <v>3</v>
      </c>
      <c r="C51" s="4" t="s">
        <v>224</v>
      </c>
      <c r="D51" s="27" t="s">
        <v>65</v>
      </c>
      <c r="E51" s="51">
        <v>3.45</v>
      </c>
      <c r="F51" s="11">
        <f t="shared" si="29"/>
        <v>3.4500000000000004E-3</v>
      </c>
      <c r="G51" s="9">
        <v>108</v>
      </c>
      <c r="H51" s="11">
        <v>5.0000000000000004E-6</v>
      </c>
      <c r="I51" s="11">
        <f t="shared" ref="I51:I56" si="31">F51*G51/H51</f>
        <v>74520</v>
      </c>
      <c r="J51" s="11">
        <f t="shared" si="30"/>
        <v>7452</v>
      </c>
      <c r="K51" s="9" t="s">
        <v>176</v>
      </c>
      <c r="L51" s="9">
        <v>173</v>
      </c>
      <c r="M51" s="9">
        <v>90</v>
      </c>
      <c r="N51" s="9">
        <v>19</v>
      </c>
      <c r="P51" s="11">
        <f>SUM(L51,M51,N51)/SUM(L9,M9,N9)</f>
        <v>17624999.999999996</v>
      </c>
      <c r="Q51" s="2">
        <v>0.67</v>
      </c>
      <c r="R51" s="45">
        <f t="shared" si="28"/>
        <v>16.727922332509447</v>
      </c>
    </row>
    <row r="52" spans="1:19" x14ac:dyDescent="0.25">
      <c r="A52" s="12">
        <v>44452</v>
      </c>
      <c r="B52" s="41">
        <v>4</v>
      </c>
      <c r="C52" s="25" t="s">
        <v>225</v>
      </c>
      <c r="D52" s="26" t="s">
        <v>51</v>
      </c>
      <c r="E52" s="45">
        <v>9.01</v>
      </c>
      <c r="F52" s="11">
        <f t="shared" si="29"/>
        <v>9.0100000000000006E-3</v>
      </c>
      <c r="G52" s="9">
        <v>214</v>
      </c>
      <c r="H52" s="11">
        <v>1.0000000000000001E-5</v>
      </c>
      <c r="I52" s="11">
        <f t="shared" si="31"/>
        <v>192814</v>
      </c>
      <c r="J52" s="11">
        <f t="shared" si="30"/>
        <v>19281.400000000001</v>
      </c>
      <c r="K52" s="9" t="s">
        <v>176</v>
      </c>
      <c r="L52" s="9">
        <v>205</v>
      </c>
      <c r="M52" s="9">
        <v>93</v>
      </c>
      <c r="N52" s="9">
        <v>24</v>
      </c>
      <c r="P52" s="11">
        <f>SUM(L52,M52,N52)/SUM(L9,M9,N9)</f>
        <v>20124999.999999996</v>
      </c>
      <c r="Q52" s="2">
        <v>0.67</v>
      </c>
      <c r="R52" s="45">
        <f t="shared" si="28"/>
        <v>14.966512328524578</v>
      </c>
    </row>
    <row r="53" spans="1:19" ht="15.75" x14ac:dyDescent="0.25">
      <c r="A53" s="12">
        <v>44452</v>
      </c>
      <c r="B53" s="41">
        <v>5</v>
      </c>
      <c r="C53" s="4" t="s">
        <v>220</v>
      </c>
      <c r="D53" s="27" t="s">
        <v>54</v>
      </c>
      <c r="E53" s="51">
        <v>2</v>
      </c>
      <c r="F53" s="11">
        <f t="shared" si="29"/>
        <v>2E-3</v>
      </c>
      <c r="G53" s="9">
        <v>37</v>
      </c>
      <c r="H53" s="11">
        <v>9.9999999999999995E-7</v>
      </c>
      <c r="I53" s="11">
        <f t="shared" si="31"/>
        <v>74000</v>
      </c>
      <c r="J53" s="11">
        <f t="shared" si="30"/>
        <v>7400</v>
      </c>
      <c r="K53" s="9">
        <v>69</v>
      </c>
      <c r="L53" s="9">
        <v>9</v>
      </c>
      <c r="M53" s="9">
        <v>4</v>
      </c>
      <c r="N53" s="9">
        <v>2</v>
      </c>
      <c r="P53" s="11">
        <f>SUM(K53,L53,M53,N53)/SUM(K9,L9,M9,N9)</f>
        <v>1272727.2727272727</v>
      </c>
      <c r="Q53" s="2">
        <v>0.75</v>
      </c>
      <c r="R53" s="45">
        <f t="shared" si="28"/>
        <v>9.9015764231210763</v>
      </c>
    </row>
    <row r="54" spans="1:19" x14ac:dyDescent="0.25">
      <c r="A54" s="12">
        <v>44452</v>
      </c>
      <c r="B54" s="41">
        <v>6</v>
      </c>
      <c r="C54" s="25" t="s">
        <v>221</v>
      </c>
      <c r="D54" s="26" t="s">
        <v>13</v>
      </c>
      <c r="E54" s="45">
        <v>14.81</v>
      </c>
      <c r="F54" s="11">
        <f t="shared" si="29"/>
        <v>1.481E-2</v>
      </c>
      <c r="G54" s="9">
        <v>85</v>
      </c>
      <c r="H54" s="11">
        <v>1.0000000000000001E-5</v>
      </c>
      <c r="I54" s="11">
        <f t="shared" si="31"/>
        <v>125884.99999999999</v>
      </c>
      <c r="J54" s="11">
        <f t="shared" si="30"/>
        <v>12588.499999999998</v>
      </c>
      <c r="K54" s="9" t="s">
        <v>176</v>
      </c>
      <c r="L54" s="9">
        <v>84</v>
      </c>
      <c r="M54" s="9">
        <v>33</v>
      </c>
      <c r="N54" s="9">
        <v>5</v>
      </c>
      <c r="P54" s="11">
        <f>SUM(L54,M54,N54)/SUM(L9,M9,N9)</f>
        <v>7624999.9999999991</v>
      </c>
      <c r="Q54" s="2">
        <v>0.75</v>
      </c>
      <c r="R54" s="45">
        <f t="shared" si="28"/>
        <v>12.323316187130498</v>
      </c>
    </row>
    <row r="55" spans="1:19" ht="15.75" x14ac:dyDescent="0.25">
      <c r="A55" s="12">
        <v>44452</v>
      </c>
      <c r="B55" s="41">
        <v>7</v>
      </c>
      <c r="C55" s="25">
        <v>201.4</v>
      </c>
      <c r="D55" s="27" t="s">
        <v>17</v>
      </c>
      <c r="E55" s="45">
        <v>2.98</v>
      </c>
      <c r="F55" s="11">
        <f t="shared" si="29"/>
        <v>2.98E-3</v>
      </c>
      <c r="G55" s="9">
        <f>113+49</f>
        <v>162</v>
      </c>
      <c r="H55" s="11">
        <v>5.0000000000000004E-6</v>
      </c>
      <c r="I55" s="11">
        <f t="shared" si="31"/>
        <v>96552</v>
      </c>
      <c r="J55" s="11">
        <f t="shared" si="30"/>
        <v>9655.2000000000007</v>
      </c>
      <c r="K55" s="9" t="s">
        <v>176</v>
      </c>
      <c r="L55" s="9" t="s">
        <v>176</v>
      </c>
      <c r="M55" s="9">
        <f>198+14</f>
        <v>212</v>
      </c>
      <c r="N55" s="9">
        <f>59</f>
        <v>59</v>
      </c>
      <c r="P55" s="11">
        <f>SUM(M55,N55)/SUM(M9,N9)</f>
        <v>45166666.666666664</v>
      </c>
      <c r="Q55" s="2">
        <v>1.25</v>
      </c>
      <c r="R55" s="45">
        <f t="shared" si="28"/>
        <v>9.7533317451979737</v>
      </c>
    </row>
    <row r="56" spans="1:19" ht="15.75" x14ac:dyDescent="0.25">
      <c r="A56" s="12">
        <v>44452</v>
      </c>
      <c r="B56" s="41">
        <v>9</v>
      </c>
      <c r="C56" s="25" t="s">
        <v>66</v>
      </c>
      <c r="D56" s="27" t="s">
        <v>68</v>
      </c>
      <c r="E56" s="45">
        <v>8</v>
      </c>
      <c r="F56" s="11">
        <f t="shared" si="29"/>
        <v>8.0000000000000002E-3</v>
      </c>
      <c r="G56" s="9">
        <v>114</v>
      </c>
      <c r="H56" s="11">
        <v>1E-4</v>
      </c>
      <c r="I56" s="11">
        <f t="shared" si="31"/>
        <v>9120</v>
      </c>
      <c r="J56" s="11">
        <f t="shared" si="30"/>
        <v>912</v>
      </c>
      <c r="K56" s="9">
        <v>250</v>
      </c>
      <c r="L56" s="9">
        <v>47</v>
      </c>
      <c r="M56" s="9">
        <v>30</v>
      </c>
      <c r="N56" s="9">
        <v>9</v>
      </c>
      <c r="P56" s="11">
        <f>SUM(K56,L56,M56,N56)/SUM(K9,L9,M9,N9)</f>
        <v>5090909.0909090908</v>
      </c>
      <c r="Q56" s="2">
        <v>1.25</v>
      </c>
      <c r="R56" s="45">
        <f t="shared" si="28"/>
        <v>9.957281486863792</v>
      </c>
      <c r="S56" s="9" t="s">
        <v>226</v>
      </c>
    </row>
    <row r="58" spans="1:19" x14ac:dyDescent="0.25">
      <c r="A58" s="12">
        <v>44454</v>
      </c>
      <c r="B58" s="41">
        <v>1</v>
      </c>
      <c r="C58" s="4" t="s">
        <v>229</v>
      </c>
      <c r="D58" s="26" t="s">
        <v>27</v>
      </c>
      <c r="E58" s="51">
        <v>16.100000000000001</v>
      </c>
      <c r="F58" s="11">
        <f>E58/1000</f>
        <v>1.61E-2</v>
      </c>
      <c r="G58" s="9">
        <v>53</v>
      </c>
      <c r="H58" s="11">
        <v>1.0000000000000001E-5</v>
      </c>
      <c r="I58" s="11">
        <f>F58*G58/H58</f>
        <v>85329.999999999985</v>
      </c>
      <c r="J58" s="11">
        <f>I58/10</f>
        <v>8532.9999999999982</v>
      </c>
      <c r="K58" s="9" t="s">
        <v>176</v>
      </c>
      <c r="L58" s="9">
        <v>90</v>
      </c>
      <c r="M58" s="9">
        <v>45</v>
      </c>
      <c r="N58" s="9">
        <v>10</v>
      </c>
      <c r="P58" s="11">
        <f>SUM(L58,M58,N58)/SUM(L9,M9,N9,P9)</f>
        <v>9062499.9999999981</v>
      </c>
      <c r="Q58" s="2">
        <v>0.67</v>
      </c>
      <c r="R58" s="45">
        <f t="shared" ref="R58" si="32">LN(P58/J58)/(Q58*LN(2))</f>
        <v>15.00394078606163</v>
      </c>
      <c r="S58" s="54"/>
    </row>
    <row r="59" spans="1:19" x14ac:dyDescent="0.25">
      <c r="A59" s="12">
        <v>44454</v>
      </c>
      <c r="B59" s="41">
        <v>2</v>
      </c>
      <c r="C59" s="25" t="s">
        <v>231</v>
      </c>
      <c r="D59" s="26" t="s">
        <v>51</v>
      </c>
      <c r="E59" s="45">
        <v>4.9800000000000004</v>
      </c>
      <c r="F59" s="11">
        <f t="shared" ref="F59:F65" si="33">E59/1000</f>
        <v>4.9800000000000001E-3</v>
      </c>
      <c r="G59" s="9">
        <v>92</v>
      </c>
      <c r="H59" s="11">
        <v>5.0000000000000004E-6</v>
      </c>
      <c r="I59" s="11">
        <f>F59*G59/H59</f>
        <v>91632</v>
      </c>
      <c r="J59" s="11">
        <f t="shared" ref="J59:J65" si="34">I59/10</f>
        <v>9163.2000000000007</v>
      </c>
      <c r="K59" s="9" t="s">
        <v>176</v>
      </c>
      <c r="L59" s="9">
        <v>131</v>
      </c>
      <c r="M59" s="9">
        <v>50</v>
      </c>
      <c r="N59" s="9">
        <v>20</v>
      </c>
      <c r="P59" s="11">
        <f>SUM(L59,M59,N59)/SUM(L9,M9,N9)</f>
        <v>12562499.999999998</v>
      </c>
      <c r="Q59" s="2">
        <v>0.67</v>
      </c>
      <c r="R59" s="45">
        <f>LN(P59/J59)/(Q59*LN(2))</f>
        <v>15.553708160097568</v>
      </c>
      <c r="S59" s="54"/>
    </row>
    <row r="60" spans="1:19" ht="15.75" x14ac:dyDescent="0.25">
      <c r="A60" s="12">
        <v>44454</v>
      </c>
      <c r="B60" s="41">
        <v>3</v>
      </c>
      <c r="C60" s="4" t="s">
        <v>230</v>
      </c>
      <c r="D60" s="27" t="s">
        <v>65</v>
      </c>
      <c r="E60" s="45">
        <v>5.68</v>
      </c>
      <c r="F60" s="11">
        <f t="shared" si="33"/>
        <v>5.6799999999999993E-3</v>
      </c>
      <c r="G60" s="9">
        <v>81</v>
      </c>
      <c r="H60" s="11">
        <v>5.0000000000000004E-6</v>
      </c>
      <c r="I60" s="11">
        <f t="shared" ref="I60:I65" si="35">F60*G60/H60</f>
        <v>92015.999999999985</v>
      </c>
      <c r="J60" s="11">
        <f t="shared" si="34"/>
        <v>9201.5999999999985</v>
      </c>
      <c r="K60" s="9" t="s">
        <v>176</v>
      </c>
      <c r="L60" s="9" t="s">
        <v>176</v>
      </c>
      <c r="M60" s="9">
        <v>105</v>
      </c>
      <c r="N60" s="9">
        <v>30</v>
      </c>
      <c r="P60" s="11">
        <f>SUM(M60,N60)/SUM(M9,N9)</f>
        <v>22500000</v>
      </c>
      <c r="Q60" s="2">
        <v>0.67</v>
      </c>
      <c r="R60" s="45">
        <f t="shared" ref="R60:R65" si="36">LN(P60/J60)/(Q60*LN(2))</f>
        <v>16.799630803211798</v>
      </c>
    </row>
    <row r="61" spans="1:19" x14ac:dyDescent="0.25">
      <c r="A61" s="12">
        <v>44454</v>
      </c>
      <c r="B61" s="41">
        <v>4</v>
      </c>
      <c r="C61" s="25">
        <v>210</v>
      </c>
      <c r="D61" s="26" t="s">
        <v>61</v>
      </c>
      <c r="E61" s="51">
        <v>20.6</v>
      </c>
      <c r="F61" s="11">
        <f t="shared" si="33"/>
        <v>2.06E-2</v>
      </c>
      <c r="G61" s="9">
        <v>91</v>
      </c>
      <c r="H61" s="11">
        <v>2.0000000000000002E-5</v>
      </c>
      <c r="I61" s="11">
        <f t="shared" si="35"/>
        <v>93730</v>
      </c>
      <c r="J61" s="11">
        <f t="shared" si="34"/>
        <v>9373</v>
      </c>
      <c r="P61" s="11"/>
      <c r="Q61" s="2">
        <v>0.67</v>
      </c>
      <c r="R61" s="45" t="e">
        <f t="shared" si="36"/>
        <v>#NUM!</v>
      </c>
      <c r="S61" s="9" t="s">
        <v>236</v>
      </c>
    </row>
    <row r="62" spans="1:19" ht="15.75" x14ac:dyDescent="0.25">
      <c r="A62" s="12">
        <v>44454</v>
      </c>
      <c r="B62" s="41">
        <v>5</v>
      </c>
      <c r="C62" s="4" t="s">
        <v>228</v>
      </c>
      <c r="D62" s="27" t="s">
        <v>24</v>
      </c>
      <c r="E62" s="51">
        <v>17</v>
      </c>
      <c r="F62" s="11">
        <f t="shared" si="33"/>
        <v>1.7000000000000001E-2</v>
      </c>
      <c r="G62" s="9">
        <v>71</v>
      </c>
      <c r="H62" s="11">
        <v>1.0000000000000001E-5</v>
      </c>
      <c r="I62" s="11">
        <f t="shared" si="35"/>
        <v>120700</v>
      </c>
      <c r="J62" s="11">
        <f t="shared" si="34"/>
        <v>12070</v>
      </c>
      <c r="K62" s="9" t="s">
        <v>176</v>
      </c>
      <c r="L62" s="9">
        <v>213</v>
      </c>
      <c r="M62" s="9">
        <v>115</v>
      </c>
      <c r="P62" s="11">
        <f>SUM(L62,M62)/SUM(L9,M9)</f>
        <v>21866666.666666664</v>
      </c>
      <c r="Q62" s="2">
        <v>0.75</v>
      </c>
      <c r="R62" s="45">
        <f t="shared" si="36"/>
        <v>14.430789230255142</v>
      </c>
    </row>
    <row r="63" spans="1:19" ht="15.75" x14ac:dyDescent="0.25">
      <c r="A63" s="12">
        <v>44454</v>
      </c>
      <c r="B63" s="41">
        <v>6</v>
      </c>
      <c r="C63" s="25" t="s">
        <v>232</v>
      </c>
      <c r="D63" s="27" t="s">
        <v>68</v>
      </c>
      <c r="E63" s="51">
        <v>13.1</v>
      </c>
      <c r="F63" s="11">
        <f t="shared" si="33"/>
        <v>1.3099999999999999E-2</v>
      </c>
      <c r="G63" s="9">
        <v>47</v>
      </c>
      <c r="H63" s="11">
        <v>1.0000000000000001E-5</v>
      </c>
      <c r="I63" s="11">
        <f t="shared" si="35"/>
        <v>61569.999999999985</v>
      </c>
      <c r="J63" s="11">
        <f t="shared" si="34"/>
        <v>6156.9999999999982</v>
      </c>
      <c r="K63" s="9">
        <f>29+67</f>
        <v>96</v>
      </c>
      <c r="L63" s="9">
        <f>15+5</f>
        <v>20</v>
      </c>
      <c r="M63" s="9">
        <f>5+7</f>
        <v>12</v>
      </c>
      <c r="N63" s="9">
        <f>1</f>
        <v>1</v>
      </c>
      <c r="P63" s="11">
        <f>SUM(K63,L63,M63,N63)/SUM(K9,L9,M9,N9)</f>
        <v>1954545.4545454544</v>
      </c>
      <c r="Q63" s="2">
        <v>0.75</v>
      </c>
      <c r="R63" s="45">
        <f t="shared" si="36"/>
        <v>11.080519802898518</v>
      </c>
      <c r="S63" s="9" t="s">
        <v>233</v>
      </c>
    </row>
    <row r="64" spans="1:19" ht="15.75" x14ac:dyDescent="0.25">
      <c r="A64" s="12">
        <v>44454</v>
      </c>
      <c r="B64" s="41">
        <v>7</v>
      </c>
      <c r="C64" s="4" t="s">
        <v>227</v>
      </c>
      <c r="D64" s="27" t="s">
        <v>54</v>
      </c>
      <c r="E64" s="51">
        <v>78.7</v>
      </c>
      <c r="F64" s="11">
        <f t="shared" si="33"/>
        <v>7.8700000000000006E-2</v>
      </c>
      <c r="G64" s="9">
        <v>1</v>
      </c>
      <c r="H64" s="11">
        <v>9.9999999999999995E-7</v>
      </c>
      <c r="I64" s="11">
        <f t="shared" si="35"/>
        <v>78700.000000000015</v>
      </c>
      <c r="J64" s="11">
        <f t="shared" si="34"/>
        <v>7870.0000000000018</v>
      </c>
      <c r="K64" s="9" t="s">
        <v>176</v>
      </c>
      <c r="L64" s="9" t="s">
        <v>176</v>
      </c>
      <c r="M64" s="9">
        <v>115</v>
      </c>
      <c r="N64" s="9">
        <v>22</v>
      </c>
      <c r="P64" s="11">
        <f>SUM(M64,N64)/SUM(M9,N9)</f>
        <v>22833333.333333332</v>
      </c>
      <c r="Q64" s="2">
        <v>1</v>
      </c>
      <c r="R64" s="45">
        <f t="shared" si="36"/>
        <v>11.502490231168697</v>
      </c>
      <c r="S64" s="9" t="s">
        <v>234</v>
      </c>
    </row>
    <row r="65" spans="1:19" ht="15.75" x14ac:dyDescent="0.25">
      <c r="A65" s="12">
        <v>44454</v>
      </c>
      <c r="B65" s="41">
        <v>9</v>
      </c>
      <c r="C65" s="25">
        <v>204</v>
      </c>
      <c r="D65" s="27" t="s">
        <v>20</v>
      </c>
      <c r="E65" s="45">
        <v>3.45</v>
      </c>
      <c r="F65" s="11">
        <f t="shared" si="33"/>
        <v>3.4500000000000004E-3</v>
      </c>
      <c r="G65" s="9">
        <v>1</v>
      </c>
      <c r="H65" s="11">
        <v>5.0000000000000001E-4</v>
      </c>
      <c r="I65" s="11">
        <f t="shared" si="35"/>
        <v>6.9</v>
      </c>
      <c r="J65" s="11">
        <f t="shared" si="34"/>
        <v>0.69000000000000006</v>
      </c>
      <c r="K65" s="9">
        <v>8</v>
      </c>
      <c r="L65" s="9">
        <v>3</v>
      </c>
      <c r="M65" s="9">
        <v>2</v>
      </c>
      <c r="N65" s="9">
        <v>1</v>
      </c>
      <c r="P65" s="11">
        <f>SUM(K65,L65,M65,N65)/SUM(K9,L9,M9,N9)</f>
        <v>212121.2121212121</v>
      </c>
      <c r="Q65" s="2">
        <v>2</v>
      </c>
      <c r="R65" s="45">
        <f t="shared" si="36"/>
        <v>9.1149305525099393</v>
      </c>
      <c r="S65" s="9" t="s">
        <v>235</v>
      </c>
    </row>
    <row r="67" spans="1:19" ht="15.75" x14ac:dyDescent="0.25">
      <c r="A67" s="12">
        <v>44455</v>
      </c>
      <c r="B67" s="41">
        <v>1</v>
      </c>
      <c r="C67" s="4" t="s">
        <v>238</v>
      </c>
      <c r="D67" s="27" t="s">
        <v>65</v>
      </c>
      <c r="E67" s="45">
        <v>4.4400000000000004</v>
      </c>
      <c r="F67" s="11">
        <f>E67/1000</f>
        <v>4.4400000000000004E-3</v>
      </c>
      <c r="G67" s="9">
        <v>91</v>
      </c>
      <c r="H67" s="11">
        <v>5.0000000000000004E-6</v>
      </c>
      <c r="I67" s="11">
        <f>F67*G67/H67</f>
        <v>80808</v>
      </c>
      <c r="J67" s="11">
        <f>I67/10</f>
        <v>8080.8</v>
      </c>
      <c r="K67" s="9" t="s">
        <v>176</v>
      </c>
      <c r="L67" s="9">
        <v>127</v>
      </c>
      <c r="M67" s="9">
        <v>73</v>
      </c>
      <c r="N67" s="9">
        <v>20</v>
      </c>
      <c r="P67" s="11">
        <f>SUM(L67,M67,N67)/SUM(L9,M9,N9)</f>
        <v>13749999.999999998</v>
      </c>
      <c r="Q67" s="2">
        <v>0.67</v>
      </c>
      <c r="R67" s="45">
        <f t="shared" ref="R67" si="37">LN(P67/J67)/(Q67*LN(2))</f>
        <v>16.018874434608048</v>
      </c>
      <c r="S67" s="54"/>
    </row>
    <row r="68" spans="1:19" x14ac:dyDescent="0.25">
      <c r="A68" s="12">
        <v>44455</v>
      </c>
      <c r="B68" s="41">
        <v>2</v>
      </c>
      <c r="C68" s="25" t="s">
        <v>69</v>
      </c>
      <c r="D68" s="26" t="s">
        <v>71</v>
      </c>
      <c r="E68" s="45">
        <v>14.71</v>
      </c>
      <c r="F68" s="11">
        <f t="shared" ref="F68:F72" si="38">E68/1000</f>
        <v>1.4710000000000001E-2</v>
      </c>
      <c r="G68" s="9">
        <v>52</v>
      </c>
      <c r="H68" s="11">
        <v>1.0000000000000001E-5</v>
      </c>
      <c r="I68" s="11">
        <f>F68*G68/H68</f>
        <v>76492</v>
      </c>
      <c r="J68" s="11">
        <f t="shared" ref="J68:J72" si="39">I68/10</f>
        <v>7649.2</v>
      </c>
      <c r="K68" s="9" t="s">
        <v>176</v>
      </c>
      <c r="L68" s="9" t="s">
        <v>176</v>
      </c>
      <c r="M68" s="9">
        <v>165</v>
      </c>
      <c r="N68" s="9">
        <v>43</v>
      </c>
      <c r="P68" s="11">
        <f>SUM(M68,N68)/SUM(M9,N9)</f>
        <v>34666666.666666664</v>
      </c>
      <c r="Q68" s="2">
        <v>0.67</v>
      </c>
      <c r="R68" s="45">
        <f>LN(P68/J68)/(Q68*LN(2))</f>
        <v>18.128287510799325</v>
      </c>
      <c r="S68" s="54"/>
    </row>
    <row r="69" spans="1:19" ht="15.75" x14ac:dyDescent="0.25">
      <c r="A69" s="12">
        <v>44455</v>
      </c>
      <c r="B69" s="41">
        <v>3</v>
      </c>
      <c r="C69" s="25" t="s">
        <v>239</v>
      </c>
      <c r="D69" s="27" t="s">
        <v>68</v>
      </c>
      <c r="E69" s="51">
        <v>51.3</v>
      </c>
      <c r="F69" s="11">
        <f t="shared" si="38"/>
        <v>5.1299999999999998E-2</v>
      </c>
      <c r="G69" s="9">
        <v>76</v>
      </c>
      <c r="H69" s="11">
        <v>5.0000000000000002E-5</v>
      </c>
      <c r="I69" s="11">
        <f t="shared" ref="I69:I72" si="40">F69*G69/H69</f>
        <v>77976</v>
      </c>
      <c r="J69" s="11">
        <f t="shared" si="39"/>
        <v>7797.6</v>
      </c>
      <c r="K69" s="9" t="s">
        <v>176</v>
      </c>
      <c r="L69" s="9" t="s">
        <v>176</v>
      </c>
      <c r="M69" s="9">
        <v>177</v>
      </c>
      <c r="N69" s="9">
        <v>28</v>
      </c>
      <c r="P69" s="11">
        <f>SUM(M69,N69)/SUM(M9,N9)</f>
        <v>34166666.666666664</v>
      </c>
      <c r="Q69" s="2">
        <v>1</v>
      </c>
      <c r="R69" s="45">
        <f t="shared" ref="R69:R72" si="41">LN(P69/J69)/(Q69*LN(2))</f>
        <v>12.097271733945187</v>
      </c>
      <c r="S69" s="9" t="s">
        <v>242</v>
      </c>
    </row>
    <row r="70" spans="1:19" ht="15.75" x14ac:dyDescent="0.25">
      <c r="A70" s="12">
        <v>44455</v>
      </c>
      <c r="B70" s="41">
        <v>4</v>
      </c>
      <c r="C70" s="25">
        <v>229</v>
      </c>
      <c r="D70" s="27" t="s">
        <v>62</v>
      </c>
      <c r="E70" s="51">
        <v>21.4</v>
      </c>
      <c r="F70" s="11">
        <f t="shared" si="38"/>
        <v>2.1399999999999999E-2</v>
      </c>
      <c r="G70" s="9">
        <v>79</v>
      </c>
      <c r="H70" s="11">
        <v>2.0000000000000001E-4</v>
      </c>
      <c r="I70" s="11">
        <f t="shared" si="40"/>
        <v>8452.9999999999982</v>
      </c>
      <c r="J70" s="11">
        <f t="shared" si="39"/>
        <v>845.29999999999984</v>
      </c>
      <c r="K70" s="9">
        <v>88</v>
      </c>
      <c r="L70" s="9">
        <v>13</v>
      </c>
      <c r="M70" s="9">
        <v>7</v>
      </c>
      <c r="N70" s="9">
        <v>3</v>
      </c>
      <c r="P70" s="11">
        <f>SUM(K70,L70,M70,N70)/SUM(K9,L9,M9,N9)</f>
        <v>1681818.1818181816</v>
      </c>
      <c r="Q70" s="2">
        <v>1.25</v>
      </c>
      <c r="R70" s="45">
        <f t="shared" si="41"/>
        <v>8.7666165412999515</v>
      </c>
    </row>
    <row r="71" spans="1:19" x14ac:dyDescent="0.25">
      <c r="A71" s="12">
        <v>44455</v>
      </c>
      <c r="B71" s="41" t="s">
        <v>240</v>
      </c>
      <c r="C71" s="25">
        <v>210</v>
      </c>
      <c r="D71" s="26" t="s">
        <v>61</v>
      </c>
      <c r="E71" s="51">
        <v>20.6</v>
      </c>
      <c r="F71" s="11">
        <f t="shared" si="38"/>
        <v>2.06E-2</v>
      </c>
      <c r="G71" s="9">
        <v>90</v>
      </c>
      <c r="H71" s="11">
        <v>2.0000000000000002E-5</v>
      </c>
      <c r="I71" s="11">
        <f t="shared" si="40"/>
        <v>92700</v>
      </c>
      <c r="J71" s="11">
        <f t="shared" si="39"/>
        <v>9270</v>
      </c>
      <c r="K71" s="9" t="s">
        <v>176</v>
      </c>
      <c r="L71" s="9">
        <v>56</v>
      </c>
      <c r="M71" s="9">
        <v>31</v>
      </c>
      <c r="N71" s="9">
        <v>8</v>
      </c>
      <c r="P71" s="11">
        <f>SUM(L71,M71,N71)/SUM(L9,M9,N9)</f>
        <v>5937499.9999999991</v>
      </c>
      <c r="Q71" s="9">
        <v>0.67</v>
      </c>
      <c r="R71" s="45">
        <f t="shared" si="41"/>
        <v>13.915030677824221</v>
      </c>
    </row>
    <row r="72" spans="1:19" ht="15.75" x14ac:dyDescent="0.25">
      <c r="A72" s="12">
        <v>44455</v>
      </c>
      <c r="B72" s="41" t="s">
        <v>240</v>
      </c>
      <c r="C72" s="4" t="s">
        <v>227</v>
      </c>
      <c r="D72" s="27" t="s">
        <v>54</v>
      </c>
      <c r="E72" s="51">
        <v>78.7</v>
      </c>
      <c r="F72" s="11">
        <f t="shared" si="38"/>
        <v>7.8700000000000006E-2</v>
      </c>
      <c r="G72" s="9">
        <v>116</v>
      </c>
      <c r="H72" s="11">
        <v>1E-4</v>
      </c>
      <c r="I72" s="11">
        <f t="shared" si="40"/>
        <v>91292</v>
      </c>
      <c r="J72" s="11">
        <f t="shared" si="39"/>
        <v>9129.2000000000007</v>
      </c>
      <c r="K72" s="9" t="s">
        <v>176</v>
      </c>
      <c r="L72" s="9">
        <v>186</v>
      </c>
      <c r="M72" s="9">
        <v>90</v>
      </c>
      <c r="N72" s="9">
        <v>21</v>
      </c>
      <c r="P72" s="11">
        <f>SUM(L72,M72,N72)/SUM(L9,M9,N9)</f>
        <v>18562499.999999996</v>
      </c>
      <c r="Q72" s="9">
        <v>1</v>
      </c>
      <c r="R72" s="45">
        <f t="shared" si="41"/>
        <v>10.989614964377244</v>
      </c>
    </row>
    <row r="73" spans="1:19" ht="15.75" x14ac:dyDescent="0.25">
      <c r="B73" s="41"/>
      <c r="C73" s="4"/>
      <c r="D73" s="27"/>
      <c r="E73" s="51"/>
      <c r="F73" s="11"/>
      <c r="H73" s="11"/>
      <c r="I73" s="11"/>
      <c r="J73" s="11"/>
      <c r="P73" s="11"/>
      <c r="Q73" s="2"/>
      <c r="R73" s="45"/>
    </row>
    <row r="74" spans="1:19" ht="15.75" x14ac:dyDescent="0.25">
      <c r="A74" s="12">
        <v>44456</v>
      </c>
      <c r="B74" s="66">
        <v>1</v>
      </c>
      <c r="C74" s="4" t="s">
        <v>245</v>
      </c>
      <c r="D74" s="27" t="s">
        <v>65</v>
      </c>
      <c r="E74" s="23">
        <v>7.25</v>
      </c>
      <c r="F74" s="11">
        <f>E74/1000</f>
        <v>7.2500000000000004E-3</v>
      </c>
      <c r="G74" s="9">
        <v>64</v>
      </c>
      <c r="H74" s="11">
        <v>5.0000000000000004E-6</v>
      </c>
      <c r="I74" s="11">
        <f>F74*G74/H74</f>
        <v>92800</v>
      </c>
      <c r="J74" s="11">
        <f>I74/10</f>
        <v>9280</v>
      </c>
      <c r="K74" s="9" t="s">
        <v>176</v>
      </c>
      <c r="L74" s="9">
        <v>172</v>
      </c>
      <c r="M74" s="9">
        <v>90</v>
      </c>
      <c r="N74" s="9">
        <v>14</v>
      </c>
      <c r="P74" s="11">
        <f>SUM(L74,M74,N74)/SUM(L9,M9,N9)</f>
        <v>17249999.999999996</v>
      </c>
      <c r="Q74" s="2">
        <v>0.67</v>
      </c>
      <c r="R74" s="45">
        <f t="shared" ref="R74" si="42">LN(P74/J74)/(Q74*LN(2))</f>
        <v>16.20922975535434</v>
      </c>
      <c r="S74" s="54"/>
    </row>
    <row r="75" spans="1:19" x14ac:dyDescent="0.25">
      <c r="A75" s="12">
        <v>44456</v>
      </c>
      <c r="B75" s="66">
        <v>2</v>
      </c>
      <c r="C75" s="4" t="s">
        <v>246</v>
      </c>
      <c r="D75" s="26" t="s">
        <v>71</v>
      </c>
      <c r="E75" s="23">
        <v>2.88</v>
      </c>
      <c r="F75" s="11">
        <f t="shared" ref="F75:F79" si="43">E75/1000</f>
        <v>2.8799999999999997E-3</v>
      </c>
      <c r="G75" s="9">
        <v>29</v>
      </c>
      <c r="H75" s="11">
        <v>9.9999999999999995E-7</v>
      </c>
      <c r="I75" s="11">
        <f>F75*G75/H75</f>
        <v>83520</v>
      </c>
      <c r="J75" s="11">
        <f t="shared" ref="J75:J79" si="44">I75/10</f>
        <v>8352</v>
      </c>
      <c r="K75" s="9" t="s">
        <v>176</v>
      </c>
      <c r="L75" s="9" t="s">
        <v>176</v>
      </c>
      <c r="M75" s="9" t="s">
        <v>176</v>
      </c>
      <c r="N75" s="9">
        <v>64</v>
      </c>
      <c r="P75" s="11">
        <f>N75/N9</f>
        <v>64000000</v>
      </c>
      <c r="Q75" s="2">
        <v>0.67</v>
      </c>
      <c r="R75" s="45">
        <f>LN(P75/J75)/(Q75*LN(2))</f>
        <v>19.259197869782522</v>
      </c>
      <c r="S75" s="54"/>
    </row>
    <row r="76" spans="1:19" x14ac:dyDescent="0.25">
      <c r="A76" s="12">
        <v>44456</v>
      </c>
      <c r="B76" s="66">
        <v>3</v>
      </c>
      <c r="C76" s="4">
        <v>211</v>
      </c>
      <c r="D76" s="25" t="s">
        <v>74</v>
      </c>
      <c r="E76" s="23">
        <v>13.89</v>
      </c>
      <c r="F76" s="11">
        <f t="shared" si="43"/>
        <v>1.3890000000000001E-2</v>
      </c>
      <c r="G76" s="9">
        <v>118</v>
      </c>
      <c r="H76" s="11">
        <v>2.0000000000000002E-5</v>
      </c>
      <c r="I76" s="11">
        <f t="shared" ref="I76:I79" si="45">F76*G76/H76</f>
        <v>81951</v>
      </c>
      <c r="J76" s="11">
        <f t="shared" si="44"/>
        <v>8195.1</v>
      </c>
      <c r="K76" s="9" t="s">
        <v>176</v>
      </c>
      <c r="L76" s="9">
        <v>62</v>
      </c>
      <c r="M76" s="9">
        <v>35</v>
      </c>
      <c r="N76" s="9">
        <v>4</v>
      </c>
      <c r="P76" s="11">
        <f>SUM(L76,M76,N76)/SUM(L9,M9,N9)</f>
        <v>6312499.9999999991</v>
      </c>
      <c r="Q76" s="2">
        <v>0.67</v>
      </c>
      <c r="R76" s="45">
        <f t="shared" ref="R76:R79" si="46">LN(P76/J76)/(Q76*LN(2))</f>
        <v>14.312289871074771</v>
      </c>
    </row>
    <row r="77" spans="1:19" x14ac:dyDescent="0.25">
      <c r="A77" s="12">
        <v>44456</v>
      </c>
      <c r="B77" s="52">
        <v>4</v>
      </c>
      <c r="C77" s="4">
        <v>210.1</v>
      </c>
      <c r="D77" s="26" t="s">
        <v>61</v>
      </c>
      <c r="E77" s="23">
        <v>16.84</v>
      </c>
      <c r="F77" s="11">
        <f t="shared" si="43"/>
        <v>1.6840000000000001E-2</v>
      </c>
      <c r="G77" s="9">
        <v>39</v>
      </c>
      <c r="H77" s="11">
        <v>1.0000000000000001E-5</v>
      </c>
      <c r="I77" s="11">
        <f t="shared" si="45"/>
        <v>65676</v>
      </c>
      <c r="J77" s="11">
        <f t="shared" si="44"/>
        <v>6567.6</v>
      </c>
      <c r="K77" s="9" t="s">
        <v>176</v>
      </c>
      <c r="L77" s="9">
        <v>100</v>
      </c>
      <c r="M77" s="9">
        <v>51</v>
      </c>
      <c r="N77" s="9">
        <v>6</v>
      </c>
      <c r="P77" s="11">
        <f>SUM(L77,M77,N77)/SUM(L9,M9,N9)</f>
        <v>9812499.9999999981</v>
      </c>
      <c r="Q77" s="2">
        <v>0.75</v>
      </c>
      <c r="R77" s="45">
        <f t="shared" si="46"/>
        <v>14.060051694899361</v>
      </c>
    </row>
    <row r="78" spans="1:19" ht="15.75" x14ac:dyDescent="0.25">
      <c r="A78" s="12">
        <v>44456</v>
      </c>
      <c r="B78" s="52">
        <v>5</v>
      </c>
      <c r="C78" s="4" t="s">
        <v>247</v>
      </c>
      <c r="D78" s="27" t="s">
        <v>68</v>
      </c>
      <c r="E78" s="23">
        <v>2.92</v>
      </c>
      <c r="F78" s="11">
        <f t="shared" si="43"/>
        <v>2.9199999999999999E-3</v>
      </c>
      <c r="G78" s="9">
        <f>40+90</f>
        <v>130</v>
      </c>
      <c r="H78" s="11">
        <v>5.0000000000000004E-6</v>
      </c>
      <c r="I78" s="11">
        <f t="shared" si="45"/>
        <v>75919.999999999985</v>
      </c>
      <c r="J78" s="11">
        <f t="shared" si="44"/>
        <v>7591.9999999999982</v>
      </c>
      <c r="K78" s="9" t="s">
        <v>176</v>
      </c>
      <c r="L78" s="9">
        <f>26+88</f>
        <v>114</v>
      </c>
      <c r="M78" s="9">
        <f>19+40</f>
        <v>59</v>
      </c>
      <c r="N78" s="9">
        <f>4+11</f>
        <v>15</v>
      </c>
      <c r="P78" s="11">
        <f>SUM(L78,M78,N78)/SUM(L9,M9,N9)</f>
        <v>11749999.999999998</v>
      </c>
      <c r="Q78" s="2">
        <v>0.75</v>
      </c>
      <c r="R78" s="45">
        <f t="shared" si="46"/>
        <v>14.127857525307604</v>
      </c>
      <c r="S78" s="9" t="s">
        <v>249</v>
      </c>
    </row>
    <row r="79" spans="1:19" ht="15.75" x14ac:dyDescent="0.25">
      <c r="A79" s="12">
        <v>44456</v>
      </c>
      <c r="B79" s="66">
        <v>6</v>
      </c>
      <c r="C79" s="4" t="s">
        <v>248</v>
      </c>
      <c r="D79" s="27" t="s">
        <v>54</v>
      </c>
      <c r="E79" s="23">
        <v>5.38</v>
      </c>
      <c r="F79" s="11">
        <f t="shared" si="43"/>
        <v>5.3800000000000002E-3</v>
      </c>
      <c r="G79" s="9">
        <v>117</v>
      </c>
      <c r="H79" s="11">
        <v>5.0000000000000004E-6</v>
      </c>
      <c r="I79" s="11">
        <f t="shared" si="45"/>
        <v>125892</v>
      </c>
      <c r="J79" s="11">
        <f t="shared" si="44"/>
        <v>12589.2</v>
      </c>
      <c r="K79" s="9" t="s">
        <v>176</v>
      </c>
      <c r="L79" s="9">
        <v>151</v>
      </c>
      <c r="M79" s="9">
        <v>71</v>
      </c>
      <c r="N79" s="9">
        <v>16</v>
      </c>
      <c r="P79" s="11">
        <f>SUM(L79,M79,N79)/SUM(L9,M9, N9)</f>
        <v>14874999.999999998</v>
      </c>
      <c r="Q79" s="2">
        <v>1</v>
      </c>
      <c r="R79" s="45">
        <f t="shared" si="46"/>
        <v>10.20648734537945</v>
      </c>
    </row>
    <row r="80" spans="1:19" ht="15.75" x14ac:dyDescent="0.25">
      <c r="A80" s="12">
        <v>44456</v>
      </c>
      <c r="B80" s="52">
        <v>7</v>
      </c>
      <c r="C80" s="4">
        <v>229.1</v>
      </c>
      <c r="D80" s="27" t="s">
        <v>62</v>
      </c>
      <c r="E80" s="55">
        <v>59.5</v>
      </c>
      <c r="F80" s="11">
        <f t="shared" ref="F80" si="47">E80/1000</f>
        <v>5.9499999999999997E-2</v>
      </c>
      <c r="G80" s="9">
        <v>90</v>
      </c>
      <c r="H80" s="11">
        <v>5.0000000000000002E-5</v>
      </c>
      <c r="I80" s="11">
        <f t="shared" ref="I80" si="48">F80*G80/H80</f>
        <v>107099.99999999999</v>
      </c>
      <c r="J80" s="11">
        <f t="shared" ref="J80" si="49">I80/10</f>
        <v>10709.999999999998</v>
      </c>
      <c r="K80" s="9" t="s">
        <v>176</v>
      </c>
      <c r="L80" s="9">
        <v>394</v>
      </c>
      <c r="M80" s="9">
        <v>189</v>
      </c>
      <c r="N80" s="9">
        <v>43</v>
      </c>
      <c r="P80" s="11">
        <f>SUM(L80,M80,N80)/SUM(L9,M9,N9)</f>
        <v>39124999.999999993</v>
      </c>
      <c r="Q80" s="2">
        <v>1.25</v>
      </c>
      <c r="R80" s="45">
        <f t="shared" ref="R80" si="50">LN(P80/J80)/(Q80*LN(2))</f>
        <v>9.46793324529534</v>
      </c>
    </row>
    <row r="82" spans="1:19" x14ac:dyDescent="0.25">
      <c r="A82" s="12">
        <v>44459</v>
      </c>
      <c r="B82" s="66">
        <v>1</v>
      </c>
      <c r="C82" s="4" t="s">
        <v>55</v>
      </c>
      <c r="D82" s="25" t="s">
        <v>57</v>
      </c>
      <c r="E82" s="23">
        <v>4.2</v>
      </c>
      <c r="F82" s="11">
        <f>E82/1000</f>
        <v>4.2000000000000006E-3</v>
      </c>
      <c r="G82" s="9">
        <v>95</v>
      </c>
      <c r="H82" s="11">
        <v>5.0000000000000004E-6</v>
      </c>
      <c r="I82" s="11">
        <f>F82*G82/H82</f>
        <v>79800.000000000015</v>
      </c>
      <c r="J82" s="11">
        <f>I82/10</f>
        <v>7980.0000000000018</v>
      </c>
      <c r="K82" s="9" t="s">
        <v>176</v>
      </c>
      <c r="L82" s="9" t="s">
        <v>176</v>
      </c>
      <c r="M82" s="9" t="s">
        <v>176</v>
      </c>
      <c r="N82" s="9">
        <v>54</v>
      </c>
      <c r="P82" s="11">
        <f>N82/N9</f>
        <v>54000000</v>
      </c>
      <c r="Q82" s="2">
        <v>0.67</v>
      </c>
      <c r="R82" s="45">
        <f t="shared" ref="R82" si="51">LN(P82/J82)/(Q82*LN(2))</f>
        <v>18.991467224444676</v>
      </c>
      <c r="S82" s="54"/>
    </row>
    <row r="83" spans="1:19" ht="15.75" x14ac:dyDescent="0.25">
      <c r="A83" s="12">
        <v>44459</v>
      </c>
      <c r="B83" s="66">
        <v>2</v>
      </c>
      <c r="C83" s="4">
        <v>210.2</v>
      </c>
      <c r="D83" s="27" t="s">
        <v>61</v>
      </c>
      <c r="E83" s="23">
        <v>10.19</v>
      </c>
      <c r="F83" s="11">
        <f t="shared" ref="F83:F88" si="52">E83/1000</f>
        <v>1.0189999999999999E-2</v>
      </c>
      <c r="G83" s="9">
        <f>1+79</f>
        <v>80</v>
      </c>
      <c r="H83" s="11">
        <v>1.0000000000000001E-5</v>
      </c>
      <c r="I83" s="11">
        <f>F83*G83/H83</f>
        <v>81519.999999999985</v>
      </c>
      <c r="J83" s="11">
        <f t="shared" ref="J83:J88" si="53">I83/10</f>
        <v>8151.9999999999982</v>
      </c>
      <c r="K83" s="9">
        <f>16+258</f>
        <v>274</v>
      </c>
      <c r="L83" s="9">
        <f>69+1</f>
        <v>70</v>
      </c>
      <c r="M83" s="9">
        <f>6+19</f>
        <v>25</v>
      </c>
      <c r="N83" s="9">
        <f>1+7</f>
        <v>8</v>
      </c>
      <c r="P83" s="11">
        <f>SUM(K83,L83,M83,N83)/SUM(K9,L9,M9,N9)</f>
        <v>5712121.2121212119</v>
      </c>
      <c r="Q83" s="2">
        <v>0.67</v>
      </c>
      <c r="R83" s="45">
        <f>LN(P83/J83)/(Q83*LN(2))</f>
        <v>14.108443025475479</v>
      </c>
      <c r="S83" s="54" t="s">
        <v>255</v>
      </c>
    </row>
    <row r="84" spans="1:19" x14ac:dyDescent="0.25">
      <c r="A84" s="12">
        <v>44459</v>
      </c>
      <c r="B84" s="66">
        <v>3</v>
      </c>
      <c r="C84" s="4" t="s">
        <v>251</v>
      </c>
      <c r="D84" s="25" t="s">
        <v>68</v>
      </c>
      <c r="E84" s="23">
        <v>8.4700000000000006</v>
      </c>
      <c r="F84" s="11">
        <f t="shared" si="52"/>
        <v>8.4700000000000001E-3</v>
      </c>
      <c r="G84" s="9">
        <f>66+15</f>
        <v>81</v>
      </c>
      <c r="H84" s="11">
        <v>1.0000000000000001E-5</v>
      </c>
      <c r="I84" s="11">
        <f t="shared" ref="I84:I88" si="54">F84*G84/H84</f>
        <v>68606.999999999985</v>
      </c>
      <c r="J84" s="11">
        <f t="shared" si="53"/>
        <v>6860.6999999999989</v>
      </c>
      <c r="K84" s="9" t="s">
        <v>176</v>
      </c>
      <c r="L84" s="9">
        <f>9+36</f>
        <v>45</v>
      </c>
      <c r="M84" s="9">
        <f>7+21</f>
        <v>28</v>
      </c>
      <c r="N84" s="9">
        <f>4</f>
        <v>4</v>
      </c>
      <c r="P84" s="11">
        <f>SUM(L84,M84,N84)/SUM(L9,M9,N9)</f>
        <v>4812499.9999999991</v>
      </c>
      <c r="Q84" s="2">
        <v>0.67</v>
      </c>
      <c r="R84" s="45">
        <f t="shared" ref="R84:R88" si="55">LN(P84/J84)/(Q84*LN(2))</f>
        <v>14.110768720432258</v>
      </c>
      <c r="S84" s="9" t="s">
        <v>256</v>
      </c>
    </row>
    <row r="85" spans="1:19" x14ac:dyDescent="0.25">
      <c r="A85" s="12">
        <v>44459</v>
      </c>
      <c r="B85" s="52">
        <v>4</v>
      </c>
      <c r="C85" s="4" t="s">
        <v>252</v>
      </c>
      <c r="D85" s="25" t="s">
        <v>71</v>
      </c>
      <c r="E85" s="23">
        <v>1.56</v>
      </c>
      <c r="F85" s="11">
        <f t="shared" si="52"/>
        <v>1.56E-3</v>
      </c>
      <c r="G85" s="9">
        <v>63</v>
      </c>
      <c r="H85" s="11">
        <v>9.9999999999999995E-7</v>
      </c>
      <c r="I85" s="11">
        <f t="shared" si="54"/>
        <v>98280</v>
      </c>
      <c r="J85" s="11">
        <f t="shared" si="53"/>
        <v>9828</v>
      </c>
      <c r="K85" s="9" t="s">
        <v>176</v>
      </c>
      <c r="L85" s="9" t="s">
        <v>176</v>
      </c>
      <c r="M85" s="9" t="s">
        <v>176</v>
      </c>
      <c r="N85" s="9">
        <v>50</v>
      </c>
      <c r="P85" s="11">
        <f>N85/N9</f>
        <v>50000000</v>
      </c>
      <c r="Q85" s="2">
        <v>0.67</v>
      </c>
      <c r="R85" s="45">
        <f t="shared" si="55"/>
        <v>18.377227786174227</v>
      </c>
    </row>
    <row r="86" spans="1:19" x14ac:dyDescent="0.25">
      <c r="A86" s="12">
        <v>44459</v>
      </c>
      <c r="B86" s="52">
        <v>5</v>
      </c>
      <c r="C86" s="4">
        <v>211.1</v>
      </c>
      <c r="D86" s="25" t="s">
        <v>74</v>
      </c>
      <c r="E86" s="23">
        <v>15.85</v>
      </c>
      <c r="F86" s="11">
        <f t="shared" si="52"/>
        <v>1.585E-2</v>
      </c>
      <c r="G86" s="9">
        <v>42</v>
      </c>
      <c r="H86" s="11">
        <v>1.0000000000000001E-5</v>
      </c>
      <c r="I86" s="11">
        <f t="shared" si="54"/>
        <v>66569.999999999985</v>
      </c>
      <c r="J86" s="11">
        <f t="shared" si="53"/>
        <v>6656.9999999999982</v>
      </c>
      <c r="K86" s="9" t="s">
        <v>176</v>
      </c>
      <c r="L86" s="9">
        <v>80</v>
      </c>
      <c r="M86" s="9">
        <v>37</v>
      </c>
      <c r="N86" s="9">
        <v>6</v>
      </c>
      <c r="P86" s="11">
        <f>SUM(L86,M86,N86)/SUM(L9,M9,N9)</f>
        <v>7687499.9999999991</v>
      </c>
      <c r="Q86" s="2">
        <v>0.67</v>
      </c>
      <c r="R86" s="45">
        <f t="shared" si="55"/>
        <v>15.184218838425741</v>
      </c>
    </row>
    <row r="87" spans="1:19" x14ac:dyDescent="0.25">
      <c r="A87" s="12">
        <v>44459</v>
      </c>
      <c r="B87" s="66">
        <v>6</v>
      </c>
      <c r="C87" s="4">
        <v>229.2</v>
      </c>
      <c r="D87" s="25" t="s">
        <v>62</v>
      </c>
      <c r="E87" s="23">
        <v>2.56</v>
      </c>
      <c r="F87" s="11">
        <f t="shared" si="52"/>
        <v>2.5600000000000002E-3</v>
      </c>
      <c r="H87" s="11"/>
      <c r="I87" s="11" t="e">
        <f t="shared" si="54"/>
        <v>#DIV/0!</v>
      </c>
      <c r="J87" s="11" t="e">
        <f t="shared" si="53"/>
        <v>#DIV/0!</v>
      </c>
      <c r="P87" s="11"/>
      <c r="Q87" s="2">
        <v>1</v>
      </c>
      <c r="R87" s="45" t="e">
        <f t="shared" si="55"/>
        <v>#DIV/0!</v>
      </c>
      <c r="S87" s="9" t="s">
        <v>257</v>
      </c>
    </row>
    <row r="88" spans="1:19" x14ac:dyDescent="0.25">
      <c r="A88" s="12">
        <v>44459</v>
      </c>
      <c r="B88" s="52">
        <v>7</v>
      </c>
      <c r="C88" s="4" t="s">
        <v>250</v>
      </c>
      <c r="D88" s="25" t="s">
        <v>54</v>
      </c>
      <c r="E88" s="23">
        <v>6.71</v>
      </c>
      <c r="F88" s="11">
        <f t="shared" si="52"/>
        <v>6.7099999999999998E-3</v>
      </c>
      <c r="G88" s="9">
        <v>57</v>
      </c>
      <c r="H88" s="11">
        <v>5.0000000000000004E-6</v>
      </c>
      <c r="I88" s="11">
        <f t="shared" si="54"/>
        <v>76493.999999999985</v>
      </c>
      <c r="J88" s="11">
        <f t="shared" si="53"/>
        <v>7649.3999999999987</v>
      </c>
      <c r="K88" s="9" t="s">
        <v>176</v>
      </c>
      <c r="L88" s="9" t="s">
        <v>176</v>
      </c>
      <c r="M88" s="9">
        <v>300</v>
      </c>
      <c r="N88" s="9">
        <v>72</v>
      </c>
      <c r="P88" s="11">
        <f>SUM(M88,N88)/SUM(M9,N9)</f>
        <v>62000000</v>
      </c>
      <c r="Q88" s="2">
        <v>1</v>
      </c>
      <c r="R88" s="45">
        <f t="shared" si="55"/>
        <v>12.984634004233486</v>
      </c>
    </row>
    <row r="90" spans="1:19" x14ac:dyDescent="0.25">
      <c r="A90" s="12">
        <v>44460</v>
      </c>
      <c r="B90" s="52">
        <v>7</v>
      </c>
      <c r="C90" s="4" t="s">
        <v>261</v>
      </c>
      <c r="D90" s="25" t="s">
        <v>62</v>
      </c>
      <c r="E90" s="23">
        <v>2.56</v>
      </c>
      <c r="F90" s="11">
        <f t="shared" ref="F90" si="56">E90/1000</f>
        <v>2.5600000000000002E-3</v>
      </c>
      <c r="G90" s="9">
        <v>122</v>
      </c>
      <c r="H90" s="11">
        <v>1.9999999999999999E-6</v>
      </c>
      <c r="I90" s="11">
        <f t="shared" ref="I90" si="57">F90*G90/H90</f>
        <v>156160.00000000003</v>
      </c>
      <c r="J90" s="11">
        <f t="shared" ref="J90" si="58">I90/10</f>
        <v>15616.000000000004</v>
      </c>
      <c r="K90" s="9" t="s">
        <v>176</v>
      </c>
      <c r="L90" s="9">
        <v>118</v>
      </c>
      <c r="M90" s="9">
        <v>64</v>
      </c>
      <c r="N90" s="9">
        <v>19</v>
      </c>
      <c r="P90" s="11">
        <f>SUM(L90,M90,N90)/SUM(L9,M9,N9)</f>
        <v>12562499.999999998</v>
      </c>
      <c r="Q90" s="2">
        <v>1</v>
      </c>
      <c r="R90" s="45">
        <f t="shared" ref="R90" si="59">LN(P90/J90)/(Q90*LN(2))</f>
        <v>9.6518829229402154</v>
      </c>
    </row>
    <row r="92" spans="1:19" x14ac:dyDescent="0.25">
      <c r="A92" s="12">
        <v>44461</v>
      </c>
      <c r="B92" s="66">
        <v>1</v>
      </c>
      <c r="C92" s="4" t="s">
        <v>254</v>
      </c>
      <c r="D92" s="25" t="s">
        <v>57</v>
      </c>
      <c r="E92" s="23">
        <v>1.85</v>
      </c>
      <c r="F92" s="11">
        <f>E92/1000</f>
        <v>1.8500000000000001E-3</v>
      </c>
      <c r="G92" s="9">
        <v>59</v>
      </c>
      <c r="H92" s="11">
        <v>9.9999999999999995E-7</v>
      </c>
      <c r="I92" s="11">
        <f>F92*G92/H92</f>
        <v>109150.00000000001</v>
      </c>
      <c r="J92" s="11">
        <f>I92/10</f>
        <v>10915.000000000002</v>
      </c>
      <c r="K92" s="9" t="s">
        <v>176</v>
      </c>
      <c r="L92" s="9" t="s">
        <v>176</v>
      </c>
      <c r="M92" s="9" t="s">
        <v>176</v>
      </c>
      <c r="N92" s="9">
        <v>130</v>
      </c>
      <c r="P92" s="11">
        <f>N92/N9</f>
        <v>130000000</v>
      </c>
      <c r="Q92" s="2">
        <v>0.67</v>
      </c>
      <c r="R92" s="45">
        <f t="shared" ref="R92" si="60">LN(P92/J92)/(Q92*LN(2))</f>
        <v>20.208823690260409</v>
      </c>
      <c r="S92" s="54"/>
    </row>
    <row r="93" spans="1:19" ht="15.75" x14ac:dyDescent="0.25">
      <c r="A93" s="12">
        <v>44461</v>
      </c>
      <c r="B93" s="66">
        <v>2</v>
      </c>
      <c r="C93" s="4">
        <v>210.3</v>
      </c>
      <c r="D93" s="27" t="s">
        <v>61</v>
      </c>
      <c r="E93" s="23">
        <v>17.510000000000002</v>
      </c>
      <c r="F93" s="11">
        <f t="shared" ref="F93:F98" si="61">E93/1000</f>
        <v>1.7510000000000001E-2</v>
      </c>
      <c r="G93" s="9">
        <f>2+67</f>
        <v>69</v>
      </c>
      <c r="H93" s="11">
        <v>1.0000000000000001E-5</v>
      </c>
      <c r="I93" s="11">
        <f>F93*G93/H93</f>
        <v>120819</v>
      </c>
      <c r="J93" s="11">
        <f t="shared" ref="J93:J98" si="62">I93/10</f>
        <v>12081.9</v>
      </c>
      <c r="K93" s="9" t="s">
        <v>176</v>
      </c>
      <c r="L93" s="9" t="s">
        <v>176</v>
      </c>
      <c r="M93" s="9">
        <f>74+30</f>
        <v>104</v>
      </c>
      <c r="N93" s="9">
        <f>7+10</f>
        <v>17</v>
      </c>
      <c r="P93" s="11">
        <f>SUM(N93,M93)/SUM(M9,N9)</f>
        <v>20166666.666666668</v>
      </c>
      <c r="Q93" s="2">
        <v>0.67</v>
      </c>
      <c r="R93" s="45">
        <f>LN(P93/J93)/(Q93*LN(2))</f>
        <v>15.977476978437682</v>
      </c>
      <c r="S93" s="54" t="s">
        <v>269</v>
      </c>
    </row>
    <row r="94" spans="1:19" x14ac:dyDescent="0.25">
      <c r="A94" s="12">
        <v>44461</v>
      </c>
      <c r="B94" s="66">
        <v>3</v>
      </c>
      <c r="C94" s="4" t="s">
        <v>253</v>
      </c>
      <c r="D94" s="25" t="s">
        <v>71</v>
      </c>
      <c r="E94" s="23">
        <v>2</v>
      </c>
      <c r="F94" s="11">
        <f t="shared" si="61"/>
        <v>2E-3</v>
      </c>
      <c r="G94" s="9">
        <v>124</v>
      </c>
      <c r="H94" s="11">
        <v>1.9999999999999999E-6</v>
      </c>
      <c r="I94" s="11">
        <f t="shared" ref="I94:I98" si="63">F94*G94/H94</f>
        <v>124000</v>
      </c>
      <c r="J94" s="11">
        <f t="shared" si="62"/>
        <v>12400</v>
      </c>
      <c r="K94" s="9" t="s">
        <v>176</v>
      </c>
      <c r="L94" s="9" t="s">
        <v>176</v>
      </c>
      <c r="M94" s="9" t="s">
        <v>176</v>
      </c>
      <c r="N94" s="9">
        <v>141</v>
      </c>
      <c r="P94" s="11">
        <f>N94/N9</f>
        <v>141000000</v>
      </c>
      <c r="Q94" s="2">
        <v>0.67</v>
      </c>
      <c r="R94" s="45">
        <f t="shared" ref="R94:R98" si="64">LN(P94/J94)/(Q94*LN(2))</f>
        <v>20.109055853076665</v>
      </c>
    </row>
    <row r="95" spans="1:19" x14ac:dyDescent="0.25">
      <c r="A95" s="12">
        <v>44461</v>
      </c>
      <c r="B95" s="52">
        <v>4</v>
      </c>
      <c r="C95" s="4">
        <v>211.2</v>
      </c>
      <c r="D95" s="25" t="s">
        <v>74</v>
      </c>
      <c r="E95" s="23">
        <v>13</v>
      </c>
      <c r="F95" s="11">
        <f t="shared" si="61"/>
        <v>1.2999999999999999E-2</v>
      </c>
      <c r="G95" s="9">
        <v>85</v>
      </c>
      <c r="H95" s="11">
        <v>1.0000000000000001E-5</v>
      </c>
      <c r="I95" s="11">
        <f t="shared" si="63"/>
        <v>110499.99999999999</v>
      </c>
      <c r="J95" s="11">
        <f t="shared" si="62"/>
        <v>11049.999999999998</v>
      </c>
      <c r="K95" s="9" t="s">
        <v>176</v>
      </c>
      <c r="L95" s="9">
        <v>182</v>
      </c>
      <c r="M95" s="9">
        <v>96</v>
      </c>
      <c r="N95" s="9">
        <v>25</v>
      </c>
      <c r="P95" s="11">
        <f>SUM(L95,M95,N95)/SUM(L9,M9,N9)</f>
        <v>18937499.999999996</v>
      </c>
      <c r="Q95" s="2">
        <v>0.67</v>
      </c>
      <c r="R95" s="45">
        <f t="shared" si="64"/>
        <v>16.034304184523833</v>
      </c>
    </row>
    <row r="96" spans="1:19" x14ac:dyDescent="0.25">
      <c r="A96" s="12">
        <v>44461</v>
      </c>
      <c r="B96" s="52">
        <v>5</v>
      </c>
      <c r="C96" s="4">
        <v>229.3</v>
      </c>
      <c r="D96" s="25" t="s">
        <v>62</v>
      </c>
      <c r="E96" s="23">
        <v>7.94</v>
      </c>
      <c r="F96" s="11">
        <f t="shared" si="61"/>
        <v>7.9400000000000009E-3</v>
      </c>
      <c r="G96" s="9">
        <v>112</v>
      </c>
      <c r="H96" s="11">
        <v>1.0000000000000001E-5</v>
      </c>
      <c r="I96" s="11">
        <f t="shared" si="63"/>
        <v>88928</v>
      </c>
      <c r="J96" s="11">
        <f t="shared" si="62"/>
        <v>8892.7999999999993</v>
      </c>
      <c r="K96" s="9" t="s">
        <v>176</v>
      </c>
      <c r="L96" s="9">
        <v>121</v>
      </c>
      <c r="M96" s="9">
        <v>59</v>
      </c>
      <c r="N96" s="9">
        <v>8</v>
      </c>
      <c r="P96" s="11">
        <f>SUM(L96,M96,N96)/SUM(L9,M9,N9)</f>
        <v>11749999.999999998</v>
      </c>
      <c r="Q96" s="2">
        <v>1</v>
      </c>
      <c r="R96" s="45">
        <f t="shared" si="64"/>
        <v>10.367735396688612</v>
      </c>
    </row>
    <row r="97" spans="1:19" x14ac:dyDescent="0.25">
      <c r="A97" s="12">
        <v>44461</v>
      </c>
      <c r="B97" s="66">
        <v>6</v>
      </c>
      <c r="C97" s="4">
        <v>230</v>
      </c>
      <c r="D97" s="25" t="s">
        <v>75</v>
      </c>
      <c r="E97" s="23">
        <v>14.81</v>
      </c>
      <c r="F97" s="11">
        <f t="shared" si="61"/>
        <v>1.481E-2</v>
      </c>
      <c r="G97" s="9">
        <v>80</v>
      </c>
      <c r="H97" s="11">
        <v>1E-3</v>
      </c>
      <c r="I97" s="11">
        <f t="shared" si="63"/>
        <v>1184.8</v>
      </c>
      <c r="J97" s="11">
        <f t="shared" si="62"/>
        <v>118.47999999999999</v>
      </c>
      <c r="K97" s="9" t="s">
        <v>176</v>
      </c>
      <c r="L97" s="9" t="s">
        <v>176</v>
      </c>
      <c r="M97" s="9">
        <v>95</v>
      </c>
      <c r="N97" s="9">
        <v>24</v>
      </c>
      <c r="P97" s="11">
        <f>SUM(M97,N97)/SUM(M9,N9)</f>
        <v>19833333.333333332</v>
      </c>
      <c r="Q97" s="2">
        <v>2</v>
      </c>
      <c r="R97" s="45">
        <f t="shared" si="64"/>
        <v>8.6764620481984185</v>
      </c>
    </row>
    <row r="98" spans="1:19" x14ac:dyDescent="0.25">
      <c r="A98" s="12">
        <v>44461</v>
      </c>
      <c r="B98" s="52">
        <v>7</v>
      </c>
      <c r="C98" s="4">
        <v>208</v>
      </c>
      <c r="D98" s="25" t="s">
        <v>72</v>
      </c>
      <c r="E98" s="23">
        <v>12.77</v>
      </c>
      <c r="F98" s="11">
        <f t="shared" si="61"/>
        <v>1.277E-2</v>
      </c>
      <c r="G98" s="9">
        <v>130</v>
      </c>
      <c r="H98" s="11">
        <v>1E-4</v>
      </c>
      <c r="I98" s="11">
        <f t="shared" si="63"/>
        <v>16601</v>
      </c>
      <c r="J98" s="11">
        <f t="shared" si="62"/>
        <v>1660.1</v>
      </c>
      <c r="K98" s="9" t="s">
        <v>176</v>
      </c>
      <c r="L98" s="9" t="s">
        <v>176</v>
      </c>
      <c r="M98" s="9" t="s">
        <v>176</v>
      </c>
      <c r="N98" s="9" t="s">
        <v>176</v>
      </c>
      <c r="P98" s="11"/>
      <c r="Q98" s="2">
        <v>3</v>
      </c>
      <c r="R98" s="45" t="e">
        <f t="shared" si="64"/>
        <v>#NUM!</v>
      </c>
      <c r="S98" s="9" t="s">
        <v>268</v>
      </c>
    </row>
    <row r="99" spans="1:19" x14ac:dyDescent="0.25">
      <c r="A99" s="12">
        <v>44461</v>
      </c>
      <c r="B99" s="52">
        <v>8</v>
      </c>
      <c r="C99" s="4">
        <v>232</v>
      </c>
      <c r="D99" s="25" t="s">
        <v>73</v>
      </c>
      <c r="E99" s="23">
        <v>33</v>
      </c>
      <c r="F99" s="11">
        <f t="shared" ref="F99" si="65">E99/1000</f>
        <v>3.3000000000000002E-2</v>
      </c>
      <c r="G99" s="9">
        <v>77</v>
      </c>
      <c r="H99" s="11">
        <v>2.0000000000000001E-4</v>
      </c>
      <c r="I99" s="11">
        <f t="shared" ref="I99" si="66">F99*G99/H99</f>
        <v>12704.999999999998</v>
      </c>
      <c r="J99" s="11">
        <f t="shared" ref="J99" si="67">I99/10</f>
        <v>1270.4999999999998</v>
      </c>
      <c r="K99" s="9" t="s">
        <v>176</v>
      </c>
      <c r="L99" s="9" t="s">
        <v>176</v>
      </c>
      <c r="M99" s="9" t="s">
        <v>176</v>
      </c>
      <c r="N99" s="9">
        <f>433+22</f>
        <v>455</v>
      </c>
      <c r="P99" s="11">
        <f>N99/N9</f>
        <v>455000000</v>
      </c>
      <c r="Q99" s="2">
        <v>4.75</v>
      </c>
      <c r="R99" s="45">
        <f t="shared" ref="R99" si="68">LN(P99/J99)/(Q99*LN(2))</f>
        <v>3.884233819864606</v>
      </c>
      <c r="S99" s="9" t="s">
        <v>267</v>
      </c>
    </row>
    <row r="101" spans="1:19" x14ac:dyDescent="0.25">
      <c r="A101" s="12">
        <v>44462</v>
      </c>
      <c r="B101" s="66">
        <v>1</v>
      </c>
      <c r="C101" s="4">
        <v>210.4</v>
      </c>
      <c r="D101" s="25" t="s">
        <v>61</v>
      </c>
      <c r="E101" s="23">
        <v>4.95</v>
      </c>
      <c r="F101" s="11">
        <f>E101/1000</f>
        <v>4.9500000000000004E-3</v>
      </c>
      <c r="G101" s="9">
        <f>33+50</f>
        <v>83</v>
      </c>
      <c r="H101" s="11">
        <v>5.0000000000000004E-6</v>
      </c>
      <c r="I101" s="11">
        <f>F101*G101/H101</f>
        <v>82170</v>
      </c>
      <c r="J101" s="11">
        <f>I101/10</f>
        <v>8217</v>
      </c>
      <c r="K101" s="9" t="s">
        <v>176</v>
      </c>
      <c r="L101" s="9" t="s">
        <v>176</v>
      </c>
      <c r="M101" s="9" t="s">
        <v>176</v>
      </c>
      <c r="N101" s="9">
        <f>44+16</f>
        <v>60</v>
      </c>
      <c r="P101" s="11">
        <f>N101/N9</f>
        <v>60000000</v>
      </c>
      <c r="Q101" s="2">
        <v>0.67</v>
      </c>
      <c r="R101" s="45">
        <f t="shared" ref="R101" si="69">LN(P101/J101)/(Q101*LN(2))</f>
        <v>19.155318079859939</v>
      </c>
      <c r="S101" s="54" t="s">
        <v>273</v>
      </c>
    </row>
    <row r="102" spans="1:19" ht="15.75" x14ac:dyDescent="0.25">
      <c r="A102" s="12">
        <v>44462</v>
      </c>
      <c r="B102" s="66">
        <v>2</v>
      </c>
      <c r="C102" s="62" t="s">
        <v>272</v>
      </c>
      <c r="D102" s="27" t="s">
        <v>71</v>
      </c>
      <c r="E102" s="23">
        <v>0.71</v>
      </c>
      <c r="F102" s="11">
        <f t="shared" ref="F102:F104" si="70">E102/1000</f>
        <v>7.0999999999999991E-4</v>
      </c>
      <c r="G102" s="9">
        <v>48</v>
      </c>
      <c r="H102" s="11">
        <v>4.9999999999999998E-7</v>
      </c>
      <c r="I102" s="11">
        <f>F102*G102/H102</f>
        <v>68160</v>
      </c>
      <c r="J102" s="11">
        <f t="shared" ref="J102:J104" si="71">I102/10</f>
        <v>6816</v>
      </c>
      <c r="K102" s="9" t="s">
        <v>176</v>
      </c>
      <c r="L102" s="9" t="s">
        <v>176</v>
      </c>
      <c r="M102" s="9" t="s">
        <v>176</v>
      </c>
      <c r="N102" s="9">
        <v>89</v>
      </c>
      <c r="P102" s="11">
        <f>N102/N9</f>
        <v>89000000</v>
      </c>
      <c r="Q102" s="2">
        <v>0.67</v>
      </c>
      <c r="R102" s="45">
        <f>LN(P102/J102)/(Q102*LN(2))</f>
        <v>20.406854298604078</v>
      </c>
      <c r="S102" s="54"/>
    </row>
    <row r="103" spans="1:19" x14ac:dyDescent="0.25">
      <c r="A103" s="12">
        <v>44462</v>
      </c>
      <c r="B103" s="66">
        <v>3</v>
      </c>
      <c r="C103" s="63">
        <v>229.4</v>
      </c>
      <c r="D103" s="25" t="s">
        <v>62</v>
      </c>
      <c r="E103" s="23">
        <v>8.4700000000000006</v>
      </c>
      <c r="F103" s="11">
        <f t="shared" si="70"/>
        <v>8.4700000000000001E-3</v>
      </c>
      <c r="G103" s="9">
        <v>95</v>
      </c>
      <c r="H103" s="11">
        <v>1.0000000000000001E-5</v>
      </c>
      <c r="I103" s="11">
        <f t="shared" ref="I103:I104" si="72">F103*G103/H103</f>
        <v>80464.999999999985</v>
      </c>
      <c r="J103" s="11">
        <f t="shared" si="71"/>
        <v>8046.4999999999982</v>
      </c>
      <c r="K103" s="9" t="s">
        <v>176</v>
      </c>
      <c r="L103" s="9">
        <v>105</v>
      </c>
      <c r="M103" s="9">
        <v>64</v>
      </c>
      <c r="N103" s="9">
        <v>7</v>
      </c>
      <c r="P103" s="11">
        <f>SUM(L103,N103,M103)/SUM(L9,M9,N9)</f>
        <v>10999999.999999998</v>
      </c>
      <c r="Q103" s="2">
        <v>1</v>
      </c>
      <c r="R103" s="45">
        <f t="shared" ref="R103:R104" si="73">LN(P103/J103)/(Q103*LN(2))</f>
        <v>10.416854515185689</v>
      </c>
    </row>
    <row r="104" spans="1:19" x14ac:dyDescent="0.25">
      <c r="A104" s="12">
        <v>44462</v>
      </c>
      <c r="B104" s="52" t="s">
        <v>240</v>
      </c>
      <c r="C104" s="4">
        <v>208</v>
      </c>
      <c r="D104" s="25" t="s">
        <v>72</v>
      </c>
      <c r="E104" s="23">
        <v>12.77</v>
      </c>
      <c r="F104" s="11">
        <f t="shared" si="70"/>
        <v>1.277E-2</v>
      </c>
      <c r="H104" s="11"/>
      <c r="I104" s="11" t="e">
        <f t="shared" si="72"/>
        <v>#DIV/0!</v>
      </c>
      <c r="J104" s="11" t="e">
        <f t="shared" si="71"/>
        <v>#DIV/0!</v>
      </c>
      <c r="P104" s="11"/>
      <c r="Q104" s="2">
        <v>3</v>
      </c>
      <c r="R104" s="45" t="e">
        <f t="shared" si="73"/>
        <v>#DIV/0!</v>
      </c>
      <c r="S104" s="9" t="s">
        <v>275</v>
      </c>
    </row>
    <row r="106" spans="1:19" x14ac:dyDescent="0.25">
      <c r="A106" s="12">
        <v>44466</v>
      </c>
      <c r="B106" s="66">
        <v>1</v>
      </c>
      <c r="C106" s="4" t="s">
        <v>271</v>
      </c>
      <c r="D106" s="25" t="s">
        <v>57</v>
      </c>
      <c r="E106" s="23">
        <v>0.77</v>
      </c>
      <c r="F106" s="11">
        <f>E106/1000</f>
        <v>7.7000000000000007E-4</v>
      </c>
      <c r="G106" s="9">
        <v>403</v>
      </c>
      <c r="H106" s="11">
        <v>5.0000000000000004E-6</v>
      </c>
      <c r="I106" s="11">
        <f>F106*G106/H106</f>
        <v>62062</v>
      </c>
      <c r="J106" s="11">
        <f>I106/10</f>
        <v>6206.2</v>
      </c>
      <c r="K106" s="9" t="s">
        <v>176</v>
      </c>
      <c r="L106" s="9" t="s">
        <v>176</v>
      </c>
      <c r="M106" s="9">
        <v>107</v>
      </c>
      <c r="N106" s="9">
        <v>47</v>
      </c>
      <c r="P106" s="11">
        <f>SUM(M106,N106)/SUM(M9,N9)</f>
        <v>25666666.666666664</v>
      </c>
      <c r="Q106" s="2">
        <v>0.67</v>
      </c>
      <c r="R106" s="45">
        <f t="shared" ref="R106" si="74">LN(P106/J106)/(Q106*LN(2))</f>
        <v>17.931191246212556</v>
      </c>
      <c r="S106" s="54"/>
    </row>
    <row r="107" spans="1:19" ht="15.75" x14ac:dyDescent="0.25">
      <c r="A107" s="12">
        <v>44466</v>
      </c>
      <c r="B107" s="66">
        <v>2</v>
      </c>
      <c r="C107" s="62">
        <v>211.3</v>
      </c>
      <c r="D107" s="27" t="s">
        <v>74</v>
      </c>
      <c r="E107" s="23">
        <v>5.29</v>
      </c>
      <c r="F107" s="11">
        <f t="shared" ref="F107:F109" si="75">E107/1000</f>
        <v>5.2900000000000004E-3</v>
      </c>
      <c r="G107" s="9">
        <v>59</v>
      </c>
      <c r="H107" s="11">
        <v>5.0000000000000004E-6</v>
      </c>
      <c r="I107" s="11">
        <f>F107*G107/H107</f>
        <v>62421.999999999993</v>
      </c>
      <c r="J107" s="11">
        <f t="shared" ref="J107:J109" si="76">I107/10</f>
        <v>6242.1999999999989</v>
      </c>
      <c r="K107" s="9" t="s">
        <v>176</v>
      </c>
      <c r="L107" s="9">
        <v>140</v>
      </c>
      <c r="M107" s="9">
        <v>70</v>
      </c>
      <c r="N107" s="9">
        <v>10</v>
      </c>
      <c r="P107" s="11">
        <f>SUM(L107,M107,N107)/SUM(L9,M9,N9)</f>
        <v>13749999.999999998</v>
      </c>
      <c r="Q107" s="2">
        <v>0.67</v>
      </c>
      <c r="R107" s="45">
        <f>LN(P107/J107)/(Q107*LN(2))</f>
        <v>16.574760322776608</v>
      </c>
      <c r="S107" s="54"/>
    </row>
    <row r="108" spans="1:19" x14ac:dyDescent="0.25">
      <c r="A108" s="12">
        <v>44466</v>
      </c>
      <c r="B108" s="66">
        <v>3</v>
      </c>
      <c r="C108" s="63" t="s">
        <v>262</v>
      </c>
      <c r="D108" s="25" t="s">
        <v>29</v>
      </c>
      <c r="E108" s="23">
        <v>48.5</v>
      </c>
      <c r="F108" s="11">
        <f t="shared" si="75"/>
        <v>4.8500000000000001E-2</v>
      </c>
      <c r="G108" s="9">
        <v>42</v>
      </c>
      <c r="H108" s="11">
        <v>5.0000000000000001E-4</v>
      </c>
      <c r="I108" s="11">
        <f t="shared" ref="I108:I109" si="77">F108*G108/H108</f>
        <v>4073.9999999999995</v>
      </c>
      <c r="J108" s="11">
        <f t="shared" si="76"/>
        <v>407.4</v>
      </c>
      <c r="K108" s="9">
        <v>51</v>
      </c>
      <c r="L108" s="9">
        <v>11</v>
      </c>
      <c r="M108" s="9">
        <v>4</v>
      </c>
      <c r="N108" s="9">
        <v>1</v>
      </c>
      <c r="P108" s="11">
        <f>SUM(K108,L108,M108,N108)/SUM(K9,L9,M9,N9)</f>
        <v>1015151.515151515</v>
      </c>
      <c r="Q108" s="2">
        <v>0.75</v>
      </c>
      <c r="R108" s="45">
        <f t="shared" ref="R108:R110" si="78">LN(P108/J108)/(Q108*LN(2))</f>
        <v>15.043948627126625</v>
      </c>
    </row>
    <row r="109" spans="1:19" x14ac:dyDescent="0.25">
      <c r="A109" s="12">
        <v>44466</v>
      </c>
      <c r="B109" s="52">
        <v>4</v>
      </c>
      <c r="C109" s="63">
        <v>230.1</v>
      </c>
      <c r="D109" s="25" t="s">
        <v>75</v>
      </c>
      <c r="E109" s="23">
        <v>5.05</v>
      </c>
      <c r="F109" s="11">
        <f t="shared" si="75"/>
        <v>5.0499999999999998E-3</v>
      </c>
      <c r="G109" s="9">
        <v>58</v>
      </c>
      <c r="H109" s="11">
        <v>5.0000000000000004E-6</v>
      </c>
      <c r="I109" s="11">
        <f t="shared" si="77"/>
        <v>58579.999999999993</v>
      </c>
      <c r="J109" s="11">
        <f t="shared" si="76"/>
        <v>5857.9999999999991</v>
      </c>
      <c r="K109" s="9" t="s">
        <v>176</v>
      </c>
      <c r="L109" s="9">
        <f>9+260</f>
        <v>269</v>
      </c>
      <c r="M109" s="9">
        <f>144+3</f>
        <v>147</v>
      </c>
      <c r="N109" s="9">
        <f>1+29</f>
        <v>30</v>
      </c>
      <c r="P109" s="11">
        <f>SUM(L109,M109,N109)/SUM(L9,M9,N9)</f>
        <v>27874999.999999996</v>
      </c>
      <c r="Q109" s="2">
        <v>1.25</v>
      </c>
      <c r="R109" s="45">
        <f t="shared" si="78"/>
        <v>9.7730207930920887</v>
      </c>
      <c r="S109" s="9" t="s">
        <v>270</v>
      </c>
    </row>
    <row r="110" spans="1:19" x14ac:dyDescent="0.25">
      <c r="A110" s="12">
        <v>44466</v>
      </c>
      <c r="B110" s="66">
        <v>5</v>
      </c>
      <c r="C110" s="62" t="s">
        <v>30</v>
      </c>
      <c r="D110" s="25" t="s">
        <v>31</v>
      </c>
      <c r="E110" s="23">
        <v>69</v>
      </c>
      <c r="F110" s="11">
        <f>E110/1000</f>
        <v>6.9000000000000006E-2</v>
      </c>
      <c r="G110" s="9">
        <v>62</v>
      </c>
      <c r="H110" s="11">
        <v>6.9999999999999994E-5</v>
      </c>
      <c r="I110" s="11">
        <f>F110*G110/H110</f>
        <v>61114.285714285725</v>
      </c>
      <c r="J110" s="11">
        <f>I110/10</f>
        <v>6111.4285714285725</v>
      </c>
      <c r="K110" s="9" t="s">
        <v>176</v>
      </c>
      <c r="L110" s="9" t="s">
        <v>176</v>
      </c>
      <c r="M110" s="9" t="s">
        <v>176</v>
      </c>
      <c r="N110" s="9">
        <f>297+58</f>
        <v>355</v>
      </c>
      <c r="P110" s="11">
        <f>N110/N9</f>
        <v>355000000</v>
      </c>
      <c r="Q110" s="2">
        <v>1.5</v>
      </c>
      <c r="R110" s="45">
        <f t="shared" si="78"/>
        <v>10.550633229147612</v>
      </c>
      <c r="S110" s="54" t="s">
        <v>270</v>
      </c>
    </row>
    <row r="111" spans="1:19" ht="15.75" x14ac:dyDescent="0.25">
      <c r="A111" s="12">
        <v>44466</v>
      </c>
      <c r="B111" s="66">
        <v>6</v>
      </c>
      <c r="C111" s="63" t="s">
        <v>264</v>
      </c>
      <c r="D111" s="27" t="s">
        <v>21</v>
      </c>
      <c r="E111" s="23">
        <v>43.9</v>
      </c>
      <c r="F111" s="11">
        <f t="shared" ref="F111:F112" si="79">E111/1000</f>
        <v>4.3900000000000002E-2</v>
      </c>
      <c r="G111" s="9">
        <v>32</v>
      </c>
      <c r="H111" s="11">
        <v>5.0000000000000001E-4</v>
      </c>
      <c r="I111" s="11">
        <f>F111*G111/H111</f>
        <v>2809.6</v>
      </c>
      <c r="J111" s="11">
        <f t="shared" ref="J111:J112" si="80">I111/10</f>
        <v>280.95999999999998</v>
      </c>
      <c r="K111" s="9" t="s">
        <v>176</v>
      </c>
      <c r="L111" s="9">
        <v>102</v>
      </c>
      <c r="M111" s="9">
        <v>45</v>
      </c>
      <c r="N111" s="9">
        <v>14</v>
      </c>
      <c r="P111" s="11">
        <f>SUM(L111,M111,N111)/SUM(L9,M9,N9)</f>
        <v>10062499.999999998</v>
      </c>
      <c r="Q111" s="2">
        <v>1.5</v>
      </c>
      <c r="R111" s="45">
        <f>LN(P111/J111)/(Q111*LN(2))</f>
        <v>10.085509671785438</v>
      </c>
      <c r="S111" s="54"/>
    </row>
    <row r="112" spans="1:19" x14ac:dyDescent="0.25">
      <c r="A112" s="12">
        <v>44466</v>
      </c>
      <c r="B112" s="52" t="s">
        <v>240</v>
      </c>
      <c r="C112" s="4" t="s">
        <v>277</v>
      </c>
      <c r="D112" s="25" t="s">
        <v>72</v>
      </c>
      <c r="E112" s="23">
        <v>12.77</v>
      </c>
      <c r="F112" s="11">
        <f t="shared" si="79"/>
        <v>1.277E-2</v>
      </c>
      <c r="G112" s="9">
        <v>130</v>
      </c>
      <c r="H112" s="11">
        <v>1E-4</v>
      </c>
      <c r="I112" s="11">
        <f t="shared" ref="I112" si="81">F112*G112/H112</f>
        <v>16601</v>
      </c>
      <c r="J112" s="11">
        <f t="shared" si="80"/>
        <v>1660.1</v>
      </c>
      <c r="P112" s="11">
        <f>35/(0.00000001)</f>
        <v>3500000000</v>
      </c>
      <c r="Q112" s="2">
        <v>3</v>
      </c>
      <c r="R112" s="45">
        <f t="shared" ref="R112" si="82">LN(P112/J112)/(Q112*LN(2))</f>
        <v>7.002551114362471</v>
      </c>
      <c r="S112" s="9" t="s">
        <v>276</v>
      </c>
    </row>
    <row r="114" spans="1:19" x14ac:dyDescent="0.25">
      <c r="A114" s="12">
        <v>44468</v>
      </c>
      <c r="B114" s="66">
        <v>1</v>
      </c>
      <c r="C114" s="4" t="s">
        <v>284</v>
      </c>
      <c r="D114" s="25" t="s">
        <v>29</v>
      </c>
      <c r="E114" s="55">
        <v>98</v>
      </c>
      <c r="F114" s="11">
        <f>E114/1000</f>
        <v>9.8000000000000004E-2</v>
      </c>
      <c r="G114" s="9">
        <v>51</v>
      </c>
      <c r="H114" s="11">
        <v>1E-4</v>
      </c>
      <c r="I114" s="11">
        <f>F114*G114/H114</f>
        <v>49980</v>
      </c>
      <c r="J114" s="11">
        <f>I114/10</f>
        <v>4998</v>
      </c>
      <c r="K114" s="9">
        <v>153</v>
      </c>
      <c r="L114" s="9">
        <v>36</v>
      </c>
      <c r="M114" s="9">
        <v>21</v>
      </c>
      <c r="N114" s="9">
        <v>3</v>
      </c>
      <c r="P114" s="11">
        <f>SUM(K114,M114,N114,L114)/SUM(K9,L9,M9,N9)</f>
        <v>3227272.7272727271</v>
      </c>
      <c r="Q114" s="2">
        <v>0.67</v>
      </c>
      <c r="R114" s="45">
        <f t="shared" ref="R114" si="83">LN(P114/J114)/(Q114*LN(2))</f>
        <v>13.932461021052022</v>
      </c>
      <c r="S114" s="54"/>
    </row>
    <row r="115" spans="1:19" ht="15.75" x14ac:dyDescent="0.25">
      <c r="A115" s="12">
        <v>44468</v>
      </c>
      <c r="B115" s="66">
        <v>2</v>
      </c>
      <c r="C115" s="62" t="s">
        <v>285</v>
      </c>
      <c r="D115" s="27" t="s">
        <v>57</v>
      </c>
      <c r="E115" s="2">
        <v>3.89</v>
      </c>
      <c r="F115" s="11">
        <f t="shared" ref="F115:F117" si="84">E115/1000</f>
        <v>3.8900000000000002E-3</v>
      </c>
      <c r="G115" s="9">
        <v>418</v>
      </c>
      <c r="H115" s="11">
        <v>5.0000000000000004E-6</v>
      </c>
      <c r="I115" s="11">
        <f>F115*G115/H115</f>
        <v>325204</v>
      </c>
      <c r="J115" s="11">
        <f t="shared" ref="J115:J117" si="85">I115/10</f>
        <v>32520.400000000001</v>
      </c>
      <c r="K115" s="9" t="s">
        <v>176</v>
      </c>
      <c r="L115" s="9" t="s">
        <v>176</v>
      </c>
      <c r="M115" s="9" t="s">
        <v>176</v>
      </c>
      <c r="N115" s="9">
        <v>399</v>
      </c>
      <c r="P115" s="11">
        <f>N115/N9</f>
        <v>399000000</v>
      </c>
      <c r="Q115" s="2">
        <v>0.67</v>
      </c>
      <c r="R115" s="45">
        <f>LN(P115/J115)/(Q115*LN(2))</f>
        <v>20.272770333383292</v>
      </c>
      <c r="S115" s="54"/>
    </row>
    <row r="116" spans="1:19" x14ac:dyDescent="0.25">
      <c r="A116" s="12">
        <v>44468</v>
      </c>
      <c r="B116" s="66">
        <v>3</v>
      </c>
      <c r="C116" s="63">
        <v>211.4</v>
      </c>
      <c r="D116" s="25" t="s">
        <v>74</v>
      </c>
      <c r="E116" s="23">
        <v>7.25</v>
      </c>
      <c r="F116" s="11">
        <f t="shared" si="84"/>
        <v>7.2500000000000004E-3</v>
      </c>
      <c r="G116" s="9">
        <v>127</v>
      </c>
      <c r="H116" s="11">
        <v>1.0000000000000001E-5</v>
      </c>
      <c r="I116" s="11">
        <f t="shared" ref="I116:I117" si="86">F116*G116/H116</f>
        <v>92075</v>
      </c>
      <c r="J116" s="11">
        <f t="shared" si="85"/>
        <v>9207.5</v>
      </c>
      <c r="K116" s="9" t="s">
        <v>176</v>
      </c>
      <c r="L116" s="9">
        <v>67</v>
      </c>
      <c r="M116" s="9">
        <v>36</v>
      </c>
      <c r="N116" s="9">
        <v>3</v>
      </c>
      <c r="P116" s="11">
        <f>SUM(L116,M116,N116)/SUM(L9,M9,N9)</f>
        <v>6624999.9999999991</v>
      </c>
      <c r="Q116" s="2">
        <v>0.67</v>
      </c>
      <c r="R116" s="45">
        <f t="shared" ref="R116:R118" si="87">LN(P116/J116)/(Q116*LN(2))</f>
        <v>14.165515294179512</v>
      </c>
    </row>
    <row r="117" spans="1:19" x14ac:dyDescent="0.25">
      <c r="A117" s="12">
        <v>44468</v>
      </c>
      <c r="B117" s="52">
        <v>4</v>
      </c>
      <c r="C117" s="63" t="s">
        <v>282</v>
      </c>
      <c r="D117" s="25" t="s">
        <v>21</v>
      </c>
      <c r="E117" s="23">
        <v>9.9</v>
      </c>
      <c r="F117" s="11">
        <f t="shared" si="84"/>
        <v>9.9000000000000008E-3</v>
      </c>
      <c r="H117" s="11"/>
      <c r="I117" s="11" t="e">
        <f t="shared" si="86"/>
        <v>#DIV/0!</v>
      </c>
      <c r="J117" s="11" t="e">
        <f t="shared" si="85"/>
        <v>#DIV/0!</v>
      </c>
      <c r="P117" s="11"/>
      <c r="Q117" s="2">
        <v>1</v>
      </c>
      <c r="R117" s="45" t="e">
        <f t="shared" si="87"/>
        <v>#DIV/0!</v>
      </c>
      <c r="S117" s="9" t="s">
        <v>286</v>
      </c>
    </row>
    <row r="118" spans="1:19" x14ac:dyDescent="0.25">
      <c r="A118" s="12">
        <v>44468</v>
      </c>
      <c r="B118" s="66">
        <v>5</v>
      </c>
      <c r="C118" s="62" t="s">
        <v>283</v>
      </c>
      <c r="D118" s="25" t="s">
        <v>31</v>
      </c>
      <c r="E118" s="23">
        <v>0.28199999999999997</v>
      </c>
      <c r="F118" s="11">
        <f>E118/1000</f>
        <v>2.8199999999999997E-4</v>
      </c>
      <c r="G118" s="9">
        <f>22+172</f>
        <v>194</v>
      </c>
      <c r="H118" s="11">
        <v>4.9999999999999998E-7</v>
      </c>
      <c r="I118" s="11">
        <f>F118*G118/H118</f>
        <v>109415.99999999999</v>
      </c>
      <c r="J118" s="11">
        <f>I118/10</f>
        <v>10941.599999999999</v>
      </c>
      <c r="K118" s="9" t="s">
        <v>176</v>
      </c>
      <c r="L118" s="9" t="s">
        <v>176</v>
      </c>
      <c r="M118" s="9" t="s">
        <v>176</v>
      </c>
      <c r="N118" s="9" t="s">
        <v>176</v>
      </c>
      <c r="P118" s="11"/>
      <c r="Q118" s="2">
        <v>1</v>
      </c>
      <c r="R118" s="45" t="e">
        <f t="shared" si="87"/>
        <v>#NUM!</v>
      </c>
      <c r="S118" s="54" t="s">
        <v>287</v>
      </c>
    </row>
    <row r="119" spans="1:19" ht="15.75" x14ac:dyDescent="0.25">
      <c r="A119" s="12">
        <v>44468</v>
      </c>
      <c r="B119" s="66">
        <v>6</v>
      </c>
      <c r="C119" s="63">
        <v>230.2</v>
      </c>
      <c r="D119" s="27" t="s">
        <v>75</v>
      </c>
      <c r="E119" s="23">
        <v>3.58</v>
      </c>
      <c r="F119" s="11">
        <f t="shared" ref="F119:F120" si="88">E119/1000</f>
        <v>3.5800000000000003E-3</v>
      </c>
      <c r="G119" s="9">
        <f>3+146</f>
        <v>149</v>
      </c>
      <c r="H119" s="11">
        <v>5.0000000000000004E-6</v>
      </c>
      <c r="I119" s="11">
        <f>F119*G119/H119</f>
        <v>106683.99999999999</v>
      </c>
      <c r="J119" s="11">
        <f t="shared" ref="J119:J120" si="89">I119/10</f>
        <v>10668.399999999998</v>
      </c>
      <c r="K119" s="9">
        <f>121+38</f>
        <v>159</v>
      </c>
      <c r="L119" s="9">
        <f>7+26</f>
        <v>33</v>
      </c>
      <c r="M119" s="9">
        <f>4+15</f>
        <v>19</v>
      </c>
      <c r="N119" s="9">
        <f>1</f>
        <v>1</v>
      </c>
      <c r="P119" s="11">
        <f>SUM(K119,L119,N119,M119)/SUM(K9,L9,M9,N9)</f>
        <v>3212121.2121212119</v>
      </c>
      <c r="Q119" s="2">
        <v>1</v>
      </c>
      <c r="R119" s="45">
        <f>LN(P119/J119)/(Q119*LN(2))</f>
        <v>8.2340387016898635</v>
      </c>
      <c r="S119" s="54" t="s">
        <v>273</v>
      </c>
    </row>
    <row r="120" spans="1:19" x14ac:dyDescent="0.25">
      <c r="A120" s="12">
        <v>44468</v>
      </c>
      <c r="B120" s="52">
        <v>7</v>
      </c>
      <c r="C120" s="62">
        <v>208.1</v>
      </c>
      <c r="D120" s="25" t="s">
        <v>72</v>
      </c>
      <c r="E120" s="23">
        <v>2.86E-2</v>
      </c>
      <c r="F120" s="11">
        <f t="shared" si="88"/>
        <v>2.8600000000000001E-5</v>
      </c>
      <c r="G120" s="9">
        <f>72+5</f>
        <v>77</v>
      </c>
      <c r="H120" s="11">
        <v>2.9999999999999997E-8</v>
      </c>
      <c r="I120" s="11">
        <f t="shared" ref="I120" si="90">F120*G120/H120</f>
        <v>73406.666666666672</v>
      </c>
      <c r="J120" s="11">
        <f t="shared" si="89"/>
        <v>7340.666666666667</v>
      </c>
      <c r="K120" s="9" t="s">
        <v>176</v>
      </c>
      <c r="L120" s="9" t="s">
        <v>176</v>
      </c>
      <c r="M120" s="9" t="s">
        <v>176</v>
      </c>
      <c r="N120" s="9" t="s">
        <v>176</v>
      </c>
      <c r="P120" s="11"/>
      <c r="Q120" s="2">
        <v>1.5</v>
      </c>
      <c r="R120" s="45" t="e">
        <f t="shared" ref="R120" si="91">LN(P120/J120)/(Q120*LN(2))</f>
        <v>#NUM!</v>
      </c>
      <c r="S120" s="9" t="s">
        <v>288</v>
      </c>
    </row>
    <row r="121" spans="1:19" x14ac:dyDescent="0.25">
      <c r="A121" s="12">
        <v>44468</v>
      </c>
      <c r="B121" s="52">
        <v>8</v>
      </c>
      <c r="C121" s="63">
        <v>232.1</v>
      </c>
      <c r="D121" s="25" t="s">
        <v>73</v>
      </c>
      <c r="E121" s="23">
        <v>0.22</v>
      </c>
      <c r="F121" s="11">
        <f t="shared" ref="F121" si="92">E121/1000</f>
        <v>2.2000000000000001E-4</v>
      </c>
      <c r="G121" s="9">
        <f>6+89</f>
        <v>95</v>
      </c>
      <c r="H121" s="11">
        <v>4.9999999999999998E-7</v>
      </c>
      <c r="I121" s="11">
        <f t="shared" ref="I121" si="93">F121*G121/H121</f>
        <v>41800.000000000007</v>
      </c>
      <c r="J121" s="11">
        <f t="shared" ref="J121" si="94">I121/10</f>
        <v>4180.0000000000009</v>
      </c>
      <c r="K121" s="9" t="s">
        <v>176</v>
      </c>
      <c r="L121" s="9" t="s">
        <v>176</v>
      </c>
      <c r="M121" s="9">
        <f>116+13</f>
        <v>129</v>
      </c>
      <c r="N121" s="9">
        <f>12+27</f>
        <v>39</v>
      </c>
      <c r="P121" s="11">
        <f>SUM(M121,N121)/SUM(M9,N9)</f>
        <v>28000000</v>
      </c>
      <c r="Q121" s="2">
        <v>2.5</v>
      </c>
      <c r="R121" s="45">
        <f t="shared" ref="R121" si="95">LN(P121/J121)/(Q121*LN(2))</f>
        <v>5.0838545057654132</v>
      </c>
      <c r="S121" s="9" t="s">
        <v>273</v>
      </c>
    </row>
    <row r="123" spans="1:19" x14ac:dyDescent="0.25">
      <c r="A123" s="12">
        <v>44469</v>
      </c>
      <c r="B123" s="66">
        <v>1</v>
      </c>
      <c r="C123" s="4" t="s">
        <v>289</v>
      </c>
      <c r="D123" s="25" t="s">
        <v>29</v>
      </c>
      <c r="E123" s="55">
        <v>31</v>
      </c>
      <c r="F123" s="11">
        <f>E123/1000</f>
        <v>3.1E-2</v>
      </c>
      <c r="G123" s="9">
        <v>282</v>
      </c>
      <c r="H123" s="11">
        <v>5.0000000000000002E-5</v>
      </c>
      <c r="I123" s="11">
        <f>F123*G123/H123</f>
        <v>174839.99999999997</v>
      </c>
      <c r="J123" s="11">
        <f>I123/10</f>
        <v>17483.999999999996</v>
      </c>
      <c r="K123" s="9" t="s">
        <v>176</v>
      </c>
      <c r="L123" s="9">
        <v>119</v>
      </c>
      <c r="M123" s="9">
        <v>62</v>
      </c>
      <c r="N123" s="9">
        <v>7</v>
      </c>
      <c r="P123" s="11">
        <f>SUM(L123,M123,N123)/SUM(L9,M9,N9)</f>
        <v>11749999.999999998</v>
      </c>
      <c r="Q123" s="2">
        <v>0.67</v>
      </c>
      <c r="R123" s="45">
        <f t="shared" ref="R123" si="96">LN(P123/J123)/(Q123*LN(2))</f>
        <v>14.01852202718827</v>
      </c>
      <c r="S123" s="54"/>
    </row>
    <row r="124" spans="1:19" ht="15.75" x14ac:dyDescent="0.25">
      <c r="A124" s="12">
        <v>44469</v>
      </c>
      <c r="B124" s="66">
        <v>2</v>
      </c>
      <c r="C124" s="62" t="s">
        <v>290</v>
      </c>
      <c r="D124" s="27" t="s">
        <v>57</v>
      </c>
      <c r="E124" s="2">
        <v>0.251</v>
      </c>
      <c r="F124" s="11">
        <f t="shared" ref="F124:F126" si="97">E124/1000</f>
        <v>2.5099999999999998E-4</v>
      </c>
      <c r="G124" s="9">
        <v>141</v>
      </c>
      <c r="H124" s="11">
        <v>4.9999999999999998E-7</v>
      </c>
      <c r="I124" s="11">
        <f>F124*G124/H124</f>
        <v>70782</v>
      </c>
      <c r="J124" s="11">
        <f t="shared" ref="J124:J126" si="98">I124/10</f>
        <v>7078.2</v>
      </c>
      <c r="K124" s="9" t="s">
        <v>176</v>
      </c>
      <c r="L124" s="9" t="s">
        <v>176</v>
      </c>
      <c r="M124" s="9">
        <v>48</v>
      </c>
      <c r="N124" s="9">
        <v>29</v>
      </c>
      <c r="P124" s="11">
        <f>SUM(M124,N124)/SUM(M9,N9)</f>
        <v>12833333.333333332</v>
      </c>
      <c r="Q124" s="2">
        <v>0.67</v>
      </c>
      <c r="R124" s="45">
        <f>LN(P124/J124)/(Q124*LN(2))</f>
        <v>16.155560892292112</v>
      </c>
      <c r="S124" s="54"/>
    </row>
    <row r="125" spans="1:19" x14ac:dyDescent="0.25">
      <c r="A125" s="12">
        <v>44469</v>
      </c>
      <c r="B125" s="66">
        <v>3</v>
      </c>
      <c r="C125" s="63">
        <v>230.3</v>
      </c>
      <c r="D125" s="25" t="s">
        <v>75</v>
      </c>
      <c r="E125" s="23">
        <v>31.15</v>
      </c>
      <c r="F125" s="11">
        <f t="shared" si="97"/>
        <v>3.1149999999999997E-2</v>
      </c>
      <c r="G125" s="9">
        <f>36+104</f>
        <v>140</v>
      </c>
      <c r="H125" s="11">
        <v>5.0000000000000002E-5</v>
      </c>
      <c r="I125" s="11">
        <f t="shared" ref="I125" si="99">F125*G125/H125</f>
        <v>87219.999999999985</v>
      </c>
      <c r="J125" s="11">
        <f t="shared" si="98"/>
        <v>8721.9999999999982</v>
      </c>
      <c r="K125" s="9" t="s">
        <v>176</v>
      </c>
      <c r="L125" s="9" t="s">
        <v>176</v>
      </c>
      <c r="M125" s="9" t="s">
        <v>176</v>
      </c>
      <c r="N125" s="9">
        <f>15+151</f>
        <v>166</v>
      </c>
      <c r="P125" s="11">
        <f>N125/N9</f>
        <v>166000000</v>
      </c>
      <c r="Q125" s="2">
        <v>1.25</v>
      </c>
      <c r="R125" s="45">
        <f t="shared" ref="R125:R127" si="100">LN(P125/J125)/(Q125*LN(2))</f>
        <v>11.372931780471594</v>
      </c>
      <c r="S125" s="54" t="s">
        <v>292</v>
      </c>
    </row>
    <row r="126" spans="1:19" x14ac:dyDescent="0.25">
      <c r="A126" s="12">
        <v>44469</v>
      </c>
      <c r="B126" s="52">
        <v>4</v>
      </c>
      <c r="C126" s="63" t="s">
        <v>263</v>
      </c>
      <c r="D126" s="25" t="s">
        <v>33</v>
      </c>
      <c r="E126" s="23">
        <v>156.30000000000001</v>
      </c>
      <c r="F126" s="11">
        <f t="shared" si="97"/>
        <v>0.15630000000000002</v>
      </c>
      <c r="G126" s="9">
        <v>39</v>
      </c>
      <c r="H126" s="11">
        <v>2E-3</v>
      </c>
      <c r="I126" s="11">
        <f>F126*G126/H126</f>
        <v>3047.8500000000004</v>
      </c>
      <c r="J126" s="11">
        <f t="shared" si="98"/>
        <v>304.78500000000003</v>
      </c>
      <c r="K126" s="9" t="s">
        <v>176</v>
      </c>
      <c r="L126" s="9">
        <v>78</v>
      </c>
      <c r="M126" s="9">
        <v>38</v>
      </c>
      <c r="N126" s="9">
        <v>10</v>
      </c>
      <c r="P126" s="11">
        <f>SUM(L126,M126,N126)/SUM(L9,M9,N9)</f>
        <v>7874999.9999999991</v>
      </c>
      <c r="Q126" s="2">
        <v>1.75</v>
      </c>
      <c r="R126" s="45">
        <f t="shared" si="100"/>
        <v>8.375543086135373</v>
      </c>
    </row>
    <row r="127" spans="1:19" x14ac:dyDescent="0.25">
      <c r="A127" s="12">
        <v>44469</v>
      </c>
      <c r="B127" s="66">
        <v>5</v>
      </c>
      <c r="C127" s="62">
        <v>232.2</v>
      </c>
      <c r="D127" s="25" t="s">
        <v>73</v>
      </c>
      <c r="E127" s="23">
        <v>3.57</v>
      </c>
      <c r="F127" s="11">
        <f>E127/1000</f>
        <v>3.5699999999999998E-3</v>
      </c>
      <c r="G127" s="9">
        <f>60+236</f>
        <v>296</v>
      </c>
      <c r="H127" s="11">
        <v>5.0000000000000004E-6</v>
      </c>
      <c r="I127" s="11">
        <f>F127*G127/H127</f>
        <v>211343.99999999997</v>
      </c>
      <c r="J127" s="11">
        <f>I127/10</f>
        <v>21134.399999999998</v>
      </c>
      <c r="K127" s="9" t="s">
        <v>176</v>
      </c>
      <c r="L127" s="9" t="s">
        <v>176</v>
      </c>
      <c r="M127" s="9" t="s">
        <v>176</v>
      </c>
      <c r="N127" s="9">
        <f>65+87</f>
        <v>152</v>
      </c>
      <c r="P127" s="11">
        <f>N127/N9</f>
        <v>152000000</v>
      </c>
      <c r="Q127" s="2">
        <v>2</v>
      </c>
      <c r="R127" s="45">
        <f t="shared" si="100"/>
        <v>6.4060952739985364</v>
      </c>
      <c r="S127" s="54" t="s">
        <v>292</v>
      </c>
    </row>
    <row r="128" spans="1:19" x14ac:dyDescent="0.25">
      <c r="A128" s="12">
        <v>44469</v>
      </c>
      <c r="B128" s="66" t="s">
        <v>240</v>
      </c>
      <c r="C128" s="63" t="s">
        <v>282</v>
      </c>
      <c r="D128" s="25" t="s">
        <v>21</v>
      </c>
      <c r="E128" s="23">
        <v>9.9</v>
      </c>
      <c r="F128" s="11">
        <f t="shared" ref="F128:F130" si="101">E128/1000</f>
        <v>9.9000000000000008E-3</v>
      </c>
      <c r="G128" s="9">
        <v>105</v>
      </c>
      <c r="H128" s="11">
        <v>1.0000000000000001E-5</v>
      </c>
      <c r="I128" s="11">
        <f>F128*G128/H128</f>
        <v>103950</v>
      </c>
      <c r="J128" s="11">
        <f t="shared" ref="J128:J130" si="102">I128/10</f>
        <v>10395</v>
      </c>
      <c r="K128" s="9">
        <v>98</v>
      </c>
      <c r="L128" s="9">
        <v>12</v>
      </c>
      <c r="M128" s="9">
        <v>7</v>
      </c>
      <c r="N128" s="9">
        <v>3</v>
      </c>
      <c r="P128" s="11">
        <f>SUM(K128,L128,M128,N128)/SUM(K9,L9,M9,N9)</f>
        <v>1818181.8181818181</v>
      </c>
      <c r="Q128" s="2">
        <v>1</v>
      </c>
      <c r="R128" s="45">
        <f>LN(P128/J128)/(Q128*LN(2))</f>
        <v>7.4504629078285074</v>
      </c>
      <c r="S128" s="54"/>
    </row>
    <row r="129" spans="1:19" x14ac:dyDescent="0.25">
      <c r="A129" s="12">
        <v>44469</v>
      </c>
      <c r="B129" s="52" t="s">
        <v>240</v>
      </c>
      <c r="C129" s="62" t="s">
        <v>283</v>
      </c>
      <c r="D129" s="25" t="s">
        <v>31</v>
      </c>
      <c r="E129" s="23">
        <v>0.28199999999999997</v>
      </c>
      <c r="F129" s="11">
        <f t="shared" si="101"/>
        <v>2.8199999999999997E-4</v>
      </c>
      <c r="G129" s="9">
        <f>174+26</f>
        <v>200</v>
      </c>
      <c r="H129" s="11">
        <v>4.9999999999999998E-7</v>
      </c>
      <c r="I129" s="11">
        <f t="shared" ref="I129:I130" si="103">F129*G129/H129</f>
        <v>112799.99999999999</v>
      </c>
      <c r="J129" s="11">
        <f t="shared" si="102"/>
        <v>11279.999999999998</v>
      </c>
      <c r="P129" s="11">
        <f>(11+132+25)/SUM(0.00000005, 0.00000001)</f>
        <v>2800000000.0000005</v>
      </c>
      <c r="Q129" s="2">
        <v>1</v>
      </c>
      <c r="R129" s="45">
        <f t="shared" ref="R129:R130" si="104">LN(P129/J129)/(Q129*LN(2))</f>
        <v>17.921300233870348</v>
      </c>
      <c r="S129" s="9" t="s">
        <v>291</v>
      </c>
    </row>
    <row r="130" spans="1:19" x14ac:dyDescent="0.25">
      <c r="A130" s="12">
        <v>44469</v>
      </c>
      <c r="B130" s="52" t="s">
        <v>240</v>
      </c>
      <c r="C130" s="62">
        <v>208.1</v>
      </c>
      <c r="D130" s="25" t="s">
        <v>72</v>
      </c>
      <c r="E130" s="23">
        <v>2.86E-2</v>
      </c>
      <c r="F130" s="11">
        <f t="shared" si="101"/>
        <v>2.8600000000000001E-5</v>
      </c>
      <c r="G130" s="9">
        <f>11+44</f>
        <v>55</v>
      </c>
      <c r="H130" s="11">
        <v>2.9999999999999997E-8</v>
      </c>
      <c r="I130" s="11">
        <f t="shared" si="103"/>
        <v>52433.333333333336</v>
      </c>
      <c r="J130" s="11">
        <f t="shared" si="102"/>
        <v>5243.3333333333339</v>
      </c>
      <c r="P130" s="11">
        <f>(143+32)/SUM(0.00000005, 0.00000001)</f>
        <v>2916666666.666667</v>
      </c>
      <c r="Q130" s="2">
        <v>1.5</v>
      </c>
      <c r="R130" s="45">
        <f t="shared" si="104"/>
        <v>12.723603213752119</v>
      </c>
      <c r="S130" s="9" t="s">
        <v>293</v>
      </c>
    </row>
    <row r="132" spans="1:19" x14ac:dyDescent="0.25">
      <c r="A132" s="12">
        <v>44475</v>
      </c>
      <c r="B132" s="66">
        <v>1</v>
      </c>
      <c r="C132" s="63" t="s">
        <v>297</v>
      </c>
      <c r="D132" s="25" t="s">
        <v>29</v>
      </c>
      <c r="E132" s="55">
        <v>8.4700000000000006</v>
      </c>
      <c r="F132" s="11">
        <f>E132/1000</f>
        <v>8.4700000000000001E-3</v>
      </c>
      <c r="G132" s="9">
        <v>59</v>
      </c>
      <c r="H132" s="11">
        <v>1.0000000000000001E-5</v>
      </c>
      <c r="I132" s="11">
        <f>F132*G132/H132</f>
        <v>49973</v>
      </c>
      <c r="J132" s="11">
        <f>I132/10</f>
        <v>4997.3</v>
      </c>
      <c r="K132" s="9" t="s">
        <v>176</v>
      </c>
      <c r="L132" s="9">
        <v>58</v>
      </c>
      <c r="M132" s="9">
        <v>29</v>
      </c>
      <c r="N132" s="9">
        <v>4</v>
      </c>
      <c r="P132" s="11">
        <f>SUM(L132,M132,N132)/SUM(L9,M9,N9)</f>
        <v>5687499.9999999991</v>
      </c>
      <c r="Q132" s="2">
        <v>0.67</v>
      </c>
      <c r="R132" s="45">
        <f t="shared" ref="R132" si="105">LN(P132/J132)/(Q132*LN(2))</f>
        <v>15.152880739874911</v>
      </c>
      <c r="S132" s="54"/>
    </row>
    <row r="133" spans="1:19" ht="15.75" x14ac:dyDescent="0.25">
      <c r="A133" s="12">
        <v>44475</v>
      </c>
      <c r="B133" s="66">
        <v>2</v>
      </c>
      <c r="C133" s="63" t="s">
        <v>294</v>
      </c>
      <c r="D133" s="27" t="s">
        <v>31</v>
      </c>
      <c r="E133" s="23">
        <v>3.5999999999999997E-2</v>
      </c>
      <c r="F133" s="11">
        <f t="shared" ref="F133:F135" si="106">E133/1000</f>
        <v>3.5999999999999994E-5</v>
      </c>
      <c r="G133" s="9">
        <v>97</v>
      </c>
      <c r="H133" s="11">
        <v>4.9999999999999998E-8</v>
      </c>
      <c r="I133" s="11">
        <f>F133*G133/H133</f>
        <v>69839.999999999985</v>
      </c>
      <c r="J133" s="11">
        <f t="shared" ref="J133:J135" si="107">I133/10</f>
        <v>6983.9999999999982</v>
      </c>
      <c r="K133" s="9" t="s">
        <v>176</v>
      </c>
      <c r="L133" s="9" t="s">
        <v>176</v>
      </c>
      <c r="M133" s="9" t="s">
        <v>176</v>
      </c>
      <c r="N133" s="9">
        <v>104</v>
      </c>
      <c r="P133" s="11">
        <f>N133/N9</f>
        <v>104000000</v>
      </c>
      <c r="Q133" s="2">
        <v>0.67</v>
      </c>
      <c r="R133" s="45">
        <f>LN(P133/J133)/(Q133*LN(2))</f>
        <v>20.689806632590784</v>
      </c>
      <c r="S133" s="54" t="s">
        <v>313</v>
      </c>
    </row>
    <row r="134" spans="1:19" x14ac:dyDescent="0.25">
      <c r="A134" s="12">
        <v>44475</v>
      </c>
      <c r="B134" s="66">
        <v>3</v>
      </c>
      <c r="C134" s="63" t="s">
        <v>296</v>
      </c>
      <c r="D134" s="25" t="s">
        <v>21</v>
      </c>
      <c r="E134" s="23">
        <v>53.8</v>
      </c>
      <c r="F134" s="11">
        <f t="shared" si="106"/>
        <v>5.3800000000000001E-2</v>
      </c>
      <c r="G134" s="9">
        <v>70</v>
      </c>
      <c r="H134" s="11">
        <v>5.0000000000000002E-5</v>
      </c>
      <c r="I134" s="11">
        <f t="shared" ref="I134" si="108">F134*G134/H134</f>
        <v>75320</v>
      </c>
      <c r="J134" s="11">
        <f t="shared" si="107"/>
        <v>7532</v>
      </c>
      <c r="K134" s="9">
        <v>20</v>
      </c>
      <c r="L134" s="9">
        <v>3</v>
      </c>
      <c r="M134" s="9">
        <v>2</v>
      </c>
      <c r="N134" s="9">
        <v>0</v>
      </c>
      <c r="P134" s="11">
        <f>SUM(K134,L134,M134)/SUM(K9,L9,M9)</f>
        <v>384615.38461538457</v>
      </c>
      <c r="Q134" s="2">
        <v>0.75</v>
      </c>
      <c r="R134" s="45">
        <f t="shared" ref="R134:R136" si="109">LN(P134/J134)/(Q134*LN(2))</f>
        <v>7.565652881941622</v>
      </c>
      <c r="S134" s="54"/>
    </row>
    <row r="135" spans="1:19" x14ac:dyDescent="0.25">
      <c r="A135" s="12">
        <v>44475</v>
      </c>
      <c r="B135" s="52">
        <v>4</v>
      </c>
      <c r="C135" s="62">
        <v>208.2</v>
      </c>
      <c r="D135" s="25" t="s">
        <v>72</v>
      </c>
      <c r="E135" s="23">
        <v>3.4200000000000001E-2</v>
      </c>
      <c r="F135" s="11">
        <f t="shared" si="106"/>
        <v>3.4200000000000005E-5</v>
      </c>
      <c r="G135" s="9">
        <v>172</v>
      </c>
      <c r="H135" s="11">
        <v>4.9999999999999998E-8</v>
      </c>
      <c r="I135" s="11">
        <f>F135*G135/H135</f>
        <v>117648.00000000003</v>
      </c>
      <c r="J135" s="11">
        <f t="shared" si="107"/>
        <v>11764.800000000003</v>
      </c>
      <c r="K135" s="9" t="s">
        <v>176</v>
      </c>
      <c r="L135" s="9" t="s">
        <v>176</v>
      </c>
      <c r="M135" s="9" t="s">
        <v>176</v>
      </c>
      <c r="N135" s="9">
        <v>339</v>
      </c>
      <c r="P135" s="11">
        <f>N135/N9</f>
        <v>339000000</v>
      </c>
      <c r="Q135" s="2">
        <v>0.75</v>
      </c>
      <c r="R135" s="45">
        <f t="shared" si="109"/>
        <v>19.752694477013183</v>
      </c>
      <c r="S135" s="9" t="s">
        <v>313</v>
      </c>
    </row>
    <row r="136" spans="1:19" x14ac:dyDescent="0.25">
      <c r="A136" s="12">
        <v>44475</v>
      </c>
      <c r="B136" s="66">
        <v>5</v>
      </c>
      <c r="C136" s="62">
        <v>230.4</v>
      </c>
      <c r="D136" s="25" t="s">
        <v>75</v>
      </c>
      <c r="E136" s="23">
        <v>0.60199999999999998</v>
      </c>
      <c r="F136" s="11">
        <f>E136/1000</f>
        <v>6.02E-4</v>
      </c>
      <c r="G136" s="9">
        <f>30+123</f>
        <v>153</v>
      </c>
      <c r="H136" s="11">
        <v>9.9999999999999995E-7</v>
      </c>
      <c r="I136" s="11">
        <f>F136*G136/H136</f>
        <v>92106</v>
      </c>
      <c r="J136" s="11">
        <f>I136/10</f>
        <v>9210.6</v>
      </c>
      <c r="K136" s="9" t="s">
        <v>176</v>
      </c>
      <c r="L136" s="9" t="s">
        <v>176</v>
      </c>
      <c r="M136" s="9" t="s">
        <v>176</v>
      </c>
      <c r="N136" s="9">
        <f>17+105</f>
        <v>122</v>
      </c>
      <c r="P136" s="11">
        <f>N136/N9</f>
        <v>122000000</v>
      </c>
      <c r="Q136" s="2">
        <v>1</v>
      </c>
      <c r="R136" s="45">
        <f t="shared" si="109"/>
        <v>13.69322648232207</v>
      </c>
      <c r="S136" s="54" t="s">
        <v>314</v>
      </c>
    </row>
    <row r="137" spans="1:19" x14ac:dyDescent="0.25">
      <c r="A137" s="12">
        <v>44475</v>
      </c>
      <c r="B137" s="66">
        <v>6</v>
      </c>
      <c r="C137" s="63" t="s">
        <v>295</v>
      </c>
      <c r="D137" s="25" t="s">
        <v>33</v>
      </c>
      <c r="E137" s="23">
        <v>12.69</v>
      </c>
      <c r="F137" s="11">
        <f t="shared" ref="F137:F139" si="110">E137/1000</f>
        <v>1.269E-2</v>
      </c>
      <c r="G137" s="9">
        <v>135</v>
      </c>
      <c r="H137" s="11">
        <v>1.0000000000000001E-5</v>
      </c>
      <c r="I137" s="11">
        <f>F137*G137/H137</f>
        <v>171314.99999999997</v>
      </c>
      <c r="J137" s="11">
        <f t="shared" ref="J137:J139" si="111">I137/10</f>
        <v>17131.499999999996</v>
      </c>
      <c r="K137" s="9" t="s">
        <v>176</v>
      </c>
      <c r="L137" s="9">
        <f>1+265</f>
        <v>266</v>
      </c>
      <c r="M137" s="9">
        <f>2+98</f>
        <v>100</v>
      </c>
      <c r="N137" s="9">
        <f>19+1</f>
        <v>20</v>
      </c>
      <c r="P137" s="11">
        <f>SUM(L137,M137,N137)/SUM(L9,M9,N9)</f>
        <v>24124999.999999996</v>
      </c>
      <c r="Q137" s="2">
        <v>1.25</v>
      </c>
      <c r="R137" s="45">
        <f>LN(P137/J137)/(Q137*LN(2))</f>
        <v>8.3677294004701448</v>
      </c>
      <c r="S137" s="54" t="s">
        <v>311</v>
      </c>
    </row>
    <row r="138" spans="1:19" x14ac:dyDescent="0.25">
      <c r="A138" s="12">
        <v>44475</v>
      </c>
      <c r="B138" s="52">
        <v>7</v>
      </c>
      <c r="C138" s="62">
        <v>232.3</v>
      </c>
      <c r="D138" s="25" t="s">
        <v>73</v>
      </c>
      <c r="E138" s="23">
        <v>0.65800000000000003</v>
      </c>
      <c r="F138" s="11">
        <f t="shared" si="110"/>
        <v>6.5800000000000006E-4</v>
      </c>
      <c r="G138" s="9">
        <f>7+72+2</f>
        <v>81</v>
      </c>
      <c r="H138" s="11">
        <f>0.000001</f>
        <v>9.9999999999999995E-7</v>
      </c>
      <c r="I138" s="11">
        <f t="shared" ref="I138:I139" si="112">F138*G138/H138</f>
        <v>53298.000000000007</v>
      </c>
      <c r="J138" s="11">
        <f t="shared" si="111"/>
        <v>5329.8000000000011</v>
      </c>
      <c r="K138" s="9" t="s">
        <v>176</v>
      </c>
      <c r="L138" s="9" t="s">
        <v>176</v>
      </c>
      <c r="M138" s="9" t="s">
        <v>176</v>
      </c>
      <c r="N138" s="9" t="s">
        <v>176</v>
      </c>
      <c r="P138" s="11"/>
      <c r="Q138" s="2">
        <v>1.5</v>
      </c>
      <c r="R138" s="45" t="e">
        <f t="shared" ref="R138:R139" si="113">LN(P138/J138)/(Q138*LN(2))</f>
        <v>#NUM!</v>
      </c>
      <c r="S138" s="9" t="s">
        <v>312</v>
      </c>
    </row>
    <row r="139" spans="1:19" x14ac:dyDescent="0.25">
      <c r="A139" s="12">
        <v>44475</v>
      </c>
      <c r="B139" s="52">
        <v>8</v>
      </c>
      <c r="C139" s="62" t="s">
        <v>265</v>
      </c>
      <c r="D139" s="25" t="s">
        <v>34</v>
      </c>
      <c r="E139" s="23">
        <v>84.75</v>
      </c>
      <c r="F139" s="11">
        <f t="shared" si="110"/>
        <v>8.4750000000000006E-2</v>
      </c>
      <c r="G139" s="9">
        <v>71</v>
      </c>
      <c r="H139" s="11">
        <v>1E-3</v>
      </c>
      <c r="I139" s="11">
        <f t="shared" si="112"/>
        <v>6017.2500000000009</v>
      </c>
      <c r="J139" s="11">
        <f t="shared" si="111"/>
        <v>601.72500000000014</v>
      </c>
      <c r="K139" s="9" t="s">
        <v>176</v>
      </c>
      <c r="L139" s="9">
        <v>75</v>
      </c>
      <c r="M139" s="9">
        <v>35</v>
      </c>
      <c r="N139" s="9">
        <v>1</v>
      </c>
      <c r="P139" s="11">
        <f>SUM(L139,M139,N139)/SUM(L9,M9,N9)</f>
        <v>6937499.9999999991</v>
      </c>
      <c r="Q139" s="2">
        <v>2.25</v>
      </c>
      <c r="R139" s="45">
        <f t="shared" si="113"/>
        <v>5.9968995324091621</v>
      </c>
    </row>
    <row r="141" spans="1:19" x14ac:dyDescent="0.25">
      <c r="A141" s="12">
        <v>44476</v>
      </c>
      <c r="B141" s="66">
        <v>1</v>
      </c>
      <c r="C141" s="4" t="s">
        <v>318</v>
      </c>
      <c r="D141" s="25" t="s">
        <v>29</v>
      </c>
      <c r="E141" s="55">
        <v>17.57</v>
      </c>
      <c r="F141" s="11">
        <f>E141/1000</f>
        <v>1.7569999999999999E-2</v>
      </c>
      <c r="G141" s="9">
        <v>36</v>
      </c>
      <c r="H141" s="11">
        <v>1.0000000000000001E-5</v>
      </c>
      <c r="I141" s="11">
        <f>F141*G141/H141</f>
        <v>63251.999999999993</v>
      </c>
      <c r="J141" s="11">
        <f>I141/10</f>
        <v>6325.1999999999989</v>
      </c>
      <c r="K141" s="9" t="s">
        <v>176</v>
      </c>
      <c r="L141" s="9">
        <v>61</v>
      </c>
      <c r="M141" s="9">
        <v>30</v>
      </c>
      <c r="N141" s="9">
        <v>5</v>
      </c>
      <c r="P141" s="11">
        <f>SUM(L141,M141,N141)/SUM(L9,M9,N9)</f>
        <v>5999999.9999999991</v>
      </c>
      <c r="Q141" s="2">
        <v>0.67</v>
      </c>
      <c r="R141" s="45">
        <f t="shared" ref="R141" si="114">LN(P141/J141)/(Q141*LN(2))</f>
        <v>14.760650279823885</v>
      </c>
      <c r="S141" s="54"/>
    </row>
    <row r="142" spans="1:19" ht="15.75" x14ac:dyDescent="0.25">
      <c r="A142" s="12">
        <v>44476</v>
      </c>
      <c r="B142" s="66">
        <v>2</v>
      </c>
      <c r="C142" s="63">
        <v>208.3</v>
      </c>
      <c r="D142" s="27" t="s">
        <v>72</v>
      </c>
      <c r="E142" s="23">
        <v>0.29499999999999998</v>
      </c>
      <c r="F142" s="11">
        <f t="shared" ref="F142:F144" si="115">E142/1000</f>
        <v>2.9499999999999996E-4</v>
      </c>
      <c r="G142" s="9">
        <f>20+96</f>
        <v>116</v>
      </c>
      <c r="H142" s="11">
        <v>2.9999999999999999E-7</v>
      </c>
      <c r="I142" s="11">
        <f>F142*G142/H142</f>
        <v>114066.66666666666</v>
      </c>
      <c r="J142" s="11">
        <f t="shared" ref="J142:J144" si="116">I142/10</f>
        <v>11406.666666666666</v>
      </c>
      <c r="K142" s="9" t="s">
        <v>176</v>
      </c>
      <c r="L142" s="9" t="s">
        <v>176</v>
      </c>
      <c r="M142" s="9">
        <f>13+110</f>
        <v>123</v>
      </c>
      <c r="N142" s="9">
        <f>9+53</f>
        <v>62</v>
      </c>
      <c r="P142" s="11">
        <f>SUM(M142,N142)/SUM(M9,N9)</f>
        <v>30833333.333333332</v>
      </c>
      <c r="Q142" s="2">
        <v>0.67</v>
      </c>
      <c r="R142" s="45">
        <f>LN(P142/J142)/(Q142*LN(2))</f>
        <v>17.015519239498072</v>
      </c>
      <c r="S142" s="54" t="s">
        <v>324</v>
      </c>
    </row>
    <row r="143" spans="1:19" x14ac:dyDescent="0.25">
      <c r="A143" s="12">
        <v>44476</v>
      </c>
      <c r="B143" s="66">
        <v>3</v>
      </c>
      <c r="C143" s="63">
        <v>202.3</v>
      </c>
      <c r="D143" s="25" t="s">
        <v>31</v>
      </c>
      <c r="E143" s="23">
        <v>0.96199999999999997</v>
      </c>
      <c r="F143" s="11">
        <f t="shared" si="115"/>
        <v>9.6199999999999996E-4</v>
      </c>
      <c r="G143" s="9">
        <f>11+69</f>
        <v>80</v>
      </c>
      <c r="H143" s="11">
        <v>9.9999999999999995E-7</v>
      </c>
      <c r="I143" s="11">
        <f t="shared" ref="I143" si="117">F143*G143/H143</f>
        <v>76960</v>
      </c>
      <c r="J143" s="11">
        <f t="shared" si="116"/>
        <v>7696</v>
      </c>
      <c r="K143" s="9" t="s">
        <v>176</v>
      </c>
      <c r="L143" s="9" t="s">
        <v>176</v>
      </c>
      <c r="M143" s="9">
        <f>8+42</f>
        <v>50</v>
      </c>
      <c r="N143" s="9">
        <f>9+32</f>
        <v>41</v>
      </c>
      <c r="P143" s="11">
        <f>SUM(M143,N143)/SUM(M9,N9)</f>
        <v>15166666.666666666</v>
      </c>
      <c r="Q143" s="2">
        <v>0.67</v>
      </c>
      <c r="R143" s="45">
        <f t="shared" ref="R143:R145" si="118">LN(P143/J143)/(Q143*LN(2))</f>
        <v>16.335086007509958</v>
      </c>
      <c r="S143" s="54" t="s">
        <v>324</v>
      </c>
    </row>
    <row r="144" spans="1:19" x14ac:dyDescent="0.25">
      <c r="A144" s="12">
        <v>44476</v>
      </c>
      <c r="B144" s="52">
        <v>4</v>
      </c>
      <c r="C144" s="63" t="s">
        <v>307</v>
      </c>
      <c r="D144" s="25" t="s">
        <v>21</v>
      </c>
      <c r="E144" s="23">
        <v>256.7</v>
      </c>
      <c r="F144" s="11">
        <f t="shared" si="115"/>
        <v>0.25669999999999998</v>
      </c>
      <c r="G144" s="9">
        <v>189</v>
      </c>
      <c r="H144" s="11">
        <v>2.9999999999999997E-4</v>
      </c>
      <c r="I144" s="11">
        <f>F144*G144/H144</f>
        <v>161721</v>
      </c>
      <c r="J144" s="11">
        <f t="shared" si="116"/>
        <v>16172.1</v>
      </c>
      <c r="K144" s="9" t="s">
        <v>176</v>
      </c>
      <c r="L144" s="9">
        <f>33+135</f>
        <v>168</v>
      </c>
      <c r="M144" s="9">
        <f>1+58</f>
        <v>59</v>
      </c>
      <c r="N144" s="9">
        <f>10</f>
        <v>10</v>
      </c>
      <c r="P144" s="11">
        <f>SUM(L144,M144,N144)/SUM(L9,M9,N9)</f>
        <v>14812499.999999998</v>
      </c>
      <c r="Q144" s="2">
        <v>1.25</v>
      </c>
      <c r="R144" s="45">
        <f t="shared" si="118"/>
        <v>7.871273927227568</v>
      </c>
      <c r="S144" s="9" t="s">
        <v>321</v>
      </c>
    </row>
    <row r="145" spans="1:19" x14ac:dyDescent="0.25">
      <c r="A145" s="12">
        <v>44476</v>
      </c>
      <c r="B145" s="66">
        <v>5</v>
      </c>
      <c r="C145" s="62" t="s">
        <v>310</v>
      </c>
      <c r="D145" s="25" t="s">
        <v>33</v>
      </c>
      <c r="E145" s="23">
        <v>4.1500000000000004</v>
      </c>
      <c r="F145" s="11">
        <f>E145/1000</f>
        <v>4.15E-3</v>
      </c>
      <c r="G145" s="9">
        <f>98+1</f>
        <v>99</v>
      </c>
      <c r="H145" s="11">
        <v>5.0000000000000004E-6</v>
      </c>
      <c r="I145" s="11">
        <f>F145*G145/H145</f>
        <v>82169.999999999985</v>
      </c>
      <c r="J145" s="11">
        <f>I145/10</f>
        <v>8216.9999999999982</v>
      </c>
      <c r="K145" s="9" t="s">
        <v>176</v>
      </c>
      <c r="L145" s="9" t="s">
        <v>176</v>
      </c>
      <c r="M145" s="9" t="s">
        <v>176</v>
      </c>
      <c r="N145" s="9" t="s">
        <v>176</v>
      </c>
      <c r="P145" s="11"/>
      <c r="Q145" s="2">
        <v>1.25</v>
      </c>
      <c r="R145" s="45" t="e">
        <f t="shared" si="118"/>
        <v>#NUM!</v>
      </c>
      <c r="S145" s="54" t="s">
        <v>322</v>
      </c>
    </row>
    <row r="146" spans="1:19" x14ac:dyDescent="0.25">
      <c r="A146" s="12">
        <v>44476</v>
      </c>
      <c r="B146" s="66">
        <v>6</v>
      </c>
      <c r="C146" s="62" t="s">
        <v>309</v>
      </c>
      <c r="D146" s="25" t="s">
        <v>34</v>
      </c>
      <c r="E146" s="23">
        <v>14.41</v>
      </c>
      <c r="F146" s="11">
        <f t="shared" ref="F146:F148" si="119">E146/1000</f>
        <v>1.4410000000000001E-2</v>
      </c>
      <c r="G146" s="9">
        <v>28</v>
      </c>
      <c r="H146" s="11">
        <v>1.0000000000000001E-5</v>
      </c>
      <c r="I146" s="11">
        <f>F146*G146/H146</f>
        <v>40348</v>
      </c>
      <c r="J146" s="11">
        <f t="shared" ref="J146:J148" si="120">I146/10</f>
        <v>4034.8</v>
      </c>
      <c r="K146" s="9" t="s">
        <v>176</v>
      </c>
      <c r="L146" s="9">
        <v>108</v>
      </c>
      <c r="M146" s="9">
        <v>53</v>
      </c>
      <c r="N146" s="9">
        <v>10</v>
      </c>
      <c r="P146" s="11">
        <f>SUM(L146,M146,N146)/SUM(L9,M9,N9)</f>
        <v>10687499.999999998</v>
      </c>
      <c r="Q146" s="2">
        <v>1.75</v>
      </c>
      <c r="R146" s="45">
        <f>LN(P146/J146)/(Q146*LN(2))</f>
        <v>6.497794078208619</v>
      </c>
      <c r="S146" s="54"/>
    </row>
    <row r="147" spans="1:19" x14ac:dyDescent="0.25">
      <c r="A147" s="12">
        <v>44476</v>
      </c>
      <c r="B147" s="52">
        <v>7</v>
      </c>
      <c r="C147" s="62" t="s">
        <v>58</v>
      </c>
      <c r="D147" s="25" t="s">
        <v>59</v>
      </c>
      <c r="E147" s="23">
        <v>106.4</v>
      </c>
      <c r="F147" s="11">
        <f t="shared" si="119"/>
        <v>0.10640000000000001</v>
      </c>
      <c r="H147" s="11"/>
      <c r="I147" s="11" t="e">
        <f t="shared" ref="I147:I148" si="121">F147*G147/H147</f>
        <v>#DIV/0!</v>
      </c>
      <c r="J147" s="11" t="e">
        <f t="shared" si="120"/>
        <v>#DIV/0!</v>
      </c>
      <c r="P147" s="11"/>
      <c r="Q147" s="2">
        <v>2.75</v>
      </c>
      <c r="R147" s="45" t="e">
        <f t="shared" ref="R147:R148" si="122">LN(P147/J147)/(Q147*LN(2))</f>
        <v>#DIV/0!</v>
      </c>
      <c r="S147" s="9" t="s">
        <v>320</v>
      </c>
    </row>
    <row r="148" spans="1:19" x14ac:dyDescent="0.25">
      <c r="A148" s="12">
        <v>44476</v>
      </c>
      <c r="B148" s="52">
        <v>8</v>
      </c>
      <c r="C148" s="62" t="s">
        <v>266</v>
      </c>
      <c r="D148" s="25" t="s">
        <v>60</v>
      </c>
      <c r="E148" s="23">
        <v>131.6</v>
      </c>
      <c r="F148" s="11">
        <f t="shared" si="119"/>
        <v>0.13159999999999999</v>
      </c>
      <c r="G148" s="9">
        <v>194</v>
      </c>
      <c r="H148" s="11">
        <v>2E-3</v>
      </c>
      <c r="I148" s="11">
        <f t="shared" si="121"/>
        <v>12765.2</v>
      </c>
      <c r="J148" s="11">
        <f t="shared" si="120"/>
        <v>1276.52</v>
      </c>
      <c r="K148" s="9" t="s">
        <v>176</v>
      </c>
      <c r="L148" s="9" t="s">
        <v>176</v>
      </c>
      <c r="M148" s="9" t="s">
        <v>176</v>
      </c>
      <c r="N148" s="9">
        <v>57</v>
      </c>
      <c r="P148" s="11">
        <f>N148/N9</f>
        <v>57000000</v>
      </c>
      <c r="Q148" s="2">
        <v>3.75</v>
      </c>
      <c r="R148" s="45">
        <f t="shared" si="122"/>
        <v>4.1190555086243394</v>
      </c>
      <c r="S148" s="9" t="s">
        <v>319</v>
      </c>
    </row>
    <row r="149" spans="1:19" x14ac:dyDescent="0.25">
      <c r="A149" s="12">
        <v>44476</v>
      </c>
      <c r="B149" s="52" t="s">
        <v>240</v>
      </c>
      <c r="C149" s="62">
        <v>232.3</v>
      </c>
      <c r="D149" s="25" t="s">
        <v>73</v>
      </c>
      <c r="E149" s="23">
        <v>0.65800000000000003</v>
      </c>
      <c r="F149" s="11">
        <f t="shared" ref="F149" si="123">E149/1000</f>
        <v>6.5800000000000006E-4</v>
      </c>
      <c r="G149" s="9">
        <f>45+9</f>
        <v>54</v>
      </c>
      <c r="H149" s="11">
        <v>9.9999999999999995E-7</v>
      </c>
      <c r="I149" s="11">
        <f t="shared" ref="I149" si="124">F149*G149/H149</f>
        <v>35532</v>
      </c>
      <c r="J149" s="11">
        <f t="shared" ref="J149" si="125">I149/10</f>
        <v>3553.2</v>
      </c>
      <c r="K149" s="9" t="s">
        <v>176</v>
      </c>
      <c r="L149" s="9" t="s">
        <v>176</v>
      </c>
      <c r="M149" s="9" t="s">
        <v>176</v>
      </c>
      <c r="N149" s="9">
        <f>25+118</f>
        <v>143</v>
      </c>
      <c r="P149" s="11">
        <f>N149/N9</f>
        <v>143000000</v>
      </c>
      <c r="Q149" s="2">
        <v>1.5</v>
      </c>
      <c r="R149" s="45">
        <f t="shared" ref="R149" si="126">LN(P149/J149)/(Q149*LN(2))</f>
        <v>10.197691150060813</v>
      </c>
      <c r="S149" s="9" t="s">
        <v>323</v>
      </c>
    </row>
    <row r="151" spans="1:19" x14ac:dyDescent="0.25">
      <c r="A151" s="12">
        <v>44477</v>
      </c>
      <c r="B151" s="12" t="s">
        <v>240</v>
      </c>
      <c r="C151" s="62" t="s">
        <v>310</v>
      </c>
      <c r="D151" s="25" t="s">
        <v>33</v>
      </c>
      <c r="E151" s="23">
        <v>4.1500000000000004</v>
      </c>
      <c r="F151" s="11">
        <f>E151/1000</f>
        <v>4.15E-3</v>
      </c>
      <c r="G151" s="9">
        <f>138+2</f>
        <v>140</v>
      </c>
      <c r="H151" s="11">
        <v>5.0000000000000004E-6</v>
      </c>
      <c r="I151" s="11">
        <f>F151*G151/H151</f>
        <v>116199.99999999999</v>
      </c>
      <c r="J151" s="11">
        <f>I151/10</f>
        <v>11619.999999999998</v>
      </c>
      <c r="P151" s="11">
        <f>(240+29)/(0.00000005)</f>
        <v>5380000000</v>
      </c>
      <c r="Q151" s="2">
        <v>1.25</v>
      </c>
      <c r="R151" s="45">
        <f t="shared" ref="R151:R152" si="127">LN(P151/J151)/(Q151*LN(2))</f>
        <v>15.056509262781015</v>
      </c>
      <c r="S151" s="54" t="s">
        <v>336</v>
      </c>
    </row>
    <row r="152" spans="1:19" x14ac:dyDescent="0.25">
      <c r="A152" s="12">
        <v>44477</v>
      </c>
      <c r="B152" s="12" t="s">
        <v>240</v>
      </c>
      <c r="C152" s="62" t="s">
        <v>58</v>
      </c>
      <c r="D152" s="25" t="s">
        <v>59</v>
      </c>
      <c r="E152" s="23">
        <v>106.4</v>
      </c>
      <c r="F152" s="11">
        <f t="shared" ref="F152" si="128">E152/1000</f>
        <v>0.10640000000000001</v>
      </c>
      <c r="H152" s="11"/>
      <c r="I152" s="11" t="e">
        <f t="shared" ref="I152" si="129">F152*G152/H152</f>
        <v>#DIV/0!</v>
      </c>
      <c r="J152" s="11" t="e">
        <f t="shared" ref="J152" si="130">I152/10</f>
        <v>#DIV/0!</v>
      </c>
      <c r="P152" s="11"/>
      <c r="Q152" s="2">
        <v>2.75</v>
      </c>
      <c r="R152" s="45" t="e">
        <f t="shared" si="127"/>
        <v>#DIV/0!</v>
      </c>
      <c r="S152" s="9" t="s">
        <v>335</v>
      </c>
    </row>
    <row r="154" spans="1:19" x14ac:dyDescent="0.25">
      <c r="A154" s="12">
        <v>44480</v>
      </c>
      <c r="B154" s="66">
        <v>1</v>
      </c>
      <c r="C154" s="4">
        <v>208.4</v>
      </c>
      <c r="D154" s="25" t="s">
        <v>72</v>
      </c>
      <c r="E154" s="23">
        <v>3.25</v>
      </c>
      <c r="F154" s="11">
        <f>E154/1000</f>
        <v>3.2499999999999999E-3</v>
      </c>
      <c r="G154" s="9">
        <f>375+84</f>
        <v>459</v>
      </c>
      <c r="H154" s="11">
        <v>5.0000000000000004E-6</v>
      </c>
      <c r="I154" s="11">
        <f>F154*G154/H154</f>
        <v>298349.99999999994</v>
      </c>
      <c r="J154" s="11">
        <f>I154/10</f>
        <v>29834.999999999993</v>
      </c>
      <c r="K154" s="9" t="s">
        <v>176</v>
      </c>
      <c r="L154" s="9" t="s">
        <v>176</v>
      </c>
      <c r="M154" s="9" t="s">
        <v>176</v>
      </c>
      <c r="N154" s="9">
        <f>370+45</f>
        <v>415</v>
      </c>
      <c r="P154" s="11">
        <f>N154/N9</f>
        <v>415000000</v>
      </c>
      <c r="Q154" s="2">
        <v>0.67</v>
      </c>
      <c r="R154" s="45">
        <f t="shared" ref="R154" si="131">LN(P154/J154)/(Q154*LN(2))</f>
        <v>20.543011849427163</v>
      </c>
      <c r="S154" s="54" t="s">
        <v>349</v>
      </c>
    </row>
    <row r="155" spans="1:19" ht="15.75" x14ac:dyDescent="0.25">
      <c r="A155" s="12">
        <v>44480</v>
      </c>
      <c r="B155" s="66">
        <v>2</v>
      </c>
      <c r="C155" s="4" t="s">
        <v>329</v>
      </c>
      <c r="D155" s="27" t="s">
        <v>31</v>
      </c>
      <c r="E155" s="23">
        <v>6.58</v>
      </c>
      <c r="F155" s="11">
        <f t="shared" ref="F155:F157" si="132">E155/1000</f>
        <v>6.5799999999999999E-3</v>
      </c>
      <c r="G155" s="9">
        <v>406</v>
      </c>
      <c r="H155" s="11">
        <v>1.0000000000000001E-5</v>
      </c>
      <c r="I155" s="11">
        <f>F155*G155/H155</f>
        <v>267147.99999999994</v>
      </c>
      <c r="J155" s="11">
        <f t="shared" ref="J155:J157" si="133">I155/10</f>
        <v>26714.799999999996</v>
      </c>
      <c r="K155" s="9" t="s">
        <v>176</v>
      </c>
      <c r="L155" s="9" t="s">
        <v>176</v>
      </c>
      <c r="M155" s="9" t="s">
        <v>176</v>
      </c>
      <c r="N155" s="9">
        <v>238</v>
      </c>
      <c r="P155" s="11">
        <f>N155/N9</f>
        <v>238000000</v>
      </c>
      <c r="Q155" s="2">
        <v>0.67</v>
      </c>
      <c r="R155" s="45">
        <f>LN(P155/J155)/(Q155*LN(2))</f>
        <v>19.58363393522248</v>
      </c>
      <c r="S155" s="54" t="s">
        <v>350</v>
      </c>
    </row>
    <row r="156" spans="1:19" x14ac:dyDescent="0.25">
      <c r="A156" s="12">
        <v>44480</v>
      </c>
      <c r="B156" s="66">
        <v>3</v>
      </c>
      <c r="C156" s="63" t="s">
        <v>330</v>
      </c>
      <c r="D156" s="25" t="s">
        <v>33</v>
      </c>
      <c r="E156" s="23">
        <v>1.8599999999999998E-2</v>
      </c>
      <c r="F156" s="11">
        <f t="shared" si="132"/>
        <v>1.8599999999999998E-5</v>
      </c>
      <c r="G156" s="9">
        <f>100+2</f>
        <v>102</v>
      </c>
      <c r="H156" s="11">
        <v>2E-8</v>
      </c>
      <c r="I156" s="11">
        <f t="shared" ref="I156" si="134">F156*G156/H156</f>
        <v>94859.999999999985</v>
      </c>
      <c r="J156" s="11">
        <f t="shared" si="133"/>
        <v>9485.9999999999982</v>
      </c>
      <c r="K156" s="9" t="s">
        <v>176</v>
      </c>
      <c r="L156" s="9" t="s">
        <v>176</v>
      </c>
      <c r="M156" s="9" t="s">
        <v>176</v>
      </c>
      <c r="N156" s="9">
        <f>170</f>
        <v>170</v>
      </c>
      <c r="P156" s="11">
        <f>N156/N9</f>
        <v>170000000</v>
      </c>
      <c r="Q156" s="2">
        <v>0.67</v>
      </c>
      <c r="R156" s="45">
        <f t="shared" ref="R156:R158" si="135">LN(P156/J156)/(Q156*LN(2))</f>
        <v>21.088619928928878</v>
      </c>
      <c r="S156" s="54" t="s">
        <v>348</v>
      </c>
    </row>
    <row r="157" spans="1:19" x14ac:dyDescent="0.25">
      <c r="A157" s="12">
        <v>44480</v>
      </c>
      <c r="B157" s="52">
        <v>4</v>
      </c>
      <c r="C157" s="63">
        <v>232.4</v>
      </c>
      <c r="D157" s="25" t="s">
        <v>73</v>
      </c>
      <c r="E157" s="23">
        <v>0.69899999999999995</v>
      </c>
      <c r="F157" s="11">
        <f t="shared" si="132"/>
        <v>6.9899999999999997E-4</v>
      </c>
      <c r="G157" s="9" t="s">
        <v>176</v>
      </c>
      <c r="H157" s="11">
        <v>9.9999999999999995E-7</v>
      </c>
      <c r="I157" s="11" t="e">
        <f>F157*G157/H157</f>
        <v>#VALUE!</v>
      </c>
      <c r="J157" s="11" t="e">
        <f t="shared" si="133"/>
        <v>#VALUE!</v>
      </c>
      <c r="K157" s="9" t="s">
        <v>176</v>
      </c>
      <c r="L157" s="9" t="s">
        <v>176</v>
      </c>
      <c r="M157" s="9" t="s">
        <v>176</v>
      </c>
      <c r="N157" s="9" t="s">
        <v>176</v>
      </c>
      <c r="P157" s="11"/>
      <c r="Q157" s="2">
        <v>1</v>
      </c>
      <c r="R157" s="45" t="e">
        <f t="shared" si="135"/>
        <v>#VALUE!</v>
      </c>
      <c r="S157" s="9" t="s">
        <v>346</v>
      </c>
    </row>
    <row r="158" spans="1:19" x14ac:dyDescent="0.25">
      <c r="A158" s="12">
        <v>44480</v>
      </c>
      <c r="B158" s="66">
        <v>5</v>
      </c>
      <c r="C158" s="63" t="s">
        <v>328</v>
      </c>
      <c r="D158" s="25" t="s">
        <v>21</v>
      </c>
      <c r="E158" s="23">
        <v>6.76</v>
      </c>
      <c r="F158" s="11">
        <f>E158/1000</f>
        <v>6.7599999999999995E-3</v>
      </c>
      <c r="H158" s="11">
        <v>6.9999999999999999E-6</v>
      </c>
      <c r="I158" s="11">
        <f>F158*G158/H158</f>
        <v>0</v>
      </c>
      <c r="J158" s="11">
        <f>I158/10</f>
        <v>0</v>
      </c>
      <c r="K158" s="9" t="s">
        <v>176</v>
      </c>
      <c r="L158" s="9" t="s">
        <v>176</v>
      </c>
      <c r="M158" s="9" t="s">
        <v>176</v>
      </c>
      <c r="N158" s="9">
        <f>72+44</f>
        <v>116</v>
      </c>
      <c r="P158" s="11">
        <f>N158/N9</f>
        <v>116000000</v>
      </c>
      <c r="Q158" s="2">
        <v>1.25</v>
      </c>
      <c r="R158" s="45" t="e">
        <f t="shared" si="135"/>
        <v>#DIV/0!</v>
      </c>
      <c r="S158" s="54" t="s">
        <v>347</v>
      </c>
    </row>
    <row r="159" spans="1:19" x14ac:dyDescent="0.25">
      <c r="A159" s="12">
        <v>44480</v>
      </c>
      <c r="B159" s="66">
        <v>6</v>
      </c>
      <c r="C159" s="62" t="s">
        <v>334</v>
      </c>
      <c r="D159" s="25" t="s">
        <v>20</v>
      </c>
      <c r="E159" s="23">
        <v>59.52</v>
      </c>
      <c r="F159" s="11">
        <f t="shared" ref="F159:F162" si="136">E159/1000</f>
        <v>5.9520000000000003E-2</v>
      </c>
      <c r="G159" s="9">
        <v>114</v>
      </c>
      <c r="H159" s="11">
        <v>6.9999999999999999E-4</v>
      </c>
      <c r="I159" s="11">
        <f>F159*G159/H159</f>
        <v>9693.2571428571428</v>
      </c>
      <c r="J159" s="11">
        <f t="shared" ref="J159:J161" si="137">I159/10</f>
        <v>969.3257142857143</v>
      </c>
      <c r="K159" s="9" t="s">
        <v>176</v>
      </c>
      <c r="L159" s="9" t="s">
        <v>176</v>
      </c>
      <c r="M159" s="9">
        <v>83</v>
      </c>
      <c r="N159" s="9">
        <v>22</v>
      </c>
      <c r="P159" s="11">
        <f>SUM(M159,N159)/SUM(M9,N9)</f>
        <v>17500000</v>
      </c>
      <c r="Q159" s="2">
        <v>1.5</v>
      </c>
      <c r="R159" s="45">
        <f>LN(P159/J159)/(Q159*LN(2))</f>
        <v>9.4266759152191302</v>
      </c>
      <c r="S159" s="54"/>
    </row>
    <row r="160" spans="1:19" x14ac:dyDescent="0.25">
      <c r="A160" s="12">
        <v>44480</v>
      </c>
      <c r="B160" s="52">
        <v>7</v>
      </c>
      <c r="C160" s="62" t="s">
        <v>331</v>
      </c>
      <c r="D160" s="25" t="s">
        <v>34</v>
      </c>
      <c r="E160" s="23">
        <v>9.35</v>
      </c>
      <c r="F160" s="11">
        <f t="shared" si="136"/>
        <v>9.3499999999999989E-3</v>
      </c>
      <c r="H160" s="11"/>
      <c r="I160" s="11" t="e">
        <f t="shared" ref="I160:I161" si="138">F160*G160/H160</f>
        <v>#DIV/0!</v>
      </c>
      <c r="J160" s="11" t="e">
        <f t="shared" si="137"/>
        <v>#DIV/0!</v>
      </c>
      <c r="K160" s="9" t="s">
        <v>176</v>
      </c>
      <c r="L160" s="9" t="s">
        <v>176</v>
      </c>
      <c r="M160" s="9" t="s">
        <v>176</v>
      </c>
      <c r="N160" s="9" t="s">
        <v>176</v>
      </c>
      <c r="P160" s="11"/>
      <c r="Q160" s="2">
        <v>1.5</v>
      </c>
      <c r="R160" s="45" t="e">
        <f t="shared" ref="R160:R162" si="139">LN(P160/J160)/(Q160*LN(2))</f>
        <v>#DIV/0!</v>
      </c>
      <c r="S160" s="9" t="s">
        <v>344</v>
      </c>
    </row>
    <row r="161" spans="1:19" x14ac:dyDescent="0.25">
      <c r="A161" s="12">
        <v>44480</v>
      </c>
      <c r="B161" s="52">
        <v>8</v>
      </c>
      <c r="C161" s="62" t="s">
        <v>333</v>
      </c>
      <c r="D161" s="25" t="s">
        <v>60</v>
      </c>
      <c r="E161" s="23">
        <v>1.754</v>
      </c>
      <c r="F161" s="11">
        <f t="shared" si="136"/>
        <v>1.7539999999999999E-3</v>
      </c>
      <c r="G161" s="9">
        <v>52</v>
      </c>
      <c r="H161" s="11">
        <v>9.9999999999999995E-7</v>
      </c>
      <c r="I161" s="11">
        <f t="shared" si="138"/>
        <v>91208</v>
      </c>
      <c r="J161" s="11">
        <f t="shared" si="137"/>
        <v>9120.7999999999993</v>
      </c>
      <c r="K161" s="9" t="s">
        <v>176</v>
      </c>
      <c r="L161" s="9" t="s">
        <v>176</v>
      </c>
      <c r="M161" s="9" t="s">
        <v>176</v>
      </c>
      <c r="N161" s="9" t="s">
        <v>176</v>
      </c>
      <c r="P161" s="11"/>
      <c r="Q161" s="2">
        <v>2.5</v>
      </c>
      <c r="R161" s="45" t="e">
        <f t="shared" si="139"/>
        <v>#NUM!</v>
      </c>
      <c r="S161" s="9" t="s">
        <v>343</v>
      </c>
    </row>
    <row r="162" spans="1:19" x14ac:dyDescent="0.25">
      <c r="A162" s="12">
        <v>44480</v>
      </c>
      <c r="B162" s="12" t="s">
        <v>240</v>
      </c>
      <c r="C162" s="8" t="s">
        <v>58</v>
      </c>
      <c r="D162" s="9" t="s">
        <v>59</v>
      </c>
      <c r="E162" s="9">
        <v>106.4</v>
      </c>
      <c r="F162" s="9">
        <f t="shared" si="136"/>
        <v>0.10640000000000001</v>
      </c>
      <c r="G162" s="9">
        <v>40</v>
      </c>
      <c r="H162" s="11">
        <v>1E-3</v>
      </c>
      <c r="I162" s="11">
        <f t="shared" ref="I162" si="140">F162*G162/H162</f>
        <v>4256</v>
      </c>
      <c r="J162" s="11">
        <f t="shared" ref="J162" si="141">I162/10</f>
        <v>425.6</v>
      </c>
      <c r="P162" s="11">
        <f>SUM(258,53)/SUM(0.00000005, 0.00000001)</f>
        <v>5183333333.333334</v>
      </c>
      <c r="Q162" s="9">
        <v>2.75</v>
      </c>
      <c r="R162" s="45">
        <f t="shared" si="139"/>
        <v>8.5592286137798244</v>
      </c>
      <c r="S162" s="9" t="s">
        <v>345</v>
      </c>
    </row>
    <row r="164" spans="1:19" x14ac:dyDescent="0.25">
      <c r="A164" s="12">
        <v>44482</v>
      </c>
      <c r="B164" s="66">
        <v>1</v>
      </c>
      <c r="C164" s="4" t="s">
        <v>342</v>
      </c>
      <c r="D164" s="25" t="s">
        <v>33</v>
      </c>
      <c r="E164" s="23">
        <v>0.58819999999999995</v>
      </c>
      <c r="F164" s="11">
        <f>E164/1000</f>
        <v>5.8819999999999999E-4</v>
      </c>
      <c r="G164" s="9">
        <v>46</v>
      </c>
      <c r="H164" s="11">
        <v>4.9999999999999998E-7</v>
      </c>
      <c r="I164" s="11">
        <f>F164*G164/H164</f>
        <v>54114.400000000001</v>
      </c>
      <c r="J164" s="11">
        <f>I164/10</f>
        <v>5411.4400000000005</v>
      </c>
      <c r="L164" s="9" t="s">
        <v>176</v>
      </c>
      <c r="M164" s="9" t="s">
        <v>176</v>
      </c>
      <c r="N164" s="9">
        <v>45</v>
      </c>
      <c r="O164" s="9">
        <v>31</v>
      </c>
      <c r="P164" s="11">
        <f>SUM(N164,O164)/SUM(N9,O9)</f>
        <v>50666666.666666664</v>
      </c>
      <c r="Q164" s="2">
        <v>0.67</v>
      </c>
      <c r="R164" s="45">
        <f t="shared" ref="R164" si="142">LN(P164/J164)/(Q164*LN(2))</f>
        <v>19.690651861010821</v>
      </c>
      <c r="S164" s="54" t="s">
        <v>354</v>
      </c>
    </row>
    <row r="165" spans="1:19" ht="15.75" x14ac:dyDescent="0.25">
      <c r="A165" s="12">
        <v>44482</v>
      </c>
      <c r="B165" s="66">
        <v>2</v>
      </c>
      <c r="C165" s="4" t="s">
        <v>340</v>
      </c>
      <c r="D165" s="27" t="s">
        <v>20</v>
      </c>
      <c r="E165" s="23">
        <v>5.71</v>
      </c>
      <c r="F165" s="11">
        <f t="shared" ref="F165:F167" si="143">E165/1000</f>
        <v>5.7099999999999998E-3</v>
      </c>
      <c r="G165" s="9">
        <v>98</v>
      </c>
      <c r="H165" s="11">
        <v>5.0000000000000004E-6</v>
      </c>
      <c r="I165" s="11">
        <f>F165*G165/H165</f>
        <v>111915.99999999999</v>
      </c>
      <c r="J165" s="11">
        <f t="shared" ref="J165:J167" si="144">I165/10</f>
        <v>11191.599999999999</v>
      </c>
      <c r="K165" s="9">
        <v>89</v>
      </c>
      <c r="L165" s="9">
        <v>20</v>
      </c>
      <c r="M165" s="9">
        <v>7</v>
      </c>
      <c r="N165" s="9">
        <v>3</v>
      </c>
      <c r="P165" s="11">
        <f>SUM(K165,L165,M165,N165)/SUM(K9,L9,M9,N9)</f>
        <v>1803030.303030303</v>
      </c>
      <c r="Q165" s="2">
        <v>1</v>
      </c>
      <c r="R165" s="45">
        <f>LN(P165/J165)/(Q165*LN(2))</f>
        <v>7.3318635286829767</v>
      </c>
      <c r="S165" s="54"/>
    </row>
    <row r="166" spans="1:19" x14ac:dyDescent="0.25">
      <c r="A166" s="12">
        <v>44482</v>
      </c>
      <c r="B166" s="66">
        <v>3</v>
      </c>
      <c r="C166" s="63" t="s">
        <v>332</v>
      </c>
      <c r="D166" s="25" t="s">
        <v>59</v>
      </c>
      <c r="E166" s="23">
        <v>1.931</v>
      </c>
      <c r="F166" s="11">
        <f t="shared" si="143"/>
        <v>1.931E-3</v>
      </c>
      <c r="G166" s="9" t="s">
        <v>176</v>
      </c>
      <c r="H166" s="11"/>
      <c r="I166" s="11" t="e">
        <f t="shared" ref="I166" si="145">F166*G166/H166</f>
        <v>#VALUE!</v>
      </c>
      <c r="J166" s="11" t="e">
        <f t="shared" si="144"/>
        <v>#VALUE!</v>
      </c>
      <c r="K166" s="9" t="s">
        <v>176</v>
      </c>
      <c r="L166" s="9" t="s">
        <v>176</v>
      </c>
      <c r="M166" s="9" t="s">
        <v>176</v>
      </c>
      <c r="N166" s="9" t="s">
        <v>176</v>
      </c>
      <c r="O166" s="9" t="s">
        <v>176</v>
      </c>
      <c r="P166" s="11"/>
      <c r="Q166" s="2">
        <v>1.5</v>
      </c>
      <c r="R166" s="45" t="e">
        <f t="shared" ref="R166:R168" si="146">LN(P166/J166)/(Q166*LN(2))</f>
        <v>#VALUE!</v>
      </c>
      <c r="S166" s="54" t="s">
        <v>353</v>
      </c>
    </row>
    <row r="167" spans="1:19" x14ac:dyDescent="0.25">
      <c r="A167" s="12">
        <v>44482</v>
      </c>
      <c r="B167" s="52" t="s">
        <v>240</v>
      </c>
      <c r="C167" s="63">
        <v>232.4</v>
      </c>
      <c r="D167" s="25" t="s">
        <v>73</v>
      </c>
      <c r="E167" s="23">
        <v>0.69899999999999995</v>
      </c>
      <c r="F167" s="11">
        <f t="shared" si="143"/>
        <v>6.9899999999999997E-4</v>
      </c>
      <c r="G167" s="9">
        <v>159</v>
      </c>
      <c r="H167" s="11">
        <v>9.9999999999999995E-8</v>
      </c>
      <c r="I167" s="11">
        <f>F167*G167/H167</f>
        <v>1111410</v>
      </c>
      <c r="J167" s="11">
        <f t="shared" si="144"/>
        <v>111141</v>
      </c>
      <c r="O167" s="9" t="s">
        <v>176</v>
      </c>
      <c r="P167" s="11">
        <f>(61)/(0.00000001)</f>
        <v>6100000000</v>
      </c>
      <c r="Q167" s="2">
        <v>1</v>
      </c>
      <c r="R167" s="45">
        <f t="shared" si="146"/>
        <v>15.744130496001993</v>
      </c>
      <c r="S167" s="9" t="s">
        <v>354</v>
      </c>
    </row>
    <row r="168" spans="1:19" x14ac:dyDescent="0.25">
      <c r="A168" s="12">
        <v>44482</v>
      </c>
      <c r="B168" s="52" t="s">
        <v>240</v>
      </c>
      <c r="C168" s="63" t="s">
        <v>328</v>
      </c>
      <c r="D168" s="25" t="s">
        <v>21</v>
      </c>
      <c r="E168" s="23">
        <v>6.76</v>
      </c>
      <c r="F168" s="11">
        <f>E168/1000</f>
        <v>6.7599999999999995E-3</v>
      </c>
      <c r="G168" s="9">
        <f>10+458</f>
        <v>468</v>
      </c>
      <c r="H168" s="11">
        <v>5.0000000000000002E-5</v>
      </c>
      <c r="I168" s="11">
        <f>F168*G168/H168</f>
        <v>63273.599999999991</v>
      </c>
      <c r="J168" s="11">
        <f>I168/10</f>
        <v>6327.3599999999988</v>
      </c>
      <c r="M168" s="9" t="s">
        <v>176</v>
      </c>
      <c r="N168" s="9">
        <f>(7+45+32)</f>
        <v>84</v>
      </c>
      <c r="O168" s="9">
        <f>15+29+17</f>
        <v>61</v>
      </c>
      <c r="P168" s="11">
        <f>(7+45+32+15+29+17+1+4+6)/SUM(0.000001, 0.0000005, 0.0000001)</f>
        <v>97500000</v>
      </c>
      <c r="Q168" s="2">
        <v>1.25</v>
      </c>
      <c r="R168" s="45">
        <f t="shared" si="146"/>
        <v>11.129208733586337</v>
      </c>
      <c r="S168" s="54" t="s">
        <v>357</v>
      </c>
    </row>
    <row r="169" spans="1:19" x14ac:dyDescent="0.25">
      <c r="A169" s="12">
        <v>44482</v>
      </c>
      <c r="B169" s="52" t="s">
        <v>240</v>
      </c>
      <c r="C169" s="62" t="s">
        <v>331</v>
      </c>
      <c r="D169" s="25" t="s">
        <v>34</v>
      </c>
      <c r="E169" s="23">
        <v>9.35</v>
      </c>
      <c r="F169" s="11">
        <f t="shared" ref="F169:F170" si="147">E169/1000</f>
        <v>9.3499999999999989E-3</v>
      </c>
      <c r="G169" s="9">
        <v>67</v>
      </c>
      <c r="H169" s="11">
        <v>1.0000000000000001E-5</v>
      </c>
      <c r="I169" s="11">
        <f>F169*G169/H169</f>
        <v>62644.999999999993</v>
      </c>
      <c r="J169" s="11">
        <f t="shared" ref="J169:J170" si="148">I169/10</f>
        <v>6264.4999999999991</v>
      </c>
      <c r="N169" s="9" t="s">
        <v>176</v>
      </c>
      <c r="O169" s="9" t="s">
        <v>176</v>
      </c>
      <c r="P169" s="11">
        <f>(159+83)/SUM(0.0000001, 0.00000005)</f>
        <v>1613333333.3333335</v>
      </c>
      <c r="Q169" s="2">
        <v>1.5</v>
      </c>
      <c r="R169" s="45">
        <f>LN(P169/J169)/(Q169*LN(2))</f>
        <v>11.982942500279712</v>
      </c>
      <c r="S169" s="54" t="s">
        <v>355</v>
      </c>
    </row>
    <row r="170" spans="1:19" x14ac:dyDescent="0.25">
      <c r="A170" s="12">
        <v>44482</v>
      </c>
      <c r="B170" s="52" t="s">
        <v>240</v>
      </c>
      <c r="C170" s="62" t="s">
        <v>333</v>
      </c>
      <c r="D170" s="25" t="s">
        <v>60</v>
      </c>
      <c r="E170" s="23">
        <v>1.754</v>
      </c>
      <c r="F170" s="11">
        <f t="shared" si="147"/>
        <v>1.7539999999999999E-3</v>
      </c>
      <c r="G170" s="9">
        <v>64</v>
      </c>
      <c r="H170" s="11">
        <v>1.9999999999999999E-6</v>
      </c>
      <c r="I170" s="11">
        <f t="shared" ref="I170" si="149">F170*G170/H170</f>
        <v>56128</v>
      </c>
      <c r="J170" s="11">
        <f t="shared" si="148"/>
        <v>5612.8</v>
      </c>
      <c r="O170" s="9" t="s">
        <v>176</v>
      </c>
      <c r="P170" s="11"/>
      <c r="Q170" s="2">
        <v>2.5</v>
      </c>
      <c r="R170" s="45" t="e">
        <f t="shared" ref="R170" si="150">LN(P170/J170)/(Q170*LN(2))</f>
        <v>#NUM!</v>
      </c>
      <c r="S170" s="9" t="s">
        <v>356</v>
      </c>
    </row>
    <row r="171" spans="1:19" x14ac:dyDescent="0.25">
      <c r="B171" s="52"/>
      <c r="C171" s="62"/>
      <c r="D171" s="25"/>
      <c r="E171" s="23"/>
      <c r="F171" s="11"/>
      <c r="H171" s="11"/>
      <c r="I171" s="11"/>
      <c r="J171" s="11"/>
      <c r="P171" s="11"/>
      <c r="Q171" s="2"/>
      <c r="R171" s="45"/>
    </row>
    <row r="172" spans="1:19" x14ac:dyDescent="0.25">
      <c r="A172" s="12">
        <v>44483</v>
      </c>
      <c r="B172" s="66">
        <v>1</v>
      </c>
      <c r="C172" s="4" t="s">
        <v>341</v>
      </c>
      <c r="D172" s="25" t="s">
        <v>34</v>
      </c>
      <c r="E172" s="23">
        <v>6.2100000000000002E-2</v>
      </c>
      <c r="F172" s="11">
        <f>E172/1000</f>
        <v>6.2100000000000005E-5</v>
      </c>
      <c r="G172" s="9">
        <v>89</v>
      </c>
      <c r="H172" s="11">
        <v>4.9999999999999998E-8</v>
      </c>
      <c r="I172" s="11">
        <f>F172*G172/H172</f>
        <v>110538.00000000001</v>
      </c>
      <c r="J172" s="11">
        <f>I172/10</f>
        <v>11053.800000000001</v>
      </c>
      <c r="K172" s="9" t="s">
        <v>176</v>
      </c>
      <c r="L172" s="9" t="s">
        <v>176</v>
      </c>
      <c r="M172" s="9" t="s">
        <v>176</v>
      </c>
      <c r="N172" s="9">
        <v>171</v>
      </c>
      <c r="P172" s="11">
        <f>N172/N9</f>
        <v>171000000</v>
      </c>
      <c r="Q172" s="2">
        <v>0.75</v>
      </c>
      <c r="R172" s="45">
        <f>LN(P172/J172)/(Q172*LN(2))</f>
        <v>18.556221719880739</v>
      </c>
      <c r="S172" s="54" t="s">
        <v>354</v>
      </c>
    </row>
    <row r="173" spans="1:19" ht="15.75" x14ac:dyDescent="0.25">
      <c r="A173" s="12">
        <v>44483</v>
      </c>
      <c r="B173" s="66">
        <v>2</v>
      </c>
      <c r="C173" s="4" t="s">
        <v>366</v>
      </c>
      <c r="D173" s="27" t="s">
        <v>20</v>
      </c>
      <c r="E173" s="23">
        <v>55.56</v>
      </c>
      <c r="F173" s="11">
        <f t="shared" ref="F173:F175" si="151">E173/1000</f>
        <v>5.5560000000000005E-2</v>
      </c>
      <c r="G173" s="9">
        <v>74</v>
      </c>
      <c r="H173" s="11">
        <v>5.0000000000000002E-5</v>
      </c>
      <c r="I173" s="11">
        <f>F173*G173/H173</f>
        <v>82228.800000000003</v>
      </c>
      <c r="J173" s="11">
        <f t="shared" ref="J173:J175" si="152">I173/10</f>
        <v>8222.880000000001</v>
      </c>
      <c r="K173" s="9" t="s">
        <v>176</v>
      </c>
      <c r="L173" s="9">
        <v>157</v>
      </c>
      <c r="M173" s="9">
        <v>90</v>
      </c>
      <c r="N173" s="9">
        <v>14</v>
      </c>
      <c r="P173" s="11">
        <f>SUM(L173,M173,N173)/SUM(L9,M9,N9)</f>
        <v>16312499.999999998</v>
      </c>
      <c r="Q173" s="2">
        <v>1.25</v>
      </c>
      <c r="R173" s="45">
        <f>LN(P173/J173)/(Q173*LN(2))</f>
        <v>8.7632372048467531</v>
      </c>
      <c r="S173" s="54"/>
    </row>
    <row r="174" spans="1:19" x14ac:dyDescent="0.25">
      <c r="A174" s="12">
        <v>44483</v>
      </c>
      <c r="B174" s="66">
        <v>3</v>
      </c>
      <c r="C174" s="63" t="s">
        <v>332</v>
      </c>
      <c r="D174" s="25" t="s">
        <v>59</v>
      </c>
      <c r="E174" s="23">
        <v>1.9310000000000001E-2</v>
      </c>
      <c r="F174" s="11">
        <f t="shared" si="151"/>
        <v>1.931E-5</v>
      </c>
      <c r="G174" s="9">
        <v>81</v>
      </c>
      <c r="H174" s="11">
        <v>2E-8</v>
      </c>
      <c r="I174" s="11">
        <f t="shared" ref="I174" si="153">F174*G174/H174</f>
        <v>78205.5</v>
      </c>
      <c r="J174" s="11">
        <f t="shared" si="152"/>
        <v>7820.55</v>
      </c>
      <c r="K174" s="9" t="s">
        <v>176</v>
      </c>
      <c r="L174" s="9" t="s">
        <v>176</v>
      </c>
      <c r="M174" s="9" t="s">
        <v>176</v>
      </c>
      <c r="N174" s="9" t="s">
        <v>176</v>
      </c>
      <c r="P174" s="11"/>
      <c r="Q174" s="2">
        <v>1.5</v>
      </c>
      <c r="R174" s="45" t="e">
        <f t="shared" ref="R174:R176" si="154">LN(P174/J174)/(Q174*LN(2))</f>
        <v>#NUM!</v>
      </c>
      <c r="S174" s="54" t="s">
        <v>354</v>
      </c>
    </row>
    <row r="175" spans="1:19" x14ac:dyDescent="0.25">
      <c r="A175" s="12">
        <v>44483</v>
      </c>
      <c r="B175" s="52" t="s">
        <v>240</v>
      </c>
      <c r="C175" s="63" t="s">
        <v>331</v>
      </c>
      <c r="D175" s="25" t="s">
        <v>34</v>
      </c>
      <c r="E175" s="23">
        <v>9.35</v>
      </c>
      <c r="F175" s="11">
        <f t="shared" si="151"/>
        <v>9.3499999999999989E-3</v>
      </c>
      <c r="G175" s="9">
        <v>105</v>
      </c>
      <c r="H175" s="11">
        <v>1.0000000000000001E-5</v>
      </c>
      <c r="I175" s="11">
        <f>F175*G175/H175</f>
        <v>98174.999999999985</v>
      </c>
      <c r="J175" s="11">
        <f t="shared" si="152"/>
        <v>9817.4999999999982</v>
      </c>
      <c r="P175" s="11">
        <f>(89)/(0.00000005)</f>
        <v>1780000000</v>
      </c>
      <c r="Q175" s="2">
        <v>1.5</v>
      </c>
      <c r="R175" s="45">
        <f t="shared" si="154"/>
        <v>11.645393411749451</v>
      </c>
      <c r="S175" s="9" t="s">
        <v>376</v>
      </c>
    </row>
    <row r="176" spans="1:19" x14ac:dyDescent="0.25">
      <c r="A176" s="12">
        <v>44483</v>
      </c>
      <c r="B176" s="52" t="s">
        <v>240</v>
      </c>
      <c r="C176" s="63" t="s">
        <v>333</v>
      </c>
      <c r="D176" s="25" t="s">
        <v>60</v>
      </c>
      <c r="E176" s="23">
        <v>1.75</v>
      </c>
      <c r="F176" s="11">
        <f>E176/1000</f>
        <v>1.75E-3</v>
      </c>
      <c r="G176" s="9">
        <v>35</v>
      </c>
      <c r="H176" s="11">
        <v>1.9999999999999999E-6</v>
      </c>
      <c r="I176" s="11">
        <f>F176*G176/H176</f>
        <v>30625</v>
      </c>
      <c r="J176" s="11">
        <f>I176/10</f>
        <v>3062.5</v>
      </c>
      <c r="P176" s="11">
        <f>(72+42)/SUM(0.00000001, 0.000000005)</f>
        <v>7599999999.999999</v>
      </c>
      <c r="Q176" s="2">
        <v>2.5</v>
      </c>
      <c r="R176" s="45">
        <f t="shared" si="154"/>
        <v>8.4971432575060764</v>
      </c>
      <c r="S176" s="9" t="s">
        <v>376</v>
      </c>
    </row>
    <row r="178" spans="1:19" x14ac:dyDescent="0.25">
      <c r="A178" s="12">
        <v>44484</v>
      </c>
      <c r="B178" s="66">
        <v>1</v>
      </c>
      <c r="C178" s="4" t="s">
        <v>375</v>
      </c>
      <c r="D178" s="25" t="s">
        <v>34</v>
      </c>
      <c r="E178" s="23">
        <v>0.57999999999999996</v>
      </c>
      <c r="F178" s="11">
        <f>E178/1000</f>
        <v>5.8E-4</v>
      </c>
      <c r="G178" s="9">
        <v>73</v>
      </c>
      <c r="H178" s="11">
        <v>4.9999999999999998E-7</v>
      </c>
      <c r="I178" s="11">
        <f>F178*G178/H178</f>
        <v>84680.000000000015</v>
      </c>
      <c r="J178" s="11">
        <f>I178/10</f>
        <v>8468.0000000000018</v>
      </c>
      <c r="M178" s="9" t="s">
        <v>176</v>
      </c>
      <c r="N178" s="9">
        <v>72</v>
      </c>
      <c r="O178" s="9">
        <v>36</v>
      </c>
      <c r="P178" s="11">
        <f>SUM(N178,O178)/SUM(O9,N9)</f>
        <v>72000000</v>
      </c>
      <c r="Q178" s="2">
        <v>0.67</v>
      </c>
      <c r="R178" s="45">
        <f>LN(P178/J178)/(Q178*LN(2))</f>
        <v>19.483116442923727</v>
      </c>
      <c r="S178" s="54" t="s">
        <v>354</v>
      </c>
    </row>
    <row r="179" spans="1:19" x14ac:dyDescent="0.25">
      <c r="A179" s="12">
        <v>44484</v>
      </c>
      <c r="B179" s="66">
        <v>2</v>
      </c>
      <c r="C179" s="4" t="s">
        <v>339</v>
      </c>
      <c r="D179" s="25" t="s">
        <v>60</v>
      </c>
      <c r="E179" s="23">
        <v>1.2999999999999999E-2</v>
      </c>
      <c r="F179" s="11">
        <f t="shared" ref="F179:F181" si="155">E179/1000</f>
        <v>1.2999999999999999E-5</v>
      </c>
      <c r="G179" s="9">
        <f>21+82</f>
        <v>103</v>
      </c>
      <c r="H179" s="11">
        <v>2E-8</v>
      </c>
      <c r="I179" s="11">
        <f>F179*G179/H179</f>
        <v>66950</v>
      </c>
      <c r="J179" s="11">
        <f t="shared" ref="J179:J181" si="156">I179/10</f>
        <v>6695</v>
      </c>
      <c r="L179" s="9" t="s">
        <v>176</v>
      </c>
      <c r="M179" s="9" t="s">
        <v>176</v>
      </c>
      <c r="N179" s="9" t="s">
        <v>176</v>
      </c>
      <c r="O179" s="9" t="s">
        <v>176</v>
      </c>
      <c r="P179" s="11"/>
      <c r="Q179" s="2">
        <v>1.25</v>
      </c>
      <c r="R179" s="45" t="e">
        <f>LN(P179/J179)/(Q179*LN(2))</f>
        <v>#NUM!</v>
      </c>
      <c r="S179" s="54" t="s">
        <v>387</v>
      </c>
    </row>
    <row r="180" spans="1:19" ht="15.75" x14ac:dyDescent="0.25">
      <c r="A180" s="12">
        <v>44484</v>
      </c>
      <c r="B180" s="66">
        <v>3</v>
      </c>
      <c r="C180" s="63" t="s">
        <v>374</v>
      </c>
      <c r="D180" s="27" t="s">
        <v>20</v>
      </c>
      <c r="E180" s="23">
        <v>6.13</v>
      </c>
      <c r="F180" s="11">
        <f t="shared" si="155"/>
        <v>6.13E-3</v>
      </c>
      <c r="G180" s="9">
        <v>92</v>
      </c>
      <c r="H180" s="11">
        <v>6.9999999999999999E-6</v>
      </c>
      <c r="I180" s="11">
        <f t="shared" ref="I180" si="157">F180*G180/H180</f>
        <v>80565.71428571429</v>
      </c>
      <c r="J180" s="11">
        <f t="shared" si="156"/>
        <v>8056.5714285714294</v>
      </c>
      <c r="L180" s="9">
        <v>147</v>
      </c>
      <c r="M180" s="9">
        <v>71</v>
      </c>
      <c r="N180" s="9">
        <v>23</v>
      </c>
      <c r="O180" s="9">
        <v>9</v>
      </c>
      <c r="P180" s="11">
        <f>SUM(L180,M180,N180,O180)/SUM(L9,M9,N9,O9)</f>
        <v>15151515.15151515</v>
      </c>
      <c r="Q180" s="2">
        <v>1.25</v>
      </c>
      <c r="R180" s="45">
        <f t="shared" ref="R180:R181" si="158">LN(P180/J180)/(Q180*LN(2))</f>
        <v>8.7016067495500931</v>
      </c>
      <c r="S180" s="54"/>
    </row>
    <row r="181" spans="1:19" x14ac:dyDescent="0.25">
      <c r="A181" s="12">
        <v>44484</v>
      </c>
      <c r="B181" s="52" t="s">
        <v>240</v>
      </c>
      <c r="C181" s="63" t="s">
        <v>332</v>
      </c>
      <c r="D181" s="25" t="s">
        <v>59</v>
      </c>
      <c r="E181" s="23">
        <v>1.9310000000000001E-2</v>
      </c>
      <c r="F181" s="11">
        <f t="shared" si="155"/>
        <v>1.931E-5</v>
      </c>
      <c r="G181" s="9">
        <v>83</v>
      </c>
      <c r="H181" s="11">
        <v>2E-8</v>
      </c>
      <c r="I181" s="11">
        <f>F181*G181/H181</f>
        <v>80136.5</v>
      </c>
      <c r="J181" s="11">
        <f t="shared" si="156"/>
        <v>8013.65</v>
      </c>
      <c r="P181" s="11">
        <f>(134+43)/SUM(0.00000005, 0.00000001)</f>
        <v>2950000000.0000005</v>
      </c>
      <c r="Q181" s="2">
        <v>1.5</v>
      </c>
      <c r="R181" s="45">
        <f t="shared" si="158"/>
        <v>12.326549348700354</v>
      </c>
      <c r="S181" s="9" t="s">
        <v>354</v>
      </c>
    </row>
    <row r="183" spans="1:19" x14ac:dyDescent="0.25">
      <c r="A183" s="12">
        <v>44487</v>
      </c>
      <c r="B183" s="66">
        <v>1</v>
      </c>
      <c r="C183" s="4" t="s">
        <v>35</v>
      </c>
      <c r="D183" s="25" t="s">
        <v>37</v>
      </c>
      <c r="E183" s="23">
        <v>16.670000000000002</v>
      </c>
      <c r="F183" s="11">
        <f>E183/1000</f>
        <v>1.6670000000000001E-2</v>
      </c>
      <c r="G183" s="9">
        <v>117</v>
      </c>
      <c r="H183" s="11">
        <v>1.0000000000000001E-5</v>
      </c>
      <c r="I183" s="11">
        <f>F183*G183/H183</f>
        <v>195039</v>
      </c>
      <c r="J183" s="11">
        <f>I183/10</f>
        <v>19503.900000000001</v>
      </c>
      <c r="K183" s="9" t="s">
        <v>176</v>
      </c>
      <c r="L183" s="9">
        <v>68</v>
      </c>
      <c r="M183" s="9">
        <v>36</v>
      </c>
      <c r="N183" s="9">
        <v>12</v>
      </c>
      <c r="P183" s="11">
        <f>SUM(L183,M183,N183)/SUM(L9,M9,N9)</f>
        <v>7249999.9999999991</v>
      </c>
      <c r="Q183" s="2">
        <v>0.67</v>
      </c>
      <c r="R183" s="45">
        <f>LN(P183/J183)/(Q183*LN(2))</f>
        <v>12.743394851894458</v>
      </c>
      <c r="S183" s="54"/>
    </row>
    <row r="184" spans="1:19" x14ac:dyDescent="0.25">
      <c r="A184" s="12">
        <v>44487</v>
      </c>
      <c r="B184" s="66">
        <v>2</v>
      </c>
      <c r="C184" s="4" t="s">
        <v>42</v>
      </c>
      <c r="D184" s="25" t="s">
        <v>44</v>
      </c>
      <c r="E184" s="23">
        <v>52.1</v>
      </c>
      <c r="F184" s="11">
        <f t="shared" ref="F184:F186" si="159">E184/1000</f>
        <v>5.21E-2</v>
      </c>
      <c r="G184" s="9">
        <v>64</v>
      </c>
      <c r="H184" s="11">
        <v>5.0000000000000002E-5</v>
      </c>
      <c r="I184" s="11">
        <f>F184*G184/H184</f>
        <v>66688</v>
      </c>
      <c r="J184" s="11">
        <f t="shared" ref="J184:J186" si="160">I184/10</f>
        <v>6668.8</v>
      </c>
      <c r="K184" s="9" t="s">
        <v>176</v>
      </c>
      <c r="L184" s="9">
        <v>104</v>
      </c>
      <c r="M184" s="9">
        <v>55</v>
      </c>
      <c r="N184" s="9">
        <v>13</v>
      </c>
      <c r="P184" s="11">
        <f>SUM(L184,M184,N184)/SUM(L9,M9,N9)</f>
        <v>10749999.999999998</v>
      </c>
      <c r="Q184" s="2">
        <v>0.67</v>
      </c>
      <c r="R184" s="45">
        <f>LN(P184/J184)/(Q184*LN(2))</f>
        <v>15.902420681544962</v>
      </c>
      <c r="S184" s="54"/>
    </row>
    <row r="185" spans="1:19" ht="15.75" x14ac:dyDescent="0.25">
      <c r="A185" s="12">
        <v>44487</v>
      </c>
      <c r="B185" s="66">
        <v>3</v>
      </c>
      <c r="C185" s="63" t="s">
        <v>39</v>
      </c>
      <c r="D185" s="27" t="s">
        <v>41</v>
      </c>
      <c r="E185" s="23">
        <v>13.89</v>
      </c>
      <c r="F185" s="11">
        <f t="shared" si="159"/>
        <v>1.3890000000000001E-2</v>
      </c>
      <c r="G185" s="9">
        <v>61</v>
      </c>
      <c r="H185" s="11">
        <v>1.0000000000000001E-5</v>
      </c>
      <c r="I185" s="11">
        <f t="shared" ref="I185" si="161">F185*G185/H185</f>
        <v>84729</v>
      </c>
      <c r="J185" s="11">
        <f t="shared" si="160"/>
        <v>8472.9</v>
      </c>
      <c r="K185" s="9">
        <v>99</v>
      </c>
      <c r="L185" s="9">
        <v>23</v>
      </c>
      <c r="M185" s="9">
        <v>8</v>
      </c>
      <c r="N185" s="9">
        <v>1</v>
      </c>
      <c r="P185" s="11">
        <f>SUM(K185,L185,M185,N185)/SUM(K9,L9,M9,N9)</f>
        <v>1984848.4848484846</v>
      </c>
      <c r="Q185" s="2">
        <v>0.67</v>
      </c>
      <c r="R185" s="45">
        <f t="shared" ref="R185:R186" si="162">LN(P185/J185)/(Q185*LN(2))</f>
        <v>11.749190037083961</v>
      </c>
      <c r="S185" s="54"/>
    </row>
    <row r="186" spans="1:19" x14ac:dyDescent="0.25">
      <c r="A186" s="12">
        <v>44487</v>
      </c>
      <c r="B186" s="52">
        <v>4</v>
      </c>
      <c r="C186" s="63" t="s">
        <v>380</v>
      </c>
      <c r="D186" s="25" t="s">
        <v>59</v>
      </c>
      <c r="E186" s="23">
        <v>3.39E-2</v>
      </c>
      <c r="F186" s="11">
        <f t="shared" si="159"/>
        <v>3.3899999999999997E-5</v>
      </c>
      <c r="G186" s="9">
        <v>110</v>
      </c>
      <c r="H186" s="11">
        <v>4.9999999999999998E-8</v>
      </c>
      <c r="I186" s="11">
        <f>F186*G186/H186</f>
        <v>74580</v>
      </c>
      <c r="J186" s="11">
        <f t="shared" si="160"/>
        <v>7458</v>
      </c>
      <c r="K186" s="9" t="s">
        <v>176</v>
      </c>
      <c r="L186" s="9" t="s">
        <v>176</v>
      </c>
      <c r="M186" s="9" t="s">
        <v>176</v>
      </c>
      <c r="N186" s="9">
        <v>394</v>
      </c>
      <c r="P186" s="11">
        <f>N186/N9</f>
        <v>394000000</v>
      </c>
      <c r="Q186" s="2">
        <v>0.75</v>
      </c>
      <c r="R186" s="45">
        <f t="shared" si="162"/>
        <v>20.918729742675882</v>
      </c>
      <c r="S186" s="9" t="s">
        <v>397</v>
      </c>
    </row>
    <row r="187" spans="1:19" x14ac:dyDescent="0.25">
      <c r="A187" s="12">
        <v>44487</v>
      </c>
      <c r="B187" s="66">
        <v>5</v>
      </c>
      <c r="C187" s="4">
        <v>206</v>
      </c>
      <c r="D187" s="25" t="s">
        <v>47</v>
      </c>
      <c r="E187" s="23">
        <v>12.2</v>
      </c>
      <c r="F187" s="11">
        <f t="shared" ref="F187:F189" si="163">E187/1000</f>
        <v>1.2199999999999999E-2</v>
      </c>
      <c r="G187" s="9">
        <v>51</v>
      </c>
      <c r="H187" s="11">
        <v>1.0000000000000001E-5</v>
      </c>
      <c r="I187" s="11">
        <f>F187*G187/H187</f>
        <v>62219.999999999993</v>
      </c>
      <c r="J187" s="11">
        <f t="shared" ref="J187:J189" si="164">I187/10</f>
        <v>6221.9999999999991</v>
      </c>
      <c r="K187" s="9" t="s">
        <v>176</v>
      </c>
      <c r="L187" s="9">
        <f>4+115</f>
        <v>119</v>
      </c>
      <c r="M187" s="9">
        <f>1+49</f>
        <v>50</v>
      </c>
      <c r="N187" s="9">
        <v>11</v>
      </c>
      <c r="P187" s="11">
        <f>SUM(L187,M187,N187)/SUM(L9,M9,N9)</f>
        <v>11249999.999999998</v>
      </c>
      <c r="Q187" s="2">
        <v>1</v>
      </c>
      <c r="R187" s="45">
        <f>LN(P187/J187)/(Q187*LN(2))</f>
        <v>10.820258986119466</v>
      </c>
      <c r="S187" s="54" t="s">
        <v>395</v>
      </c>
    </row>
    <row r="188" spans="1:19" ht="15.75" x14ac:dyDescent="0.25">
      <c r="A188" s="12">
        <v>44487</v>
      </c>
      <c r="B188" s="66">
        <v>6</v>
      </c>
      <c r="C188" s="63">
        <v>204.4</v>
      </c>
      <c r="D188" s="27" t="s">
        <v>20</v>
      </c>
      <c r="E188" s="23">
        <v>6.58</v>
      </c>
      <c r="F188" s="11">
        <f t="shared" si="163"/>
        <v>6.5799999999999999E-3</v>
      </c>
      <c r="G188" s="9">
        <v>60</v>
      </c>
      <c r="H188" s="11">
        <v>1.0000000000000001E-5</v>
      </c>
      <c r="I188" s="11">
        <f t="shared" ref="I188" si="165">F188*G188/H188</f>
        <v>39479.999999999993</v>
      </c>
      <c r="J188" s="11">
        <f t="shared" si="164"/>
        <v>3947.9999999999991</v>
      </c>
      <c r="K188" s="9" t="s">
        <v>176</v>
      </c>
      <c r="L188" s="9" t="s">
        <v>176</v>
      </c>
      <c r="M188" s="9" t="s">
        <v>176</v>
      </c>
      <c r="N188" s="9">
        <f>42+266</f>
        <v>308</v>
      </c>
      <c r="P188" s="11">
        <f>N188/N9</f>
        <v>308000000</v>
      </c>
      <c r="Q188" s="2">
        <v>1.25</v>
      </c>
      <c r="R188" s="45">
        <f t="shared" ref="R188:R189" si="166">LN(P188/J188)/(Q188*LN(2))</f>
        <v>13.001159068450141</v>
      </c>
      <c r="S188" s="54" t="s">
        <v>396</v>
      </c>
    </row>
    <row r="189" spans="1:19" x14ac:dyDescent="0.25">
      <c r="A189" s="12">
        <v>44487</v>
      </c>
      <c r="B189" s="52" t="s">
        <v>240</v>
      </c>
      <c r="C189" s="4" t="s">
        <v>339</v>
      </c>
      <c r="D189" s="25" t="s">
        <v>60</v>
      </c>
      <c r="E189" s="23">
        <v>1.2999999999999999E-2</v>
      </c>
      <c r="F189" s="11">
        <f t="shared" si="163"/>
        <v>1.2999999999999999E-5</v>
      </c>
      <c r="G189" s="9">
        <v>86</v>
      </c>
      <c r="H189" s="11">
        <v>2E-8</v>
      </c>
      <c r="I189" s="11">
        <f>F189*G189/H189</f>
        <v>55899.999999999993</v>
      </c>
      <c r="J189" s="11">
        <f t="shared" si="164"/>
        <v>5589.9999999999991</v>
      </c>
      <c r="O189" s="9" t="s">
        <v>176</v>
      </c>
      <c r="P189" s="11">
        <f>(209+47)/SUM(0.00000005, 0.00000001)</f>
        <v>4266666666.666667</v>
      </c>
      <c r="Q189" s="2">
        <v>1.25</v>
      </c>
      <c r="R189" s="45">
        <f t="shared" si="166"/>
        <v>15.633463752517754</v>
      </c>
      <c r="S189" s="9" t="s">
        <v>400</v>
      </c>
    </row>
    <row r="191" spans="1:19" x14ac:dyDescent="0.25">
      <c r="A191" s="12">
        <v>44489</v>
      </c>
      <c r="B191" s="66">
        <v>1</v>
      </c>
      <c r="C191" s="4" t="s">
        <v>392</v>
      </c>
      <c r="D191" s="25" t="s">
        <v>60</v>
      </c>
      <c r="E191" s="23">
        <v>2.3400000000000001E-2</v>
      </c>
      <c r="F191" s="11">
        <f>E191/1000</f>
        <v>2.34E-5</v>
      </c>
      <c r="G191" s="9">
        <v>204</v>
      </c>
      <c r="H191" s="11">
        <v>4.9999999999999998E-8</v>
      </c>
      <c r="I191" s="11">
        <f>F191*G191/H191</f>
        <v>95472.000000000015</v>
      </c>
      <c r="J191" s="11">
        <f>I191/10</f>
        <v>9547.2000000000007</v>
      </c>
      <c r="M191" s="9" t="s">
        <v>176</v>
      </c>
      <c r="N191" s="9">
        <v>123</v>
      </c>
      <c r="O191" s="9">
        <v>58</v>
      </c>
      <c r="P191" s="11">
        <f>SUM(N191,O191)/SUM(N9,O9)</f>
        <v>120666666.66666666</v>
      </c>
      <c r="Q191" s="2">
        <v>0.67</v>
      </c>
      <c r="R191" s="45">
        <f>LN(P191/J191)/(Q191*LN(2))</f>
        <v>20.33670147614729</v>
      </c>
      <c r="S191" s="54" t="s">
        <v>389</v>
      </c>
    </row>
    <row r="192" spans="1:19" x14ac:dyDescent="0.25">
      <c r="A192" s="12">
        <v>44489</v>
      </c>
      <c r="B192" s="66">
        <v>2</v>
      </c>
      <c r="C192" s="63" t="s">
        <v>402</v>
      </c>
      <c r="D192" s="25" t="s">
        <v>412</v>
      </c>
      <c r="E192" s="23">
        <v>9.26</v>
      </c>
      <c r="F192" s="11">
        <f t="shared" ref="F192:F197" si="167">E192/1000</f>
        <v>9.2599999999999991E-3</v>
      </c>
      <c r="G192" s="9">
        <v>109</v>
      </c>
      <c r="H192" s="11">
        <v>1.0000000000000001E-5</v>
      </c>
      <c r="I192" s="11">
        <f>F192*G192/H192</f>
        <v>100933.99999999999</v>
      </c>
      <c r="J192" s="11">
        <f t="shared" ref="J192:J197" si="168">I192/10</f>
        <v>10093.399999999998</v>
      </c>
      <c r="L192" s="9" t="s">
        <v>176</v>
      </c>
      <c r="M192" s="9">
        <v>91</v>
      </c>
      <c r="N192" s="9">
        <v>16</v>
      </c>
      <c r="P192" s="11">
        <f>SUM(M192,N192)/SUM(M9,N9)</f>
        <v>17833333.333333332</v>
      </c>
      <c r="Q192" s="2">
        <v>0.67</v>
      </c>
      <c r="R192" s="45">
        <f>LN(P192/J192)/(Q192*LN(2))</f>
        <v>16.099923047543825</v>
      </c>
      <c r="S192" s="54"/>
    </row>
    <row r="193" spans="1:19" ht="15.75" x14ac:dyDescent="0.25">
      <c r="A193" s="12">
        <v>44489</v>
      </c>
      <c r="B193" s="66">
        <v>3</v>
      </c>
      <c r="C193" s="63" t="s">
        <v>405</v>
      </c>
      <c r="D193" s="27" t="s">
        <v>59</v>
      </c>
      <c r="E193" s="23">
        <v>0.254</v>
      </c>
      <c r="F193" s="11">
        <f t="shared" si="167"/>
        <v>2.5399999999999999E-4</v>
      </c>
      <c r="G193" s="9">
        <v>300</v>
      </c>
      <c r="H193" s="11">
        <v>4.9999999999999998E-7</v>
      </c>
      <c r="I193" s="11">
        <f t="shared" ref="I193" si="169">F193*G193/H193</f>
        <v>152400.00000000003</v>
      </c>
      <c r="J193" s="11">
        <f t="shared" si="168"/>
        <v>15240.000000000004</v>
      </c>
      <c r="N193" s="9" t="s">
        <v>176</v>
      </c>
      <c r="O193" s="9">
        <v>103</v>
      </c>
      <c r="P193" s="11">
        <f>O193/O9</f>
        <v>206000000</v>
      </c>
      <c r="Q193" s="2">
        <v>0.67</v>
      </c>
      <c r="R193" s="45">
        <f t="shared" ref="R193:R194" si="170">LN(P193/J193)/(Q193*LN(2))</f>
        <v>20.481334050935381</v>
      </c>
      <c r="S193" s="54" t="s">
        <v>389</v>
      </c>
    </row>
    <row r="194" spans="1:19" x14ac:dyDescent="0.25">
      <c r="A194" s="12">
        <v>44489</v>
      </c>
      <c r="B194" s="52">
        <v>4</v>
      </c>
      <c r="C194" s="4" t="s">
        <v>404</v>
      </c>
      <c r="D194" s="25" t="s">
        <v>41</v>
      </c>
      <c r="E194" s="23">
        <v>50.5</v>
      </c>
      <c r="F194" s="11">
        <f t="shared" si="167"/>
        <v>5.0500000000000003E-2</v>
      </c>
      <c r="G194" s="9">
        <v>98</v>
      </c>
      <c r="H194" s="11">
        <v>5.0000000000000002E-5</v>
      </c>
      <c r="I194" s="11">
        <f>F194*G194/H194</f>
        <v>98980.000000000015</v>
      </c>
      <c r="J194" s="11">
        <f t="shared" si="168"/>
        <v>9898.0000000000018</v>
      </c>
      <c r="K194" s="9">
        <v>195</v>
      </c>
      <c r="L194" s="9">
        <v>48</v>
      </c>
      <c r="M194" s="9">
        <v>22</v>
      </c>
      <c r="P194" s="11">
        <f>SUM(K194,L194,M194)/SUM(K9,L9,M9)</f>
        <v>4076923.0769230765</v>
      </c>
      <c r="Q194" s="2">
        <v>0.75</v>
      </c>
      <c r="R194" s="45">
        <f t="shared" si="170"/>
        <v>11.581503971839039</v>
      </c>
    </row>
    <row r="195" spans="1:19" x14ac:dyDescent="0.25">
      <c r="A195" s="12">
        <v>44489</v>
      </c>
      <c r="B195" s="66">
        <v>5</v>
      </c>
      <c r="C195" s="63" t="s">
        <v>401</v>
      </c>
      <c r="D195" s="25" t="s">
        <v>37</v>
      </c>
      <c r="E195" s="23">
        <v>13.79</v>
      </c>
      <c r="F195" s="11">
        <f t="shared" si="167"/>
        <v>1.3789999999999998E-2</v>
      </c>
      <c r="G195" s="9">
        <v>82</v>
      </c>
      <c r="H195" s="11">
        <v>1.0000000000000001E-5</v>
      </c>
      <c r="I195" s="11">
        <f>F195*G195/H195</f>
        <v>113077.99999999999</v>
      </c>
      <c r="J195" s="11">
        <f t="shared" si="168"/>
        <v>11307.8</v>
      </c>
      <c r="K195" s="9" t="s">
        <v>176</v>
      </c>
      <c r="L195" s="9" t="s">
        <v>176</v>
      </c>
      <c r="M195" s="9">
        <v>108</v>
      </c>
      <c r="P195" s="11">
        <f>M195/M9</f>
        <v>21600000</v>
      </c>
      <c r="Q195" s="2">
        <v>0.75</v>
      </c>
      <c r="R195" s="45">
        <f>LN(P195/J195)/(Q195*LN(2))</f>
        <v>14.532663100474107</v>
      </c>
      <c r="S195" s="54"/>
    </row>
    <row r="196" spans="1:19" ht="15.75" x14ac:dyDescent="0.25">
      <c r="A196" s="12">
        <v>44489</v>
      </c>
      <c r="B196" s="66">
        <v>6</v>
      </c>
      <c r="C196" s="63" t="s">
        <v>408</v>
      </c>
      <c r="D196" s="27" t="s">
        <v>48</v>
      </c>
      <c r="E196" s="23">
        <v>40</v>
      </c>
      <c r="F196" s="11">
        <f t="shared" si="167"/>
        <v>0.04</v>
      </c>
      <c r="G196" s="9">
        <v>132</v>
      </c>
      <c r="H196" s="11">
        <v>5.0000000000000002E-5</v>
      </c>
      <c r="I196" s="11">
        <f t="shared" ref="I196" si="171">F196*G196/H196</f>
        <v>105600</v>
      </c>
      <c r="J196" s="11">
        <f t="shared" si="168"/>
        <v>10560</v>
      </c>
      <c r="K196" s="9">
        <f>262+5</f>
        <v>267</v>
      </c>
      <c r="L196" s="9">
        <v>71</v>
      </c>
      <c r="M196" s="9">
        <f>1+25</f>
        <v>26</v>
      </c>
      <c r="P196" s="11">
        <f>SUM(K196,L196,M196)/SUM(K9,L9,M9)</f>
        <v>5599999.9999999991</v>
      </c>
      <c r="Q196" s="2">
        <v>1</v>
      </c>
      <c r="R196" s="45">
        <f t="shared" ref="R196:R197" si="172">LN(P196/J196)/(Q196*LN(2))</f>
        <v>9.0506731822486</v>
      </c>
      <c r="S196" s="54" t="s">
        <v>418</v>
      </c>
    </row>
    <row r="197" spans="1:19" x14ac:dyDescent="0.25">
      <c r="A197" s="12">
        <v>44489</v>
      </c>
      <c r="B197" s="52">
        <v>7</v>
      </c>
      <c r="C197" s="63">
        <v>206.1</v>
      </c>
      <c r="D197" s="25" t="s">
        <v>47</v>
      </c>
      <c r="E197" s="23">
        <v>8.85</v>
      </c>
      <c r="F197" s="11">
        <f t="shared" si="167"/>
        <v>8.8500000000000002E-3</v>
      </c>
      <c r="G197" s="9">
        <f>99+4</f>
        <v>103</v>
      </c>
      <c r="H197" s="11">
        <v>1.0000000000000001E-5</v>
      </c>
      <c r="I197" s="11">
        <f>F197*G197/H197</f>
        <v>91154.999999999985</v>
      </c>
      <c r="J197" s="11">
        <f t="shared" si="168"/>
        <v>9115.4999999999982</v>
      </c>
      <c r="L197" s="9" t="s">
        <v>176</v>
      </c>
      <c r="M197" s="9" t="s">
        <v>176</v>
      </c>
      <c r="N197" s="9" t="s">
        <v>176</v>
      </c>
      <c r="O197" s="9">
        <v>263</v>
      </c>
      <c r="P197" s="11">
        <f>O197/O9</f>
        <v>526000000</v>
      </c>
      <c r="Q197" s="2">
        <v>1</v>
      </c>
      <c r="R197" s="45">
        <f t="shared" si="172"/>
        <v>15.816381481350261</v>
      </c>
      <c r="S197" s="9" t="s">
        <v>417</v>
      </c>
    </row>
    <row r="198" spans="1:19" x14ac:dyDescent="0.25">
      <c r="A198" s="12">
        <v>44489</v>
      </c>
      <c r="B198" s="52">
        <v>8</v>
      </c>
      <c r="C198" s="63" t="s">
        <v>406</v>
      </c>
      <c r="D198" s="25" t="s">
        <v>45</v>
      </c>
      <c r="E198" s="23">
        <v>123.5</v>
      </c>
      <c r="F198" s="11">
        <f t="shared" ref="F198" si="173">E198/1000</f>
        <v>0.1235</v>
      </c>
      <c r="G198" s="9">
        <v>85</v>
      </c>
      <c r="H198" s="11">
        <v>1E-4</v>
      </c>
      <c r="I198" s="11">
        <f>F198*G198/H198</f>
        <v>104975</v>
      </c>
      <c r="J198" s="11">
        <f t="shared" ref="J198" si="174">I198/10</f>
        <v>10497.5</v>
      </c>
      <c r="M198" s="9" t="s">
        <v>176</v>
      </c>
      <c r="N198" s="9">
        <v>80</v>
      </c>
      <c r="O198" s="9">
        <v>34</v>
      </c>
      <c r="P198" s="11">
        <f>SUM(N198,O198)/SUM(N9,O9)</f>
        <v>76000000</v>
      </c>
      <c r="Q198" s="2">
        <v>1.75</v>
      </c>
      <c r="R198" s="45">
        <f t="shared" ref="R198" si="175">LN(P198/J198)/(Q198*LN(2))</f>
        <v>7.3267073800259324</v>
      </c>
    </row>
    <row r="200" spans="1:19" x14ac:dyDescent="0.25">
      <c r="A200" s="12">
        <v>44490</v>
      </c>
      <c r="B200" s="66">
        <v>1</v>
      </c>
      <c r="C200" s="4" t="s">
        <v>413</v>
      </c>
      <c r="D200" s="25" t="s">
        <v>60</v>
      </c>
      <c r="E200" s="23">
        <v>0.82599999999999996</v>
      </c>
      <c r="F200" s="11">
        <f>E200/1000</f>
        <v>8.2599999999999991E-4</v>
      </c>
      <c r="G200" s="9">
        <v>135</v>
      </c>
      <c r="H200" s="11">
        <v>9.9999999999999995E-7</v>
      </c>
      <c r="I200" s="11">
        <f>F200*G200/H200</f>
        <v>111509.99999999999</v>
      </c>
      <c r="J200" s="11">
        <f>I200/10</f>
        <v>11150.999999999998</v>
      </c>
      <c r="N200" s="9">
        <v>106</v>
      </c>
      <c r="O200" s="9">
        <v>50</v>
      </c>
      <c r="P200" s="11">
        <f>SUM(N200,O200)/SUM(N9,O9)</f>
        <v>104000000</v>
      </c>
      <c r="Q200" s="2">
        <v>0.67</v>
      </c>
      <c r="R200" s="45">
        <f>LN(P200/J200)/(Q200*LN(2))</f>
        <v>19.682272856540823</v>
      </c>
      <c r="S200" s="54" t="s">
        <v>354</v>
      </c>
    </row>
    <row r="201" spans="1:19" x14ac:dyDescent="0.25">
      <c r="A201" s="12">
        <v>44490</v>
      </c>
      <c r="B201" s="66">
        <v>2</v>
      </c>
      <c r="C201" s="63">
        <v>206.2</v>
      </c>
      <c r="D201" s="25" t="s">
        <v>47</v>
      </c>
      <c r="E201" s="23">
        <v>0.19009999999999999</v>
      </c>
      <c r="F201" s="11">
        <f t="shared" ref="F201:F207" si="176">E201/1000</f>
        <v>1.9009999999999999E-4</v>
      </c>
      <c r="G201" s="9">
        <v>95</v>
      </c>
      <c r="H201" s="11">
        <v>1.9999999999999999E-7</v>
      </c>
      <c r="I201" s="11">
        <f>F201*G201/H201</f>
        <v>90297.5</v>
      </c>
      <c r="J201" s="11">
        <f t="shared" ref="J201:J207" si="177">I201/10</f>
        <v>9029.75</v>
      </c>
      <c r="L201" s="9" t="s">
        <v>176</v>
      </c>
      <c r="M201" s="9" t="s">
        <v>176</v>
      </c>
      <c r="N201" s="9">
        <v>112</v>
      </c>
      <c r="O201" s="9">
        <v>56</v>
      </c>
      <c r="P201" s="11">
        <f>SUM(N201,O201)/SUM(N9,O9)</f>
        <v>112000000</v>
      </c>
      <c r="Q201" s="2">
        <v>0.67</v>
      </c>
      <c r="R201" s="45">
        <f>LN(P201/J201)/(Q201*LN(2))</f>
        <v>20.296198748193493</v>
      </c>
      <c r="S201" s="54" t="s">
        <v>354</v>
      </c>
    </row>
    <row r="202" spans="1:19" x14ac:dyDescent="0.25">
      <c r="A202" s="12">
        <v>44490</v>
      </c>
      <c r="B202" s="66">
        <v>3</v>
      </c>
      <c r="C202" s="63" t="s">
        <v>409</v>
      </c>
      <c r="D202" s="4" t="s">
        <v>44</v>
      </c>
      <c r="E202" s="23">
        <v>5.62</v>
      </c>
      <c r="F202" s="11">
        <f t="shared" si="176"/>
        <v>5.62E-3</v>
      </c>
      <c r="G202" s="9">
        <v>99</v>
      </c>
      <c r="H202" s="11">
        <v>5.0000000000000004E-6</v>
      </c>
      <c r="I202" s="11">
        <f t="shared" ref="I202" si="178">F202*G202/H202</f>
        <v>111275.99999999999</v>
      </c>
      <c r="J202" s="11">
        <f t="shared" si="177"/>
        <v>11127.599999999999</v>
      </c>
      <c r="L202" s="9" t="s">
        <v>176</v>
      </c>
      <c r="M202" s="9">
        <v>113</v>
      </c>
      <c r="N202" s="9">
        <v>43</v>
      </c>
      <c r="P202" s="11">
        <f>SUM(M202,N202)/SUM(M9,N9)</f>
        <v>26000000</v>
      </c>
      <c r="Q202" s="2">
        <v>0.67</v>
      </c>
      <c r="R202" s="45">
        <f t="shared" ref="R202:R203" si="179">LN(P202/J202)/(Q202*LN(2))</f>
        <v>16.701721555301628</v>
      </c>
      <c r="S202" s="54"/>
    </row>
    <row r="203" spans="1:19" x14ac:dyDescent="0.25">
      <c r="A203" s="12">
        <v>44490</v>
      </c>
      <c r="B203" s="52">
        <v>4</v>
      </c>
      <c r="C203" s="4" t="s">
        <v>415</v>
      </c>
      <c r="D203" s="4" t="s">
        <v>37</v>
      </c>
      <c r="E203" s="23">
        <v>4.63</v>
      </c>
      <c r="F203" s="11">
        <f t="shared" si="176"/>
        <v>4.6299999999999996E-3</v>
      </c>
      <c r="G203" s="9">
        <v>85</v>
      </c>
      <c r="H203" s="11">
        <v>5.0000000000000004E-6</v>
      </c>
      <c r="I203" s="11">
        <f>F203*G203/H203</f>
        <v>78709.999999999985</v>
      </c>
      <c r="J203" s="11">
        <f t="shared" si="177"/>
        <v>7870.9999999999982</v>
      </c>
      <c r="L203" s="9">
        <v>49</v>
      </c>
      <c r="M203" s="9">
        <v>28</v>
      </c>
      <c r="N203" s="9">
        <v>5</v>
      </c>
      <c r="P203" s="11">
        <f>SUM(L203,M203,N203)/SUM(L9,M9,N9)</f>
        <v>5124999.9999999991</v>
      </c>
      <c r="Q203" s="2">
        <v>0.67</v>
      </c>
      <c r="R203" s="45">
        <f t="shared" si="179"/>
        <v>13.950431864823406</v>
      </c>
    </row>
    <row r="204" spans="1:19" x14ac:dyDescent="0.25">
      <c r="A204" s="12">
        <v>44490</v>
      </c>
      <c r="B204" s="66">
        <v>5</v>
      </c>
      <c r="C204" s="63" t="s">
        <v>410</v>
      </c>
      <c r="D204" s="25" t="s">
        <v>59</v>
      </c>
      <c r="E204" s="23">
        <v>0.48499999999999999</v>
      </c>
      <c r="F204" s="11">
        <f t="shared" si="176"/>
        <v>4.8499999999999997E-4</v>
      </c>
      <c r="G204" s="9">
        <v>120</v>
      </c>
      <c r="H204" s="11">
        <v>4.9999999999999998E-7</v>
      </c>
      <c r="I204" s="11">
        <f>F204*G204/H204</f>
        <v>116400</v>
      </c>
      <c r="J204" s="11">
        <f t="shared" si="177"/>
        <v>11640</v>
      </c>
      <c r="N204" s="9">
        <v>117</v>
      </c>
      <c r="O204" s="9">
        <v>71</v>
      </c>
      <c r="P204" s="11">
        <f>SUM(N204,O204)/SUM(N9,O9)</f>
        <v>125333333.33333333</v>
      </c>
      <c r="Q204" s="2">
        <v>0.67</v>
      </c>
      <c r="R204" s="45">
        <f>LN(P204/J204)/(Q204*LN(2))</f>
        <v>19.991629078335833</v>
      </c>
      <c r="S204" s="54" t="s">
        <v>354</v>
      </c>
    </row>
    <row r="205" spans="1:19" x14ac:dyDescent="0.25">
      <c r="A205" s="12">
        <v>44490</v>
      </c>
      <c r="B205" s="66">
        <v>6</v>
      </c>
      <c r="C205" s="63" t="s">
        <v>411</v>
      </c>
      <c r="D205" s="4" t="s">
        <v>41</v>
      </c>
      <c r="E205" s="23">
        <v>24.5</v>
      </c>
      <c r="F205" s="11">
        <f t="shared" si="176"/>
        <v>2.4500000000000001E-2</v>
      </c>
      <c r="G205" s="9">
        <v>80</v>
      </c>
      <c r="H205" s="11">
        <v>2.0000000000000002E-5</v>
      </c>
      <c r="I205" s="11">
        <f t="shared" ref="I205" si="180">F205*G205/H205</f>
        <v>97999.999999999985</v>
      </c>
      <c r="J205" s="11">
        <f t="shared" si="177"/>
        <v>9799.9999999999982</v>
      </c>
      <c r="K205" s="9" t="s">
        <v>176</v>
      </c>
      <c r="L205" s="9">
        <v>60</v>
      </c>
      <c r="M205" s="9">
        <v>18</v>
      </c>
      <c r="P205" s="11">
        <f>SUM(L205,M205)/SUM(L9,M9)</f>
        <v>5199999.9999999991</v>
      </c>
      <c r="Q205" s="2">
        <v>0.75</v>
      </c>
      <c r="R205" s="45">
        <f t="shared" ref="R205:R207" si="181">LN(P205/J205)/(Q205*LN(2))</f>
        <v>12.068685544917296</v>
      </c>
      <c r="S205" s="54"/>
    </row>
    <row r="206" spans="1:19" x14ac:dyDescent="0.25">
      <c r="A206" s="12">
        <v>44490</v>
      </c>
      <c r="B206" s="52">
        <v>7</v>
      </c>
      <c r="C206" s="63" t="s">
        <v>478</v>
      </c>
      <c r="D206" s="4" t="s">
        <v>48</v>
      </c>
      <c r="E206" s="23">
        <v>17.86</v>
      </c>
      <c r="F206" s="11">
        <f t="shared" si="176"/>
        <v>1.7860000000000001E-2</v>
      </c>
      <c r="G206" s="9">
        <f>80+5</f>
        <v>85</v>
      </c>
      <c r="H206" s="11">
        <v>2.0000000000000002E-5</v>
      </c>
      <c r="I206" s="11">
        <f>F206*G206/H206</f>
        <v>75905</v>
      </c>
      <c r="J206" s="11">
        <f t="shared" si="177"/>
        <v>7590.5</v>
      </c>
      <c r="K206" s="9" t="s">
        <v>176</v>
      </c>
      <c r="L206" s="9" t="s">
        <v>176</v>
      </c>
      <c r="M206" s="9" t="s">
        <v>176</v>
      </c>
      <c r="N206" s="9">
        <v>180</v>
      </c>
      <c r="P206" s="11">
        <f>N206/N9</f>
        <v>180000000</v>
      </c>
      <c r="Q206" s="2">
        <v>1</v>
      </c>
      <c r="R206" s="45">
        <f t="shared" si="181"/>
        <v>14.533442459282288</v>
      </c>
      <c r="S206" s="9" t="s">
        <v>420</v>
      </c>
    </row>
    <row r="207" spans="1:19" x14ac:dyDescent="0.25">
      <c r="A207" s="12">
        <v>44490</v>
      </c>
      <c r="B207" s="52">
        <v>8</v>
      </c>
      <c r="C207" s="63" t="s">
        <v>414</v>
      </c>
      <c r="D207" s="25" t="s">
        <v>45</v>
      </c>
      <c r="E207" s="23">
        <v>1.3160000000000001</v>
      </c>
      <c r="F207" s="11">
        <f t="shared" si="176"/>
        <v>1.3160000000000001E-3</v>
      </c>
      <c r="G207" s="9">
        <v>46</v>
      </c>
      <c r="H207" s="11">
        <v>9.9999999999999995E-7</v>
      </c>
      <c r="I207" s="11">
        <f>F207*G207/H207</f>
        <v>60536.000000000007</v>
      </c>
      <c r="J207" s="11">
        <f t="shared" si="177"/>
        <v>6053.6</v>
      </c>
      <c r="K207" s="9">
        <v>96</v>
      </c>
      <c r="L207" s="9">
        <v>16</v>
      </c>
      <c r="M207" s="9">
        <v>10</v>
      </c>
      <c r="N207" s="9">
        <v>1</v>
      </c>
      <c r="P207" s="11">
        <f>SUM(K207,L207,M207,N207)/SUM(K9,L9,M9,N9)</f>
        <v>1863636.3636363635</v>
      </c>
      <c r="Q207" s="2">
        <v>1.25</v>
      </c>
      <c r="R207" s="45">
        <f t="shared" si="181"/>
        <v>6.6128890563200553</v>
      </c>
    </row>
    <row r="209" spans="1:19" x14ac:dyDescent="0.25">
      <c r="A209" s="12">
        <v>44496</v>
      </c>
      <c r="B209" s="66">
        <v>1</v>
      </c>
      <c r="C209" s="4">
        <v>206.3</v>
      </c>
      <c r="D209" s="25" t="s">
        <v>47</v>
      </c>
      <c r="E209" s="23">
        <v>0.89300000000000002</v>
      </c>
      <c r="F209" s="11">
        <f>E209/1000</f>
        <v>8.9300000000000002E-4</v>
      </c>
      <c r="G209" s="9">
        <f>11+80</f>
        <v>91</v>
      </c>
      <c r="H209" s="11">
        <v>9.9999999999999995E-7</v>
      </c>
      <c r="I209" s="11">
        <f>F209*G209/H209</f>
        <v>81263</v>
      </c>
      <c r="J209" s="11">
        <f>I209/10</f>
        <v>8126.3</v>
      </c>
      <c r="N209" s="9">
        <f>5+59</f>
        <v>64</v>
      </c>
      <c r="O209" s="9">
        <f>3+33</f>
        <v>36</v>
      </c>
      <c r="P209" s="11">
        <f>SUM(N209,O209)/SUM(N9,O9)</f>
        <v>66666666.666666664</v>
      </c>
      <c r="Q209" s="2">
        <v>0.67</v>
      </c>
      <c r="R209" s="45">
        <f>LN(P209/J209)/(Q209*LN(2))</f>
        <v>19.406088579022665</v>
      </c>
      <c r="S209" s="54" t="s">
        <v>425</v>
      </c>
    </row>
    <row r="210" spans="1:19" x14ac:dyDescent="0.25">
      <c r="A210" s="12">
        <v>44496</v>
      </c>
      <c r="B210" s="66">
        <v>2</v>
      </c>
      <c r="C210" s="63" t="s">
        <v>479</v>
      </c>
      <c r="D210" s="25" t="s">
        <v>48</v>
      </c>
      <c r="E210" s="23">
        <v>0.55600000000000005</v>
      </c>
      <c r="F210" s="11">
        <f t="shared" ref="F210:F216" si="182">E210/1000</f>
        <v>5.5600000000000007E-4</v>
      </c>
      <c r="G210" s="9">
        <f>3+47</f>
        <v>50</v>
      </c>
      <c r="H210" s="11">
        <v>4.9999999999999998E-7</v>
      </c>
      <c r="I210" s="11">
        <f>F210*G210/H210</f>
        <v>55600.000000000015</v>
      </c>
      <c r="J210" s="11">
        <f t="shared" ref="J210:J216" si="183">I210/10</f>
        <v>5560.0000000000018</v>
      </c>
      <c r="K210" s="9" t="s">
        <v>176</v>
      </c>
      <c r="L210" s="9" t="s">
        <v>176</v>
      </c>
      <c r="M210" s="9" t="s">
        <v>176</v>
      </c>
      <c r="N210" s="9">
        <f>4+68</f>
        <v>72</v>
      </c>
      <c r="P210" s="11">
        <f>N210/N9</f>
        <v>72000000</v>
      </c>
      <c r="Q210" s="2">
        <v>0.67</v>
      </c>
      <c r="R210" s="45">
        <f>LN(P210/J210)/(Q210*LN(2))</f>
        <v>20.388991646500916</v>
      </c>
      <c r="S210" s="54" t="s">
        <v>425</v>
      </c>
    </row>
    <row r="211" spans="1:19" x14ac:dyDescent="0.25">
      <c r="A211" s="12">
        <v>44496</v>
      </c>
      <c r="B211" s="66">
        <v>3</v>
      </c>
      <c r="C211" s="63" t="s">
        <v>421</v>
      </c>
      <c r="D211" s="4" t="s">
        <v>44</v>
      </c>
      <c r="E211" s="23">
        <v>3.85</v>
      </c>
      <c r="F211" s="11">
        <f t="shared" si="182"/>
        <v>3.8500000000000001E-3</v>
      </c>
      <c r="G211" s="9">
        <v>78</v>
      </c>
      <c r="H211" s="11">
        <v>5.0000000000000004E-6</v>
      </c>
      <c r="I211" s="11">
        <f t="shared" ref="I211" si="184">F211*G211/H211</f>
        <v>60060</v>
      </c>
      <c r="J211" s="11">
        <f t="shared" si="183"/>
        <v>6006</v>
      </c>
      <c r="L211" s="9">
        <v>108</v>
      </c>
      <c r="M211" s="9">
        <v>46</v>
      </c>
      <c r="N211" s="9">
        <v>10</v>
      </c>
      <c r="P211" s="11">
        <f>SUM(L211,M211,N211)/SUM(L9,M9,N9)</f>
        <v>10249999.999999998</v>
      </c>
      <c r="Q211" s="2">
        <v>0.67</v>
      </c>
      <c r="R211" s="45">
        <f t="shared" ref="R211:R212" si="185">LN(P211/J211)/(Q211*LN(2))</f>
        <v>16.025271364753891</v>
      </c>
      <c r="S211" s="54"/>
    </row>
    <row r="212" spans="1:19" x14ac:dyDescent="0.25">
      <c r="A212" s="12">
        <v>44496</v>
      </c>
      <c r="B212" s="52">
        <v>4</v>
      </c>
      <c r="C212" s="4" t="s">
        <v>422</v>
      </c>
      <c r="D212" s="4" t="s">
        <v>37</v>
      </c>
      <c r="E212" s="23">
        <v>19.489999999999998</v>
      </c>
      <c r="F212" s="11">
        <f t="shared" si="182"/>
        <v>1.9489999999999997E-2</v>
      </c>
      <c r="G212" s="9">
        <v>90</v>
      </c>
      <c r="H212" s="11">
        <v>2.0000000000000002E-5</v>
      </c>
      <c r="I212" s="11">
        <f>F212*G212/H212</f>
        <v>87704.999999999985</v>
      </c>
      <c r="J212" s="11">
        <f t="shared" si="183"/>
        <v>8770.4999999999982</v>
      </c>
      <c r="K212" s="9" t="s">
        <v>176</v>
      </c>
      <c r="L212" s="9">
        <v>97</v>
      </c>
      <c r="M212" s="9">
        <v>50</v>
      </c>
      <c r="N212" s="9">
        <v>10</v>
      </c>
      <c r="P212" s="11">
        <f>SUM(L212,M212,N212)/SUM(L9,M9,N9)</f>
        <v>9812499.9999999981</v>
      </c>
      <c r="Q212" s="2">
        <v>0.75</v>
      </c>
      <c r="R212" s="45">
        <f t="shared" si="185"/>
        <v>13.503661255354134</v>
      </c>
    </row>
    <row r="213" spans="1:19" x14ac:dyDescent="0.25">
      <c r="A213" s="12">
        <v>44496</v>
      </c>
      <c r="B213" s="66">
        <v>5</v>
      </c>
      <c r="C213" s="63" t="s">
        <v>423</v>
      </c>
      <c r="D213" s="25" t="s">
        <v>41</v>
      </c>
      <c r="E213" s="23">
        <v>19.23</v>
      </c>
      <c r="F213" s="11">
        <f t="shared" si="182"/>
        <v>1.9230000000000001E-2</v>
      </c>
      <c r="G213" s="9">
        <v>94</v>
      </c>
      <c r="H213" s="11">
        <v>2.0000000000000002E-5</v>
      </c>
      <c r="I213" s="11">
        <f>F213*G213/H213</f>
        <v>90381</v>
      </c>
      <c r="J213" s="11">
        <f t="shared" si="183"/>
        <v>9038.1</v>
      </c>
      <c r="K213" s="9">
        <v>167</v>
      </c>
      <c r="L213" s="9">
        <v>35</v>
      </c>
      <c r="M213" s="9">
        <v>14</v>
      </c>
      <c r="N213" s="9">
        <v>1</v>
      </c>
      <c r="P213" s="11">
        <f>SUM(K213,L213,M213,N213)/SUM(K9,L9,M9,N9)</f>
        <v>3287878.7878787876</v>
      </c>
      <c r="Q213" s="2">
        <v>0.75</v>
      </c>
      <c r="R213" s="45">
        <f>LN(P213/J213)/(Q213*LN(2))</f>
        <v>11.342562504373372</v>
      </c>
      <c r="S213" s="54"/>
    </row>
    <row r="214" spans="1:19" x14ac:dyDescent="0.25">
      <c r="A214" s="12">
        <v>44496</v>
      </c>
      <c r="B214" s="66">
        <v>6</v>
      </c>
      <c r="C214" s="63" t="s">
        <v>393</v>
      </c>
      <c r="D214" s="4" t="s">
        <v>394</v>
      </c>
      <c r="E214" s="23">
        <v>36.229999999999997</v>
      </c>
      <c r="F214" s="11">
        <f t="shared" si="182"/>
        <v>3.6229999999999998E-2</v>
      </c>
      <c r="G214" s="9">
        <v>222</v>
      </c>
      <c r="H214" s="11">
        <v>5.0000000000000002E-5</v>
      </c>
      <c r="I214" s="11">
        <f t="shared" ref="I214" si="186">F214*G214/H214</f>
        <v>160861.19999999995</v>
      </c>
      <c r="J214" s="11">
        <f t="shared" si="183"/>
        <v>16086.119999999995</v>
      </c>
      <c r="L214" s="9">
        <v>77</v>
      </c>
      <c r="N214" s="9">
        <v>9</v>
      </c>
      <c r="O214" s="9">
        <v>2</v>
      </c>
      <c r="P214" s="11">
        <f>SUM(L214,N214,O214)/SUM(L9,N9,O9)</f>
        <v>7652173.9130434776</v>
      </c>
      <c r="Q214" s="2">
        <v>1</v>
      </c>
      <c r="R214" s="45">
        <f t="shared" ref="R214:R216" si="187">LN(P214/J214)/(Q214*LN(2))</f>
        <v>8.8939094648757901</v>
      </c>
      <c r="S214" s="54"/>
    </row>
    <row r="215" spans="1:19" x14ac:dyDescent="0.25">
      <c r="A215" s="12">
        <v>44496</v>
      </c>
      <c r="B215" s="52">
        <v>7</v>
      </c>
      <c r="C215" s="63" t="s">
        <v>384</v>
      </c>
      <c r="D215" s="4" t="s">
        <v>368</v>
      </c>
      <c r="E215" s="23">
        <v>12.82</v>
      </c>
      <c r="F215" s="11">
        <f t="shared" si="182"/>
        <v>1.282E-2</v>
      </c>
      <c r="G215" s="9">
        <v>194</v>
      </c>
      <c r="H215" s="11">
        <v>2.0000000000000001E-4</v>
      </c>
      <c r="I215" s="11">
        <f>F215*G215/H215</f>
        <v>12435.4</v>
      </c>
      <c r="J215" s="11">
        <f t="shared" si="183"/>
        <v>1243.54</v>
      </c>
      <c r="K215" s="9" t="s">
        <v>176</v>
      </c>
      <c r="L215" s="9">
        <v>129</v>
      </c>
      <c r="M215" s="9">
        <v>70</v>
      </c>
      <c r="N215" s="9">
        <v>14</v>
      </c>
      <c r="P215" s="11">
        <f>SUM(L215,M215,N215)/SUM(L9,M9,N9)</f>
        <v>13312499.999999998</v>
      </c>
      <c r="Q215" s="2">
        <v>1.25</v>
      </c>
      <c r="R215" s="45">
        <f t="shared" si="187"/>
        <v>10.708832792415095</v>
      </c>
    </row>
    <row r="216" spans="1:19" x14ac:dyDescent="0.25">
      <c r="A216" s="12">
        <v>44496</v>
      </c>
      <c r="B216" s="52">
        <v>8</v>
      </c>
      <c r="C216" s="63" t="s">
        <v>424</v>
      </c>
      <c r="D216" s="25" t="s">
        <v>45</v>
      </c>
      <c r="E216" s="55">
        <v>53.76</v>
      </c>
      <c r="F216" s="11">
        <f t="shared" si="182"/>
        <v>5.3759999999999995E-2</v>
      </c>
      <c r="G216" s="9">
        <v>64</v>
      </c>
      <c r="H216" s="11">
        <v>5.0000000000000002E-5</v>
      </c>
      <c r="I216" s="11">
        <f>F216*G216/H216</f>
        <v>68812.799999999988</v>
      </c>
      <c r="J216" s="11">
        <f t="shared" si="183"/>
        <v>6881.2799999999988</v>
      </c>
      <c r="K216" s="9" t="s">
        <v>176</v>
      </c>
      <c r="L216" s="9">
        <v>71</v>
      </c>
      <c r="M216" s="9">
        <v>37</v>
      </c>
      <c r="N216" s="9">
        <v>9</v>
      </c>
      <c r="P216" s="11">
        <f>SUM(L216,M216,N216)/SUM(L9,M9,N9)</f>
        <v>7312499.9999999991</v>
      </c>
      <c r="Q216" s="2">
        <v>1.5</v>
      </c>
      <c r="R216" s="45">
        <f t="shared" si="187"/>
        <v>6.7023147039356958</v>
      </c>
    </row>
    <row r="218" spans="1:19" x14ac:dyDescent="0.25">
      <c r="A218" s="12">
        <v>44497</v>
      </c>
      <c r="B218" s="66">
        <v>1</v>
      </c>
      <c r="C218" s="4">
        <v>206.4</v>
      </c>
      <c r="D218" s="25" t="s">
        <v>47</v>
      </c>
      <c r="E218" s="23">
        <v>1.4990000000000001</v>
      </c>
      <c r="F218" s="11">
        <f>E218/1000</f>
        <v>1.4990000000000001E-3</v>
      </c>
      <c r="G218" s="9">
        <f>133+17</f>
        <v>150</v>
      </c>
      <c r="H218" s="11">
        <v>1.9999999999999999E-6</v>
      </c>
      <c r="I218" s="11">
        <f>F218*G218/H218</f>
        <v>112425.00000000001</v>
      </c>
      <c r="J218" s="11">
        <f>I218/10</f>
        <v>11242.500000000002</v>
      </c>
      <c r="M218" s="9" t="s">
        <v>176</v>
      </c>
      <c r="N218" s="9">
        <f>7+141</f>
        <v>148</v>
      </c>
      <c r="O218" s="9">
        <f>7+74</f>
        <v>81</v>
      </c>
      <c r="P218" s="11">
        <f>SUM(N218,O218)/SUM(N9,O9)</f>
        <v>152666666.66666666</v>
      </c>
      <c r="Q218" s="2">
        <v>0.67</v>
      </c>
      <c r="R218" s="45">
        <f>LN(P218/J218)/(Q218*LN(2))</f>
        <v>20.491245661408332</v>
      </c>
      <c r="S218" s="54" t="s">
        <v>432</v>
      </c>
    </row>
    <row r="219" spans="1:19" x14ac:dyDescent="0.25">
      <c r="A219" s="12">
        <v>44497</v>
      </c>
      <c r="B219" s="66">
        <v>2</v>
      </c>
      <c r="C219" s="63" t="s">
        <v>480</v>
      </c>
      <c r="D219" s="25" t="s">
        <v>48</v>
      </c>
      <c r="E219" s="23">
        <v>1.389</v>
      </c>
      <c r="F219" s="11">
        <f t="shared" ref="F219:F225" si="188">E219/1000</f>
        <v>1.389E-3</v>
      </c>
      <c r="G219" s="9">
        <f>23+11</f>
        <v>34</v>
      </c>
      <c r="H219" s="11">
        <v>9.9999999999999995E-7</v>
      </c>
      <c r="I219" s="11">
        <f>F219*G219/H219</f>
        <v>47226.000000000007</v>
      </c>
      <c r="J219" s="11">
        <f t="shared" ref="J219:J225" si="189">I219/10</f>
        <v>4722.6000000000004</v>
      </c>
      <c r="M219" s="9" t="s">
        <v>176</v>
      </c>
      <c r="N219" s="9">
        <f>11+70</f>
        <v>81</v>
      </c>
      <c r="O219" s="9">
        <f>4+36</f>
        <v>40</v>
      </c>
      <c r="P219" s="11">
        <f>SUM(N219,O219)/SUM(N9,O9)</f>
        <v>80666666.666666672</v>
      </c>
      <c r="Q219" s="2">
        <v>0.67</v>
      </c>
      <c r="R219" s="45">
        <f>LN(P219/J219)/(Q219*LN(2))</f>
        <v>20.985229366467522</v>
      </c>
      <c r="S219" s="54" t="s">
        <v>432</v>
      </c>
    </row>
    <row r="220" spans="1:19" x14ac:dyDescent="0.25">
      <c r="A220" s="12">
        <v>44497</v>
      </c>
      <c r="B220" s="66">
        <v>3</v>
      </c>
      <c r="C220" s="4" t="s">
        <v>426</v>
      </c>
      <c r="D220" s="4" t="s">
        <v>44</v>
      </c>
      <c r="E220" s="23">
        <v>9.7100000000000009</v>
      </c>
      <c r="F220" s="11">
        <f t="shared" si="188"/>
        <v>9.7100000000000016E-3</v>
      </c>
      <c r="G220" s="9">
        <v>104</v>
      </c>
      <c r="H220" s="11">
        <v>1.0000000000000001E-5</v>
      </c>
      <c r="I220" s="11">
        <f t="shared" ref="I220" si="190">F220*G220/H220</f>
        <v>100984</v>
      </c>
      <c r="J220" s="11">
        <f t="shared" si="189"/>
        <v>10098.4</v>
      </c>
      <c r="K220" s="9" t="s">
        <v>176</v>
      </c>
      <c r="L220" s="9" t="s">
        <v>176</v>
      </c>
      <c r="M220" s="9">
        <v>123</v>
      </c>
      <c r="P220" s="11">
        <f>M220/M9</f>
        <v>24599999.999999996</v>
      </c>
      <c r="Q220" s="2">
        <v>0.67</v>
      </c>
      <c r="R220" s="45">
        <f t="shared" ref="R220:R221" si="191">LN(P220/J220)/(Q220*LN(2))</f>
        <v>16.791516225527058</v>
      </c>
      <c r="S220" s="54"/>
    </row>
    <row r="221" spans="1:19" x14ac:dyDescent="0.25">
      <c r="A221" s="12">
        <v>44497</v>
      </c>
      <c r="B221" s="52">
        <v>4</v>
      </c>
      <c r="C221" s="63" t="s">
        <v>427</v>
      </c>
      <c r="D221" s="4" t="s">
        <v>37</v>
      </c>
      <c r="E221" s="23">
        <v>10.19</v>
      </c>
      <c r="F221" s="11">
        <f t="shared" si="188"/>
        <v>1.0189999999999999E-2</v>
      </c>
      <c r="G221" s="9">
        <v>82</v>
      </c>
      <c r="H221" s="11">
        <v>1.0000000000000001E-5</v>
      </c>
      <c r="I221" s="11">
        <f>F221*G221/H221</f>
        <v>83557.999999999985</v>
      </c>
      <c r="J221" s="11">
        <f t="shared" si="189"/>
        <v>8355.7999999999993</v>
      </c>
      <c r="K221" s="9" t="s">
        <v>176</v>
      </c>
      <c r="L221" s="9">
        <v>162</v>
      </c>
      <c r="M221" s="9">
        <v>102</v>
      </c>
      <c r="P221" s="11">
        <f>SUM(L221,M221)/SUM(L9,M9)</f>
        <v>17599999.999999996</v>
      </c>
      <c r="Q221" s="2">
        <v>0.75</v>
      </c>
      <c r="R221" s="45">
        <f t="shared" si="191"/>
        <v>14.720679796236766</v>
      </c>
    </row>
    <row r="222" spans="1:19" x14ac:dyDescent="0.25">
      <c r="A222" s="12">
        <v>44497</v>
      </c>
      <c r="B222" s="66">
        <v>5</v>
      </c>
      <c r="C222" s="63" t="s">
        <v>428</v>
      </c>
      <c r="D222" s="25" t="s">
        <v>41</v>
      </c>
      <c r="E222" s="55">
        <v>30.4</v>
      </c>
      <c r="F222" s="11">
        <f t="shared" si="188"/>
        <v>3.04E-2</v>
      </c>
      <c r="G222" s="9">
        <v>144</v>
      </c>
      <c r="H222" s="11">
        <v>5.0000000000000002E-5</v>
      </c>
      <c r="I222" s="11">
        <f>F222*G222/H222</f>
        <v>87552</v>
      </c>
      <c r="J222" s="11">
        <f t="shared" si="189"/>
        <v>8755.2000000000007</v>
      </c>
      <c r="M222" s="9" t="s">
        <v>176</v>
      </c>
      <c r="N222" s="9">
        <v>75</v>
      </c>
      <c r="O222" s="9">
        <v>45</v>
      </c>
      <c r="P222" s="11">
        <f>SUM(N222,O222)/SUM(N9,O9)</f>
        <v>80000000</v>
      </c>
      <c r="Q222" s="2">
        <v>1</v>
      </c>
      <c r="R222" s="45">
        <f>LN(P222/J222)/(Q222*LN(2))</f>
        <v>13.157572244213002</v>
      </c>
      <c r="S222" s="54"/>
    </row>
    <row r="223" spans="1:19" x14ac:dyDescent="0.25">
      <c r="A223" s="12">
        <v>44497</v>
      </c>
      <c r="B223" s="66">
        <v>6</v>
      </c>
      <c r="C223" s="63" t="s">
        <v>430</v>
      </c>
      <c r="D223" s="4" t="s">
        <v>368</v>
      </c>
      <c r="E223" s="23">
        <v>7.52</v>
      </c>
      <c r="F223" s="11">
        <f t="shared" si="188"/>
        <v>7.5199999999999998E-3</v>
      </c>
      <c r="G223" s="9">
        <v>73</v>
      </c>
      <c r="H223" s="11">
        <v>1.0000000000000001E-5</v>
      </c>
      <c r="I223" s="11">
        <f t="shared" ref="I223" si="192">F223*G223/H223</f>
        <v>54895.999999999993</v>
      </c>
      <c r="J223" s="11">
        <f t="shared" si="189"/>
        <v>5489.5999999999995</v>
      </c>
      <c r="K223" s="9" t="s">
        <v>176</v>
      </c>
      <c r="L223" s="9">
        <v>87</v>
      </c>
      <c r="M223" s="9">
        <v>56</v>
      </c>
      <c r="N223" s="9">
        <v>6</v>
      </c>
      <c r="P223" s="11">
        <f>SUM(L223,M223,N223)/SUM(L9,M9,N9)</f>
        <v>9312499.9999999981</v>
      </c>
      <c r="Q223" s="2">
        <v>1</v>
      </c>
      <c r="R223" s="45">
        <f t="shared" ref="R223:R225" si="193">LN(P223/J223)/(Q223*LN(2))</f>
        <v>10.728251774116044</v>
      </c>
      <c r="S223" s="54"/>
    </row>
    <row r="224" spans="1:19" x14ac:dyDescent="0.25">
      <c r="A224" s="12">
        <v>44497</v>
      </c>
      <c r="B224" s="52">
        <v>7</v>
      </c>
      <c r="C224" s="63" t="s">
        <v>429</v>
      </c>
      <c r="D224" s="4" t="s">
        <v>394</v>
      </c>
      <c r="E224" s="23">
        <v>13.07</v>
      </c>
      <c r="F224" s="11">
        <f t="shared" si="188"/>
        <v>1.307E-2</v>
      </c>
      <c r="G224" s="9">
        <v>49</v>
      </c>
      <c r="H224" s="11">
        <v>1.0000000000000001E-5</v>
      </c>
      <c r="I224" s="11">
        <f>F224*G224/H224</f>
        <v>64043</v>
      </c>
      <c r="J224" s="11">
        <f t="shared" si="189"/>
        <v>6404.3</v>
      </c>
      <c r="K224" s="9" t="s">
        <v>176</v>
      </c>
      <c r="L224" s="9">
        <v>53</v>
      </c>
      <c r="M224" s="9">
        <v>31</v>
      </c>
      <c r="P224" s="11">
        <f>SUM(L224,M224)/SUM(L9,M9)</f>
        <v>5599999.9999999991</v>
      </c>
      <c r="Q224" s="2">
        <v>1</v>
      </c>
      <c r="R224" s="45">
        <f t="shared" si="193"/>
        <v>9.7721702214711375</v>
      </c>
    </row>
    <row r="225" spans="1:19" x14ac:dyDescent="0.25">
      <c r="A225" s="12">
        <v>44497</v>
      </c>
      <c r="B225" s="52">
        <v>8</v>
      </c>
      <c r="C225" s="63" t="s">
        <v>431</v>
      </c>
      <c r="D225" s="25" t="s">
        <v>45</v>
      </c>
      <c r="E225" s="23">
        <v>13.68</v>
      </c>
      <c r="F225" s="11">
        <f t="shared" si="188"/>
        <v>1.3679999999999999E-2</v>
      </c>
      <c r="G225" s="9">
        <v>77</v>
      </c>
      <c r="H225" s="11">
        <v>1.0000000000000001E-5</v>
      </c>
      <c r="I225" s="11">
        <f>F225*G225/H225</f>
        <v>105335.99999999997</v>
      </c>
      <c r="J225" s="11">
        <f t="shared" si="189"/>
        <v>10533.599999999997</v>
      </c>
      <c r="L225" s="9" t="s">
        <v>176</v>
      </c>
      <c r="M225" s="9">
        <f>11+127</f>
        <v>138</v>
      </c>
      <c r="N225" s="9">
        <f>3+22</f>
        <v>25</v>
      </c>
      <c r="P225" s="11">
        <f>SUM(M225,N225)/SUM(M9,N9)</f>
        <v>27166666.666666664</v>
      </c>
      <c r="Q225" s="2">
        <v>1.5</v>
      </c>
      <c r="R225" s="45">
        <f t="shared" si="193"/>
        <v>7.5550821747604395</v>
      </c>
      <c r="S225" s="9" t="s">
        <v>433</v>
      </c>
    </row>
    <row r="226" spans="1:19" x14ac:dyDescent="0.25">
      <c r="A226" s="12">
        <v>44497</v>
      </c>
      <c r="B226" s="52">
        <v>9</v>
      </c>
      <c r="C226" s="63" t="s">
        <v>386</v>
      </c>
      <c r="D226" s="4" t="s">
        <v>372</v>
      </c>
      <c r="E226" s="55">
        <v>80.7</v>
      </c>
      <c r="F226" s="11">
        <f t="shared" ref="F226:F227" si="194">E226/1000</f>
        <v>8.0700000000000008E-2</v>
      </c>
      <c r="G226" s="9">
        <v>147</v>
      </c>
      <c r="H226" s="11">
        <v>1E-4</v>
      </c>
      <c r="I226" s="11">
        <f>F226*G226/H226</f>
        <v>118629.00000000001</v>
      </c>
      <c r="J226" s="11">
        <f t="shared" ref="J226:J227" si="195">I226/10</f>
        <v>11862.900000000001</v>
      </c>
      <c r="K226" s="9" t="s">
        <v>176</v>
      </c>
      <c r="L226" s="9" t="s">
        <v>176</v>
      </c>
      <c r="M226" s="9" t="s">
        <v>176</v>
      </c>
      <c r="N226" s="9">
        <f>20+126</f>
        <v>146</v>
      </c>
      <c r="P226" s="11">
        <f>N226/N9</f>
        <v>146000000</v>
      </c>
      <c r="Q226" s="2">
        <v>1.75</v>
      </c>
      <c r="R226" s="45">
        <f t="shared" ref="R226:R227" si="196">LN(P226/J226)/(Q226*LN(2))</f>
        <v>7.7641280085585205</v>
      </c>
      <c r="S226" s="9" t="s">
        <v>433</v>
      </c>
    </row>
    <row r="227" spans="1:19" x14ac:dyDescent="0.25">
      <c r="A227" s="12">
        <v>44497</v>
      </c>
      <c r="B227" s="52">
        <v>10</v>
      </c>
      <c r="C227" s="63" t="s">
        <v>385</v>
      </c>
      <c r="D227" s="25" t="s">
        <v>370</v>
      </c>
      <c r="E227" s="55">
        <v>41.67</v>
      </c>
      <c r="F227" s="11">
        <f t="shared" si="194"/>
        <v>4.1669999999999999E-2</v>
      </c>
      <c r="G227" s="9">
        <v>145</v>
      </c>
      <c r="H227" s="11">
        <v>5.0000000000000002E-5</v>
      </c>
      <c r="I227" s="11">
        <f>F227*G227/H227</f>
        <v>120842.99999999999</v>
      </c>
      <c r="J227" s="11">
        <f t="shared" si="195"/>
        <v>12084.3</v>
      </c>
      <c r="K227" s="9" t="s">
        <v>176</v>
      </c>
      <c r="L227" s="9" t="s">
        <v>176</v>
      </c>
      <c r="M227" s="9" t="s">
        <v>176</v>
      </c>
      <c r="N227" s="9">
        <v>170</v>
      </c>
      <c r="O227" s="9">
        <v>93</v>
      </c>
      <c r="P227" s="11">
        <f>SUM(N227,O227)/SUM(N9,O9)</f>
        <v>175333333.33333334</v>
      </c>
      <c r="Q227" s="2">
        <v>1.75</v>
      </c>
      <c r="R227" s="45">
        <f t="shared" si="196"/>
        <v>7.8998164416871779</v>
      </c>
    </row>
    <row r="229" spans="1:19" x14ac:dyDescent="0.25">
      <c r="A229" s="12">
        <v>44501</v>
      </c>
      <c r="B229" s="66">
        <v>1</v>
      </c>
      <c r="C229" s="4" t="s">
        <v>481</v>
      </c>
      <c r="D229" s="25" t="s">
        <v>48</v>
      </c>
      <c r="E229" s="23">
        <v>1.2390000000000001</v>
      </c>
      <c r="F229" s="11">
        <f>E229/1000</f>
        <v>1.2390000000000001E-3</v>
      </c>
      <c r="G229" s="9">
        <f>8+66</f>
        <v>74</v>
      </c>
      <c r="H229" s="11">
        <v>9.9999999999999995E-7</v>
      </c>
      <c r="I229" s="11">
        <f>F229*G229/H229</f>
        <v>91686.000000000015</v>
      </c>
      <c r="J229" s="11">
        <f>I229/10</f>
        <v>9168.6000000000022</v>
      </c>
      <c r="N229" s="9">
        <f>24+110</f>
        <v>134</v>
      </c>
      <c r="P229" s="11">
        <f>N229/N9</f>
        <v>134000000</v>
      </c>
      <c r="Q229" s="2">
        <v>0.67</v>
      </c>
      <c r="R229" s="45">
        <f>LN(P229/J229)/(Q229*LN(2))</f>
        <v>20.649510472984709</v>
      </c>
      <c r="S229" s="54" t="s">
        <v>440</v>
      </c>
    </row>
    <row r="230" spans="1:19" x14ac:dyDescent="0.25">
      <c r="A230" s="12">
        <v>44501</v>
      </c>
      <c r="B230" s="66">
        <v>2</v>
      </c>
      <c r="C230" s="4" t="s">
        <v>435</v>
      </c>
      <c r="D230" s="25" t="s">
        <v>394</v>
      </c>
      <c r="E230" s="23">
        <v>17.86</v>
      </c>
      <c r="F230" s="11">
        <f t="shared" ref="F230:F235" si="197">E230/1000</f>
        <v>1.7860000000000001E-2</v>
      </c>
      <c r="G230" s="9">
        <v>82</v>
      </c>
      <c r="H230" s="11">
        <v>2.0000000000000002E-5</v>
      </c>
      <c r="I230" s="11">
        <f>F230*G230/H230</f>
        <v>73226</v>
      </c>
      <c r="J230" s="11">
        <f t="shared" ref="J230:J235" si="198">I230/10</f>
        <v>7322.6</v>
      </c>
      <c r="K230" s="9" t="s">
        <v>176</v>
      </c>
      <c r="L230" s="9">
        <v>84</v>
      </c>
      <c r="M230" s="9">
        <v>35</v>
      </c>
      <c r="N230" s="9">
        <v>2</v>
      </c>
      <c r="P230" s="11">
        <f>SUM(L230,M230,N230)/SUM(L9,M9,N9)</f>
        <v>7562499.9999999991</v>
      </c>
      <c r="Q230" s="2">
        <v>1</v>
      </c>
      <c r="R230" s="45">
        <f>LN(P230/J230)/(Q230*LN(2))</f>
        <v>10.012291531746824</v>
      </c>
      <c r="S230" s="54"/>
    </row>
    <row r="231" spans="1:19" x14ac:dyDescent="0.25">
      <c r="A231" s="12">
        <v>44501</v>
      </c>
      <c r="B231" s="66">
        <v>3</v>
      </c>
      <c r="C231" s="4" t="s">
        <v>434</v>
      </c>
      <c r="D231" s="4" t="s">
        <v>368</v>
      </c>
      <c r="E231" s="23">
        <v>10.74</v>
      </c>
      <c r="F231" s="11">
        <f t="shared" si="197"/>
        <v>1.074E-2</v>
      </c>
      <c r="G231" s="9">
        <v>94</v>
      </c>
      <c r="H231" s="11">
        <v>1.0000000000000001E-5</v>
      </c>
      <c r="I231" s="11">
        <f t="shared" ref="I231" si="199">F231*G231/H231</f>
        <v>100956</v>
      </c>
      <c r="J231" s="11">
        <f t="shared" si="198"/>
        <v>10095.6</v>
      </c>
      <c r="L231" s="9">
        <v>182</v>
      </c>
      <c r="M231" s="9">
        <v>79</v>
      </c>
      <c r="N231" s="9">
        <v>17</v>
      </c>
      <c r="O231" s="9">
        <v>7</v>
      </c>
      <c r="P231" s="11">
        <f>SUM(L231,M231,N231,O231)/SUM(L9,M9,N9,O9)</f>
        <v>17272727.27272727</v>
      </c>
      <c r="Q231" s="2">
        <v>1</v>
      </c>
      <c r="R231" s="45">
        <f t="shared" ref="R231:R232" si="200">LN(P231/J231)/(Q231*LN(2))</f>
        <v>10.740553524242136</v>
      </c>
      <c r="S231" s="54"/>
    </row>
    <row r="232" spans="1:19" x14ac:dyDescent="0.25">
      <c r="A232" s="12">
        <v>44501</v>
      </c>
      <c r="B232" s="52">
        <v>4</v>
      </c>
      <c r="C232" s="63" t="s">
        <v>436</v>
      </c>
      <c r="D232" s="4" t="s">
        <v>45</v>
      </c>
      <c r="E232" s="23">
        <v>3.68</v>
      </c>
      <c r="F232" s="11">
        <f t="shared" si="197"/>
        <v>3.6800000000000001E-3</v>
      </c>
      <c r="G232" s="9">
        <f>9+129</f>
        <v>138</v>
      </c>
      <c r="H232" s="11">
        <v>5.0000000000000004E-6</v>
      </c>
      <c r="I232" s="11">
        <f>F232*G232/H232</f>
        <v>101568</v>
      </c>
      <c r="J232" s="11">
        <f t="shared" si="198"/>
        <v>10156.799999999999</v>
      </c>
      <c r="L232" s="9" t="s">
        <v>176</v>
      </c>
      <c r="M232" s="9" t="s">
        <v>176</v>
      </c>
      <c r="N232" s="9" t="s">
        <v>176</v>
      </c>
      <c r="O232" s="9">
        <v>314</v>
      </c>
      <c r="P232" s="11">
        <f>O232/O9</f>
        <v>628000000</v>
      </c>
      <c r="Q232" s="2">
        <v>1.25</v>
      </c>
      <c r="R232" s="45">
        <f t="shared" si="200"/>
        <v>12.732824800214386</v>
      </c>
      <c r="S232" s="9" t="s">
        <v>442</v>
      </c>
    </row>
    <row r="233" spans="1:19" x14ac:dyDescent="0.25">
      <c r="A233" s="12">
        <v>44501</v>
      </c>
      <c r="B233" s="66">
        <v>5</v>
      </c>
      <c r="C233" s="63" t="s">
        <v>438</v>
      </c>
      <c r="D233" s="25" t="s">
        <v>370</v>
      </c>
      <c r="E233" s="55">
        <v>0.57099999999999995</v>
      </c>
      <c r="F233" s="11">
        <f t="shared" si="197"/>
        <v>5.71E-4</v>
      </c>
      <c r="G233" s="9">
        <v>69</v>
      </c>
      <c r="H233" s="11">
        <v>4.9999999999999998E-7</v>
      </c>
      <c r="I233" s="11">
        <f>F233*G233/H233</f>
        <v>78798.000000000015</v>
      </c>
      <c r="J233" s="11">
        <f t="shared" si="198"/>
        <v>7879.8000000000011</v>
      </c>
      <c r="K233" s="9">
        <v>172</v>
      </c>
      <c r="L233" s="9">
        <v>45</v>
      </c>
      <c r="M233" s="9">
        <v>20</v>
      </c>
      <c r="N233" s="9">
        <v>6</v>
      </c>
      <c r="P233" s="11">
        <f>SUM(K233,L233,M233,N233)/SUM(K9,L9,M9,N9)</f>
        <v>3681818.1818181816</v>
      </c>
      <c r="Q233" s="2">
        <v>1.25</v>
      </c>
      <c r="R233" s="45">
        <f>LN(P233/J233)/(Q233*LN(2))</f>
        <v>7.0944349250542817</v>
      </c>
      <c r="S233" s="54"/>
    </row>
    <row r="234" spans="1:19" x14ac:dyDescent="0.25">
      <c r="A234" s="12">
        <v>44501</v>
      </c>
      <c r="B234" s="66">
        <v>6</v>
      </c>
      <c r="C234" s="63" t="s">
        <v>437</v>
      </c>
      <c r="D234" s="4" t="s">
        <v>372</v>
      </c>
      <c r="E234" s="23">
        <v>0.68500000000000005</v>
      </c>
      <c r="F234" s="11">
        <f t="shared" si="197"/>
        <v>6.8500000000000006E-4</v>
      </c>
      <c r="G234" s="9">
        <f>106+14</f>
        <v>120</v>
      </c>
      <c r="H234" s="11">
        <v>9.9999999999999995E-7</v>
      </c>
      <c r="I234" s="11">
        <f t="shared" ref="I234" si="201">F234*G234/H234</f>
        <v>82200.000000000015</v>
      </c>
      <c r="J234" s="11">
        <f t="shared" si="198"/>
        <v>8220.0000000000018</v>
      </c>
      <c r="K234" s="9" t="s">
        <v>176</v>
      </c>
      <c r="L234" s="9" t="s">
        <v>176</v>
      </c>
      <c r="M234" s="9" t="s">
        <v>176</v>
      </c>
      <c r="N234" s="9" t="s">
        <v>176</v>
      </c>
      <c r="P234" s="11"/>
      <c r="Q234" s="2">
        <v>1.75</v>
      </c>
      <c r="R234" s="45" t="e">
        <f t="shared" ref="R234:R235" si="202">LN(P234/J234)/(Q234*LN(2))</f>
        <v>#NUM!</v>
      </c>
      <c r="S234" s="54" t="s">
        <v>441</v>
      </c>
    </row>
    <row r="235" spans="1:19" x14ac:dyDescent="0.25">
      <c r="A235" s="12">
        <v>44501</v>
      </c>
      <c r="B235" s="52">
        <v>7</v>
      </c>
      <c r="C235" s="63" t="s">
        <v>407</v>
      </c>
      <c r="D235" s="4" t="s">
        <v>46</v>
      </c>
      <c r="E235" s="23">
        <v>138.9</v>
      </c>
      <c r="F235" s="11">
        <f t="shared" si="197"/>
        <v>0.1389</v>
      </c>
      <c r="G235" s="9">
        <v>5</v>
      </c>
      <c r="H235" s="11">
        <v>1.0000000000000001E-5</v>
      </c>
      <c r="I235" s="11">
        <f>F235*G235/H235</f>
        <v>69450</v>
      </c>
      <c r="J235" s="11">
        <f t="shared" si="198"/>
        <v>6945</v>
      </c>
      <c r="K235" s="9" t="s">
        <v>176</v>
      </c>
      <c r="L235" s="9" t="s">
        <v>176</v>
      </c>
      <c r="M235" s="9" t="s">
        <v>176</v>
      </c>
      <c r="N235" s="9">
        <v>120</v>
      </c>
      <c r="P235" s="11">
        <f>N235/N9</f>
        <v>120000000</v>
      </c>
      <c r="Q235" s="2">
        <v>6</v>
      </c>
      <c r="R235" s="45">
        <f t="shared" si="202"/>
        <v>2.3461166976773229</v>
      </c>
      <c r="S235" s="9" t="s">
        <v>439</v>
      </c>
    </row>
    <row r="237" spans="1:19" x14ac:dyDescent="0.25">
      <c r="A237" s="12">
        <v>44502</v>
      </c>
      <c r="B237" s="66">
        <v>1</v>
      </c>
      <c r="C237" s="4" t="s">
        <v>443</v>
      </c>
      <c r="D237" s="25" t="s">
        <v>394</v>
      </c>
      <c r="E237" s="23">
        <v>13.23</v>
      </c>
      <c r="F237" s="11">
        <f>E237/1000</f>
        <v>1.323E-2</v>
      </c>
      <c r="G237" s="9">
        <v>77</v>
      </c>
      <c r="H237" s="11">
        <v>2.0000000000000002E-5</v>
      </c>
      <c r="I237" s="11">
        <f>F237*G237/H237</f>
        <v>50935.499999999993</v>
      </c>
      <c r="J237" s="11">
        <f>I237/10</f>
        <v>5093.5499999999993</v>
      </c>
      <c r="L237" s="9">
        <v>49</v>
      </c>
      <c r="M237" s="9">
        <v>25</v>
      </c>
      <c r="N237" s="9">
        <v>9</v>
      </c>
      <c r="P237" s="11">
        <f>SUM(L237,M237,N237)/SUM(L9,M9,N9)</f>
        <v>5187499.9999999991</v>
      </c>
      <c r="Q237" s="2">
        <v>1</v>
      </c>
      <c r="R237" s="45">
        <f>LN(P237/J237)/(Q237*LN(2))</f>
        <v>9.9921522085848835</v>
      </c>
      <c r="S237" s="54"/>
    </row>
    <row r="238" spans="1:19" x14ac:dyDescent="0.25">
      <c r="A238" s="12">
        <v>44502</v>
      </c>
      <c r="B238" s="66">
        <v>2</v>
      </c>
      <c r="C238" s="4" t="s">
        <v>444</v>
      </c>
      <c r="D238" s="25" t="s">
        <v>368</v>
      </c>
      <c r="E238" s="23">
        <v>5.78</v>
      </c>
      <c r="F238" s="11">
        <f t="shared" ref="F238:F240" si="203">E238/1000</f>
        <v>5.7800000000000004E-3</v>
      </c>
      <c r="G238" s="9">
        <f>3+117</f>
        <v>120</v>
      </c>
      <c r="H238" s="11">
        <v>1.0000000000000001E-5</v>
      </c>
      <c r="I238" s="11">
        <f>F238*G238/H238</f>
        <v>69360</v>
      </c>
      <c r="J238" s="11">
        <f t="shared" ref="J238:J240" si="204">I238/10</f>
        <v>6936</v>
      </c>
      <c r="L238" s="9" t="s">
        <v>176</v>
      </c>
      <c r="M238" s="9">
        <f>5+84</f>
        <v>89</v>
      </c>
      <c r="N238" s="9">
        <f>15+17</f>
        <v>32</v>
      </c>
      <c r="P238" s="11">
        <f>SUM(M238,N238)/SUM(M9,N9)</f>
        <v>20166666.666666668</v>
      </c>
      <c r="Q238" s="2">
        <v>1</v>
      </c>
      <c r="R238" s="45">
        <f>LN(P238/J238)/(Q238*LN(2))</f>
        <v>11.505581122655778</v>
      </c>
      <c r="S238" s="54" t="s">
        <v>447</v>
      </c>
    </row>
    <row r="239" spans="1:19" x14ac:dyDescent="0.25">
      <c r="A239" s="12">
        <v>44502</v>
      </c>
      <c r="B239" s="66">
        <v>3</v>
      </c>
      <c r="C239" s="4" t="s">
        <v>445</v>
      </c>
      <c r="D239" s="4" t="s">
        <v>370</v>
      </c>
      <c r="E239" s="23">
        <v>27.17</v>
      </c>
      <c r="F239" s="11">
        <f t="shared" si="203"/>
        <v>2.7170000000000003E-2</v>
      </c>
      <c r="G239" s="9">
        <v>112</v>
      </c>
      <c r="H239" s="11">
        <v>5.0000000000000002E-5</v>
      </c>
      <c r="I239" s="11">
        <f t="shared" ref="I239" si="205">F239*G239/H239</f>
        <v>60860.800000000003</v>
      </c>
      <c r="J239" s="11">
        <f t="shared" si="204"/>
        <v>6086.08</v>
      </c>
      <c r="L239" s="9" t="s">
        <v>176</v>
      </c>
      <c r="M239" s="9" t="s">
        <v>176</v>
      </c>
      <c r="N239" s="9">
        <v>119</v>
      </c>
      <c r="P239" s="11">
        <f>N239/N9</f>
        <v>119000000</v>
      </c>
      <c r="Q239" s="2">
        <v>1.5</v>
      </c>
      <c r="R239" s="45">
        <f t="shared" ref="R239:R240" si="206">LN(P239/J239)/(Q239*LN(2))</f>
        <v>9.5033925000848427</v>
      </c>
      <c r="S239" s="54"/>
    </row>
    <row r="240" spans="1:19" x14ac:dyDescent="0.25">
      <c r="A240" s="12">
        <v>44502</v>
      </c>
      <c r="B240" s="52">
        <v>4</v>
      </c>
      <c r="C240" s="63" t="s">
        <v>446</v>
      </c>
      <c r="D240" s="4" t="s">
        <v>46</v>
      </c>
      <c r="E240" s="23">
        <v>0.83299999999999996</v>
      </c>
      <c r="F240" s="11">
        <f t="shared" si="203"/>
        <v>8.3299999999999997E-4</v>
      </c>
      <c r="G240" s="9">
        <v>124</v>
      </c>
      <c r="H240" s="11">
        <v>9.9999999999999995E-7</v>
      </c>
      <c r="I240" s="11">
        <f>F240*G240/H240</f>
        <v>103292</v>
      </c>
      <c r="J240" s="11">
        <f t="shared" si="204"/>
        <v>10329.200000000001</v>
      </c>
      <c r="N240" s="9" t="s">
        <v>176</v>
      </c>
      <c r="O240" s="9" t="s">
        <v>176</v>
      </c>
      <c r="P240" s="11">
        <f>(15+74+2+7)/SUM(0.00000005, 0.000000005)</f>
        <v>1781818181.818182</v>
      </c>
      <c r="Q240" s="2">
        <v>4.25</v>
      </c>
      <c r="R240" s="45">
        <f t="shared" si="206"/>
        <v>4.093238137343941</v>
      </c>
      <c r="S240" s="9" t="s">
        <v>433</v>
      </c>
    </row>
    <row r="241" spans="1:19" x14ac:dyDescent="0.25">
      <c r="A241" s="12">
        <v>44502</v>
      </c>
      <c r="B241" s="52" t="s">
        <v>240</v>
      </c>
      <c r="C241" s="63" t="s">
        <v>437</v>
      </c>
      <c r="D241" s="4" t="s">
        <v>372</v>
      </c>
      <c r="E241" s="23">
        <v>0.68500000000000005</v>
      </c>
      <c r="F241" s="11">
        <f t="shared" ref="F241:F242" si="207">E241/1000</f>
        <v>6.8500000000000006E-4</v>
      </c>
      <c r="G241" s="9">
        <f>55+5</f>
        <v>60</v>
      </c>
      <c r="H241" s="11">
        <v>9.9999999999999995E-7</v>
      </c>
      <c r="I241" s="11">
        <f>F241*G241/H241</f>
        <v>41100.000000000007</v>
      </c>
      <c r="J241" s="11">
        <f t="shared" ref="J241" si="208">I241/10</f>
        <v>4110.0000000000009</v>
      </c>
      <c r="O241" s="9" t="s">
        <v>176</v>
      </c>
      <c r="P241" s="11">
        <f>(10+11+78+5+5+34)/SUM(0.00000001, 0.000000005)</f>
        <v>9533333333.3333321</v>
      </c>
      <c r="Q241" s="2">
        <v>1.75</v>
      </c>
      <c r="R241" s="45">
        <f t="shared" ref="R241:R242" si="209">LN(P241/J241)/(Q241*LN(2))</f>
        <v>12.083091952335479</v>
      </c>
      <c r="S241" s="9" t="s">
        <v>448</v>
      </c>
    </row>
    <row r="242" spans="1:19" x14ac:dyDescent="0.25">
      <c r="A242" s="12">
        <v>44502</v>
      </c>
      <c r="B242" s="52" t="s">
        <v>240</v>
      </c>
      <c r="C242" s="63" t="s">
        <v>407</v>
      </c>
      <c r="D242" s="4" t="s">
        <v>46</v>
      </c>
      <c r="E242" s="23">
        <v>138.9</v>
      </c>
      <c r="F242" s="11">
        <f t="shared" si="207"/>
        <v>0.1389</v>
      </c>
      <c r="G242" s="9">
        <v>368</v>
      </c>
      <c r="H242" s="11">
        <v>1E-3</v>
      </c>
      <c r="I242" s="11">
        <f>F242*G242/H242</f>
        <v>51115.199999999997</v>
      </c>
      <c r="J242" s="11">
        <f t="shared" ref="J242" si="210">I242/10</f>
        <v>5111.5199999999995</v>
      </c>
      <c r="N242" s="9">
        <v>124</v>
      </c>
      <c r="P242" s="11">
        <f>N242/N9</f>
        <v>124000000</v>
      </c>
      <c r="Q242" s="2">
        <v>6</v>
      </c>
      <c r="R242" s="45">
        <f t="shared" si="209"/>
        <v>2.427704704907895</v>
      </c>
    </row>
    <row r="244" spans="1:19" x14ac:dyDescent="0.25">
      <c r="A244" s="12">
        <v>44503</v>
      </c>
      <c r="B244" s="66">
        <v>1</v>
      </c>
      <c r="C244" s="4" t="s">
        <v>454</v>
      </c>
      <c r="D244" s="25" t="s">
        <v>372</v>
      </c>
      <c r="E244" s="23">
        <v>1.0489999999999999E-2</v>
      </c>
      <c r="F244" s="11">
        <f>E244/1000</f>
        <v>1.049E-5</v>
      </c>
      <c r="G244" s="9">
        <f>6+10</f>
        <v>16</v>
      </c>
      <c r="H244" s="11">
        <v>1E-8</v>
      </c>
      <c r="I244" s="11">
        <f>F244*G244/H244</f>
        <v>16784</v>
      </c>
      <c r="J244" s="11">
        <f>I244/10</f>
        <v>1678.4</v>
      </c>
      <c r="K244" s="9" t="s">
        <v>176</v>
      </c>
      <c r="L244" s="9" t="s">
        <v>176</v>
      </c>
      <c r="M244" s="9" t="s">
        <v>176</v>
      </c>
      <c r="N244" s="9" t="s">
        <v>176</v>
      </c>
      <c r="O244" s="9">
        <f>194+20</f>
        <v>214</v>
      </c>
      <c r="P244" s="11">
        <f>O244/O9</f>
        <v>428000000</v>
      </c>
      <c r="Q244" s="2">
        <v>0.75</v>
      </c>
      <c r="R244" s="45">
        <f>LN(P244/J244)/(Q244*LN(2))</f>
        <v>23.946886250713892</v>
      </c>
      <c r="S244" s="54" t="s">
        <v>456</v>
      </c>
    </row>
    <row r="245" spans="1:19" x14ac:dyDescent="0.25">
      <c r="A245" s="12">
        <v>44503</v>
      </c>
      <c r="B245" s="66">
        <v>2</v>
      </c>
      <c r="C245" s="4" t="s">
        <v>450</v>
      </c>
      <c r="D245" s="25" t="s">
        <v>368</v>
      </c>
      <c r="E245" s="23">
        <v>4.95</v>
      </c>
      <c r="F245" s="11">
        <f t="shared" ref="F245:F248" si="211">E245/1000</f>
        <v>4.9500000000000004E-3</v>
      </c>
      <c r="G245" s="9">
        <v>112</v>
      </c>
      <c r="H245" s="11">
        <v>5.0000000000000004E-6</v>
      </c>
      <c r="I245" s="11">
        <f>F245*G245/H245</f>
        <v>110879.99999999999</v>
      </c>
      <c r="J245" s="11">
        <f t="shared" ref="J245:J248" si="212">I245/10</f>
        <v>11087.999999999998</v>
      </c>
      <c r="K245" s="9" t="s">
        <v>176</v>
      </c>
      <c r="L245" s="9" t="s">
        <v>176</v>
      </c>
      <c r="M245" s="9">
        <v>67</v>
      </c>
      <c r="N245" s="9">
        <v>38</v>
      </c>
      <c r="P245" s="11">
        <f>SUM(M245,N245)/SUM(M9,N9)</f>
        <v>17500000</v>
      </c>
      <c r="Q245" s="2">
        <v>0.75</v>
      </c>
      <c r="R245" s="45">
        <f>LN(P245/J245)/(Q245*LN(2))</f>
        <v>14.165520058842571</v>
      </c>
      <c r="S245" s="54" t="s">
        <v>470</v>
      </c>
    </row>
    <row r="246" spans="1:19" x14ac:dyDescent="0.25">
      <c r="A246" s="12">
        <v>44503</v>
      </c>
      <c r="B246" s="66">
        <v>3</v>
      </c>
      <c r="C246" s="4" t="s">
        <v>451</v>
      </c>
      <c r="D246" s="4" t="s">
        <v>370</v>
      </c>
      <c r="E246" s="23">
        <v>0.84</v>
      </c>
      <c r="F246" s="11">
        <f t="shared" si="211"/>
        <v>8.3999999999999993E-4</v>
      </c>
      <c r="G246" s="9">
        <f>36+64</f>
        <v>100</v>
      </c>
      <c r="H246" s="11">
        <v>9.9999999999999995E-7</v>
      </c>
      <c r="I246" s="11">
        <f t="shared" ref="I246" si="213">F246*G246/H246</f>
        <v>84000</v>
      </c>
      <c r="J246" s="11">
        <f t="shared" si="212"/>
        <v>8400</v>
      </c>
      <c r="K246" s="9" t="s">
        <v>176</v>
      </c>
      <c r="L246" s="9" t="s">
        <v>176</v>
      </c>
      <c r="M246" s="9">
        <f>22+98</f>
        <v>120</v>
      </c>
      <c r="N246" s="9">
        <f>8+30</f>
        <v>38</v>
      </c>
      <c r="P246" s="11">
        <f>SUM(M246,N246)/SUM(M9,N9)</f>
        <v>26333333.333333332</v>
      </c>
      <c r="Q246" s="2">
        <v>1</v>
      </c>
      <c r="R246" s="45">
        <f t="shared" ref="R246:R248" si="214">LN(P246/J246)/(Q246*LN(2))</f>
        <v>11.614213204226637</v>
      </c>
      <c r="S246" s="54" t="s">
        <v>455</v>
      </c>
    </row>
    <row r="247" spans="1:19" x14ac:dyDescent="0.25">
      <c r="A247" s="12">
        <v>44503</v>
      </c>
      <c r="B247" s="52">
        <v>4</v>
      </c>
      <c r="C247" s="63" t="s">
        <v>449</v>
      </c>
      <c r="D247" s="4" t="s">
        <v>394</v>
      </c>
      <c r="E247" s="23">
        <v>19.27</v>
      </c>
      <c r="F247" s="11">
        <f t="shared" si="211"/>
        <v>1.9269999999999999E-2</v>
      </c>
      <c r="G247" s="9">
        <v>38</v>
      </c>
      <c r="H247" s="11">
        <v>1.0000000000000001E-5</v>
      </c>
      <c r="I247" s="11">
        <f>F247*G247/H247</f>
        <v>73225.999999999985</v>
      </c>
      <c r="J247" s="11">
        <f t="shared" si="212"/>
        <v>7322.5999999999985</v>
      </c>
      <c r="K247" s="9" t="s">
        <v>176</v>
      </c>
      <c r="L247" s="9" t="s">
        <v>176</v>
      </c>
      <c r="M247" s="9">
        <v>110</v>
      </c>
      <c r="N247" s="9">
        <v>23</v>
      </c>
      <c r="P247" s="11">
        <f>SUM(M247,N247)/SUM(M9,N9)</f>
        <v>22166666.666666668</v>
      </c>
      <c r="Q247" s="2">
        <v>1</v>
      </c>
      <c r="R247" s="45">
        <f t="shared" si="214"/>
        <v>11.563748229252262</v>
      </c>
    </row>
    <row r="248" spans="1:19" x14ac:dyDescent="0.25">
      <c r="A248" s="12">
        <v>44503</v>
      </c>
      <c r="B248" s="52">
        <v>5</v>
      </c>
      <c r="C248" s="63" t="s">
        <v>452</v>
      </c>
      <c r="D248" s="4" t="s">
        <v>46</v>
      </c>
      <c r="E248" s="23">
        <v>5.62E-2</v>
      </c>
      <c r="F248" s="11">
        <f t="shared" si="211"/>
        <v>5.6199999999999997E-5</v>
      </c>
      <c r="G248" s="9">
        <f>11+63</f>
        <v>74</v>
      </c>
      <c r="H248" s="11">
        <v>4.9999999999999998E-8</v>
      </c>
      <c r="I248" s="11">
        <f>F248*G248/H248</f>
        <v>83176</v>
      </c>
      <c r="J248" s="11">
        <f t="shared" si="212"/>
        <v>8317.6</v>
      </c>
      <c r="L248" s="9" t="s">
        <v>176</v>
      </c>
      <c r="M248" s="9" t="s">
        <v>176</v>
      </c>
      <c r="N248" s="9" t="s">
        <v>176</v>
      </c>
      <c r="O248" s="9" t="s">
        <v>176</v>
      </c>
      <c r="P248" s="11">
        <f>(2+29)/(0.00000005)</f>
        <v>620000000</v>
      </c>
      <c r="Q248" s="2">
        <v>2.5</v>
      </c>
      <c r="R248" s="45">
        <f t="shared" si="214"/>
        <v>6.4742965534543595</v>
      </c>
      <c r="S248" s="9" t="s">
        <v>456</v>
      </c>
    </row>
    <row r="250" spans="1:19" x14ac:dyDescent="0.25">
      <c r="A250" s="12">
        <v>44504</v>
      </c>
      <c r="B250" s="66">
        <v>1</v>
      </c>
      <c r="C250" s="4" t="s">
        <v>457</v>
      </c>
      <c r="D250" s="25" t="s">
        <v>372</v>
      </c>
      <c r="E250" s="23">
        <v>0.23400000000000001</v>
      </c>
      <c r="F250" s="11">
        <f>E250/1000</f>
        <v>2.3400000000000002E-4</v>
      </c>
      <c r="G250" s="9">
        <f>14+177</f>
        <v>191</v>
      </c>
      <c r="H250" s="11">
        <v>4.9999999999999998E-7</v>
      </c>
      <c r="I250" s="11">
        <f>F250*G250/H250</f>
        <v>89388.000000000015</v>
      </c>
      <c r="J250" s="11">
        <f>I250/10</f>
        <v>8938.8000000000011</v>
      </c>
      <c r="O250" s="9">
        <f>4+33</f>
        <v>37</v>
      </c>
      <c r="P250" s="11">
        <f>O250/O9</f>
        <v>74000000</v>
      </c>
      <c r="Q250" s="2">
        <v>0.67</v>
      </c>
      <c r="R250" s="45">
        <f>LN(P250/J250)/(Q250*LN(2))</f>
        <v>19.425606689882585</v>
      </c>
      <c r="S250" s="54" t="s">
        <v>460</v>
      </c>
    </row>
    <row r="251" spans="1:19" x14ac:dyDescent="0.25">
      <c r="A251" s="12">
        <v>44504</v>
      </c>
      <c r="B251" s="66">
        <v>2</v>
      </c>
      <c r="C251" s="4" t="s">
        <v>458</v>
      </c>
      <c r="D251" s="25" t="s">
        <v>370</v>
      </c>
      <c r="E251" s="23">
        <v>3.8</v>
      </c>
      <c r="F251" s="11">
        <f t="shared" ref="F251:F252" si="215">E251/1000</f>
        <v>3.8E-3</v>
      </c>
      <c r="G251" s="9">
        <f>37+66</f>
        <v>103</v>
      </c>
      <c r="H251" s="11">
        <v>5.0000000000000004E-6</v>
      </c>
      <c r="I251" s="11">
        <f>F251*G251/H251</f>
        <v>78280</v>
      </c>
      <c r="J251" s="11">
        <f t="shared" ref="J251:J252" si="216">I251/10</f>
        <v>7828</v>
      </c>
      <c r="K251" s="9">
        <f>36+68</f>
        <v>104</v>
      </c>
      <c r="L251" s="9">
        <f>7+26</f>
        <v>33</v>
      </c>
      <c r="M251" s="9">
        <f>2+7</f>
        <v>9</v>
      </c>
      <c r="N251" s="9">
        <v>2</v>
      </c>
      <c r="P251" s="11">
        <f>SUM(K251,L251,M251,N251)/SUM(K9,L9,M9,N9)</f>
        <v>2242424.2424242422</v>
      </c>
      <c r="Q251" s="2">
        <v>0.75</v>
      </c>
      <c r="R251" s="45">
        <f>LN(P251/J251)/(Q251*LN(2))</f>
        <v>10.88293303329049</v>
      </c>
      <c r="S251" s="54" t="s">
        <v>460</v>
      </c>
    </row>
    <row r="252" spans="1:19" x14ac:dyDescent="0.25">
      <c r="A252" s="12">
        <v>44504</v>
      </c>
      <c r="B252" s="66">
        <v>3</v>
      </c>
      <c r="C252" s="4" t="s">
        <v>459</v>
      </c>
      <c r="D252" s="25" t="s">
        <v>46</v>
      </c>
      <c r="E252" s="23">
        <v>0.161</v>
      </c>
      <c r="F252" s="11">
        <f t="shared" si="215"/>
        <v>1.6100000000000001E-4</v>
      </c>
      <c r="G252" s="9">
        <v>33</v>
      </c>
      <c r="H252" s="11">
        <v>9.9999999999999995E-8</v>
      </c>
      <c r="I252" s="11">
        <f t="shared" ref="I252" si="217">F252*G252/H252</f>
        <v>53130</v>
      </c>
      <c r="J252" s="11">
        <f t="shared" si="216"/>
        <v>5313</v>
      </c>
      <c r="K252" s="9" t="s">
        <v>176</v>
      </c>
      <c r="L252" s="9">
        <v>107</v>
      </c>
      <c r="M252" s="9">
        <v>48</v>
      </c>
      <c r="N252" s="9">
        <v>13</v>
      </c>
      <c r="O252" s="9">
        <v>5</v>
      </c>
      <c r="P252" s="11">
        <f>SUM(L252,M252,O252,N252)/SUM(L9,M9,N9,O9)</f>
        <v>10484848.484848484</v>
      </c>
      <c r="Q252" s="2">
        <v>1.5</v>
      </c>
      <c r="R252" s="45">
        <f t="shared" ref="R252:R253" si="218">LN(P252/J252)/(Q252*LN(2))</f>
        <v>7.29766112008625</v>
      </c>
      <c r="S252" s="54" t="s">
        <v>461</v>
      </c>
    </row>
    <row r="253" spans="1:19" x14ac:dyDescent="0.25">
      <c r="A253" s="12">
        <v>44504</v>
      </c>
      <c r="B253" s="66" t="s">
        <v>240</v>
      </c>
      <c r="C253" s="4" t="s">
        <v>454</v>
      </c>
      <c r="D253" s="25" t="s">
        <v>372</v>
      </c>
      <c r="E253" s="23"/>
      <c r="F253" s="11">
        <v>1.0499999999999999E-5</v>
      </c>
      <c r="G253" s="9">
        <f>361+31</f>
        <v>392</v>
      </c>
      <c r="H253" s="11">
        <v>4.9999999999999998E-8</v>
      </c>
      <c r="I253" s="11">
        <f t="shared" ref="I253" si="219">F253*G253/H253</f>
        <v>82320</v>
      </c>
      <c r="J253" s="11">
        <f t="shared" ref="J253" si="220">I253/10</f>
        <v>8232</v>
      </c>
      <c r="O253" s="9">
        <f>177+14</f>
        <v>191</v>
      </c>
      <c r="P253" s="11">
        <f>O253/O9</f>
        <v>382000000</v>
      </c>
      <c r="Q253" s="2">
        <v>0.75</v>
      </c>
      <c r="R253" s="45">
        <f t="shared" si="218"/>
        <v>20.669293507287939</v>
      </c>
      <c r="S253" s="54" t="s">
        <v>456</v>
      </c>
    </row>
    <row r="255" spans="1:19" x14ac:dyDescent="0.25">
      <c r="A255" s="12">
        <v>44505</v>
      </c>
      <c r="B255" s="66">
        <v>1</v>
      </c>
      <c r="C255" s="4" t="s">
        <v>464</v>
      </c>
      <c r="D255" s="25" t="s">
        <v>372</v>
      </c>
      <c r="E255" s="23">
        <v>1.351</v>
      </c>
      <c r="F255" s="11">
        <f>E255/1000</f>
        <v>1.351E-3</v>
      </c>
      <c r="G255" s="9">
        <f>98+8</f>
        <v>106</v>
      </c>
      <c r="H255" s="11">
        <v>9.9999999999999995E-7</v>
      </c>
      <c r="I255" s="11">
        <f>F255*G255/H255</f>
        <v>143206</v>
      </c>
      <c r="J255" s="11">
        <f>I255/10</f>
        <v>14320.6</v>
      </c>
      <c r="M255" s="9" t="s">
        <v>176</v>
      </c>
      <c r="N255" s="9">
        <f>82+9</f>
        <v>91</v>
      </c>
      <c r="O255" s="9">
        <f>33+2</f>
        <v>35</v>
      </c>
      <c r="P255" s="11">
        <f>SUM(N255,O255)/SUM(N9,O9)</f>
        <v>84000000</v>
      </c>
      <c r="Q255" s="2">
        <v>0.67</v>
      </c>
      <c r="R255" s="45">
        <f>LN(P255/J255)/(Q255*LN(2))</f>
        <v>18.683703989703599</v>
      </c>
      <c r="S255" s="54" t="s">
        <v>455</v>
      </c>
    </row>
    <row r="256" spans="1:19" x14ac:dyDescent="0.25">
      <c r="A256" s="12">
        <v>44505</v>
      </c>
      <c r="B256" s="66">
        <v>2</v>
      </c>
      <c r="C256" s="4" t="s">
        <v>463</v>
      </c>
      <c r="D256" s="25" t="s">
        <v>46</v>
      </c>
      <c r="E256" s="23">
        <v>9.52</v>
      </c>
      <c r="F256" s="11">
        <f t="shared" ref="F256" si="221">E256/1000</f>
        <v>9.5199999999999989E-3</v>
      </c>
      <c r="G256" s="9">
        <v>94</v>
      </c>
      <c r="H256" s="11">
        <v>5.0000000000000004E-6</v>
      </c>
      <c r="I256" s="11">
        <f>F256*G256/H256</f>
        <v>178975.99999999997</v>
      </c>
      <c r="J256" s="11">
        <f t="shared" ref="J256" si="222">I256/10</f>
        <v>17897.599999999999</v>
      </c>
      <c r="K256" s="9" t="s">
        <v>176</v>
      </c>
      <c r="L256" s="9">
        <v>97</v>
      </c>
      <c r="M256" s="9">
        <v>43</v>
      </c>
      <c r="N256" s="9">
        <v>7</v>
      </c>
      <c r="O256" s="9">
        <v>4</v>
      </c>
      <c r="P256" s="11">
        <f>SUM(L256,M256,N256,O256)/SUM(L9,M9,N9,O9)</f>
        <v>9151515.1515151504</v>
      </c>
      <c r="Q256" s="2">
        <v>1.25</v>
      </c>
      <c r="R256" s="45">
        <f>LN(P256/J256)/(Q256*LN(2))</f>
        <v>7.1984805353540642</v>
      </c>
      <c r="S256" s="54" t="s">
        <v>468</v>
      </c>
    </row>
    <row r="257" spans="1:19" x14ac:dyDescent="0.25">
      <c r="A257" s="12">
        <v>44505</v>
      </c>
      <c r="B257" s="66" t="s">
        <v>240</v>
      </c>
      <c r="C257" s="4" t="s">
        <v>459</v>
      </c>
      <c r="D257" s="25" t="s">
        <v>46</v>
      </c>
      <c r="E257" s="23">
        <v>0.16</v>
      </c>
      <c r="F257" s="11">
        <f t="shared" ref="F257" si="223">E257/1000</f>
        <v>1.6000000000000001E-4</v>
      </c>
      <c r="G257" s="9">
        <v>303</v>
      </c>
      <c r="H257" s="11">
        <v>4.9999999999999998E-7</v>
      </c>
      <c r="I257" s="11">
        <f>F257*G257/H257</f>
        <v>96960.000000000015</v>
      </c>
      <c r="J257" s="11">
        <f t="shared" ref="J257" si="224">I257/10</f>
        <v>9696.0000000000018</v>
      </c>
      <c r="M257" s="9">
        <v>94</v>
      </c>
      <c r="P257" s="11">
        <f>M257/M9</f>
        <v>18800000</v>
      </c>
      <c r="Q257" s="2">
        <v>1.5</v>
      </c>
      <c r="R257" s="45">
        <f>LN(P257/J257)/(Q257*LN(2))</f>
        <v>7.2807035617609994</v>
      </c>
      <c r="S257" s="54" t="s">
        <v>468</v>
      </c>
    </row>
  </sheetData>
  <mergeCells count="7">
    <mergeCell ref="G8:J8"/>
    <mergeCell ref="K8:P8"/>
    <mergeCell ref="A2:M2"/>
    <mergeCell ref="A3:N3"/>
    <mergeCell ref="A4:N4"/>
    <mergeCell ref="A5:N5"/>
    <mergeCell ref="A6:N6"/>
  </mergeCells>
  <phoneticPr fontId="3" type="noConversion"/>
  <pageMargins left="0.7" right="0.7" top="0.75" bottom="0.75" header="0.3" footer="0.3"/>
  <pageSetup scale="34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8A7CE-A2BD-4CDC-946B-6C6EE02438F1}">
  <sheetPr>
    <pageSetUpPr fitToPage="1"/>
  </sheetPr>
  <dimension ref="A1:Q250"/>
  <sheetViews>
    <sheetView topLeftCell="A189" workbookViewId="0">
      <selection activeCell="A211" sqref="A211"/>
    </sheetView>
  </sheetViews>
  <sheetFormatPr defaultColWidth="9.140625" defaultRowHeight="15" x14ac:dyDescent="0.25"/>
  <cols>
    <col min="1" max="1" width="15.140625" style="4" bestFit="1" customWidth="1"/>
    <col min="2" max="2" width="19.7109375" style="2" bestFit="1" customWidth="1"/>
    <col min="3" max="3" width="10.7109375" style="3" bestFit="1" customWidth="1"/>
    <col min="4" max="4" width="13.42578125" style="2" customWidth="1"/>
    <col min="5" max="6" width="26.5703125" style="21" customWidth="1"/>
    <col min="7" max="8" width="8.7109375" style="6" customWidth="1"/>
    <col min="9" max="9" width="17.7109375" style="2" bestFit="1" customWidth="1"/>
    <col min="10" max="10" width="15.28515625" style="66" customWidth="1"/>
    <col min="11" max="11" width="60.42578125" style="2" customWidth="1"/>
    <col min="12" max="12" width="13.7109375" style="6" bestFit="1" customWidth="1"/>
    <col min="13" max="13" width="14.7109375" style="6" bestFit="1" customWidth="1"/>
    <col min="14" max="14" width="13.85546875" style="6" bestFit="1" customWidth="1"/>
    <col min="15" max="15" width="14.85546875" style="6" bestFit="1" customWidth="1"/>
    <col min="16" max="16" width="14.5703125" style="2" bestFit="1" customWidth="1"/>
    <col min="17" max="17" width="14.7109375" style="2" bestFit="1" customWidth="1"/>
    <col min="18" max="16384" width="9.140625" style="2"/>
  </cols>
  <sheetData>
    <row r="1" spans="1:17" x14ac:dyDescent="0.25">
      <c r="A1" s="67" t="s">
        <v>184</v>
      </c>
      <c r="B1" s="68" t="s">
        <v>1</v>
      </c>
      <c r="C1" s="69" t="s">
        <v>163</v>
      </c>
      <c r="D1" s="68" t="s">
        <v>185</v>
      </c>
      <c r="E1" s="70" t="s">
        <v>186</v>
      </c>
      <c r="F1" s="70" t="s">
        <v>187</v>
      </c>
      <c r="G1" s="40" t="s">
        <v>188</v>
      </c>
      <c r="H1" s="40" t="s">
        <v>189</v>
      </c>
      <c r="I1" s="68" t="s">
        <v>190</v>
      </c>
      <c r="J1" s="71" t="s">
        <v>191</v>
      </c>
      <c r="K1" s="68" t="s">
        <v>192</v>
      </c>
      <c r="L1" s="39" t="s">
        <v>213</v>
      </c>
      <c r="M1" s="39" t="s">
        <v>214</v>
      </c>
      <c r="N1" s="39" t="s">
        <v>215</v>
      </c>
      <c r="O1" s="39" t="s">
        <v>216</v>
      </c>
      <c r="P1" s="28" t="s">
        <v>218</v>
      </c>
      <c r="Q1" s="28" t="s">
        <v>217</v>
      </c>
    </row>
    <row r="2" spans="1:17" x14ac:dyDescent="0.25">
      <c r="A2" s="65" t="s">
        <v>7</v>
      </c>
      <c r="B2" s="74" t="s">
        <v>9</v>
      </c>
      <c r="C2" s="72">
        <v>44433</v>
      </c>
      <c r="D2" s="28">
        <v>1</v>
      </c>
      <c r="E2" s="73">
        <v>13</v>
      </c>
      <c r="F2" s="73">
        <v>14.7</v>
      </c>
      <c r="G2" s="39">
        <v>4820</v>
      </c>
      <c r="H2" s="39">
        <v>2020000</v>
      </c>
      <c r="I2" s="28">
        <v>0.67</v>
      </c>
      <c r="J2" s="85" t="s">
        <v>193</v>
      </c>
      <c r="K2" s="28"/>
      <c r="L2" s="39"/>
      <c r="M2" s="39"/>
      <c r="N2" s="39"/>
      <c r="O2" s="39"/>
      <c r="P2" s="28"/>
      <c r="Q2" s="28"/>
    </row>
    <row r="3" spans="1:17" x14ac:dyDescent="0.25">
      <c r="A3" s="65" t="s">
        <v>179</v>
      </c>
      <c r="B3" s="74" t="s">
        <v>9</v>
      </c>
      <c r="C3" s="72">
        <v>44434</v>
      </c>
      <c r="D3" s="28">
        <v>2</v>
      </c>
      <c r="E3" s="73">
        <v>14.23</v>
      </c>
      <c r="F3" s="73">
        <v>14.7</v>
      </c>
      <c r="G3" s="39">
        <v>7390</v>
      </c>
      <c r="H3" s="39">
        <v>12100000</v>
      </c>
      <c r="I3" s="28">
        <v>0.75</v>
      </c>
      <c r="J3" s="85" t="s">
        <v>193</v>
      </c>
      <c r="K3" s="28"/>
      <c r="L3" s="39"/>
      <c r="M3" s="39"/>
      <c r="N3" s="39"/>
      <c r="O3" s="39"/>
      <c r="P3" s="28"/>
      <c r="Q3" s="28"/>
    </row>
    <row r="4" spans="1:17" x14ac:dyDescent="0.25">
      <c r="A4" s="65" t="s">
        <v>182</v>
      </c>
      <c r="B4" s="74" t="s">
        <v>9</v>
      </c>
      <c r="C4" s="72">
        <v>44435</v>
      </c>
      <c r="D4" s="28">
        <v>3</v>
      </c>
      <c r="E4" s="73">
        <v>12.55</v>
      </c>
      <c r="F4" s="73">
        <v>14.7</v>
      </c>
      <c r="G4" s="39">
        <v>13100</v>
      </c>
      <c r="H4" s="39">
        <v>8880000</v>
      </c>
      <c r="I4" s="28">
        <v>0.75</v>
      </c>
      <c r="J4" s="85" t="s">
        <v>193</v>
      </c>
      <c r="K4" s="28"/>
      <c r="L4" s="39"/>
      <c r="M4" s="39"/>
      <c r="N4" s="39"/>
      <c r="O4" s="39"/>
      <c r="P4" s="28"/>
      <c r="Q4" s="28"/>
    </row>
    <row r="5" spans="1:17" x14ac:dyDescent="0.25">
      <c r="A5" s="65" t="s">
        <v>124</v>
      </c>
      <c r="B5" s="74" t="s">
        <v>198</v>
      </c>
      <c r="C5" s="72">
        <v>44446</v>
      </c>
      <c r="D5" s="28">
        <v>4</v>
      </c>
      <c r="E5" s="73">
        <v>15.54</v>
      </c>
      <c r="F5" s="73">
        <v>14.7</v>
      </c>
      <c r="G5" s="39">
        <v>7210</v>
      </c>
      <c r="H5" s="39">
        <v>23300000</v>
      </c>
      <c r="I5" s="28">
        <v>0.75</v>
      </c>
      <c r="J5" s="85" t="s">
        <v>193</v>
      </c>
      <c r="K5" s="28"/>
      <c r="L5" s="39"/>
      <c r="M5" s="39"/>
      <c r="N5" s="39"/>
      <c r="O5" s="39"/>
      <c r="P5" s="28"/>
      <c r="Q5" s="28"/>
    </row>
    <row r="6" spans="1:17" x14ac:dyDescent="0.25">
      <c r="A6" s="65" t="s">
        <v>199</v>
      </c>
      <c r="B6" s="74" t="s">
        <v>9</v>
      </c>
      <c r="C6" s="72">
        <v>44447</v>
      </c>
      <c r="D6" s="28">
        <v>5</v>
      </c>
      <c r="E6" s="73">
        <v>15.02</v>
      </c>
      <c r="F6" s="73">
        <v>14.7</v>
      </c>
      <c r="G6" s="39">
        <v>7460</v>
      </c>
      <c r="H6" s="39">
        <v>8000000</v>
      </c>
      <c r="I6" s="28">
        <v>0.67</v>
      </c>
      <c r="J6" s="85" t="s">
        <v>193</v>
      </c>
      <c r="K6" s="28"/>
      <c r="L6" s="39"/>
      <c r="M6" s="39"/>
      <c r="N6" s="39"/>
      <c r="O6" s="39"/>
      <c r="P6" s="28"/>
      <c r="Q6" s="28"/>
    </row>
    <row r="7" spans="1:17" x14ac:dyDescent="0.25">
      <c r="A7" s="65"/>
      <c r="B7" s="28"/>
      <c r="C7" s="72"/>
      <c r="D7" s="28"/>
      <c r="E7" s="73"/>
      <c r="F7" s="73"/>
      <c r="G7" s="39"/>
      <c r="H7" s="39"/>
      <c r="I7" s="28"/>
      <c r="J7" s="85"/>
      <c r="K7" s="65"/>
      <c r="L7" s="39"/>
      <c r="M7" s="39"/>
      <c r="N7" s="39"/>
      <c r="O7" s="39"/>
      <c r="P7" s="28"/>
      <c r="Q7" s="28"/>
    </row>
    <row r="8" spans="1:17" x14ac:dyDescent="0.25">
      <c r="A8" s="65" t="s">
        <v>11</v>
      </c>
      <c r="B8" s="74" t="s">
        <v>13</v>
      </c>
      <c r="C8" s="72">
        <v>44433</v>
      </c>
      <c r="D8" s="28">
        <v>1</v>
      </c>
      <c r="E8" s="73">
        <v>12.02</v>
      </c>
      <c r="F8" s="73">
        <v>15.71</v>
      </c>
      <c r="G8" s="39">
        <v>557</v>
      </c>
      <c r="H8" s="39">
        <v>288000</v>
      </c>
      <c r="I8" s="28">
        <v>0.75</v>
      </c>
      <c r="J8" s="85" t="s">
        <v>193</v>
      </c>
      <c r="K8" s="28"/>
      <c r="L8" s="39"/>
      <c r="M8" s="39"/>
      <c r="N8" s="39"/>
      <c r="O8" s="39"/>
      <c r="P8" s="28"/>
      <c r="Q8" s="28"/>
    </row>
    <row r="9" spans="1:17" x14ac:dyDescent="0.25">
      <c r="A9" s="65" t="s">
        <v>11</v>
      </c>
      <c r="B9" s="74" t="s">
        <v>13</v>
      </c>
      <c r="C9" s="72">
        <v>44434</v>
      </c>
      <c r="D9" s="28">
        <v>1</v>
      </c>
      <c r="E9" s="73">
        <v>11.25</v>
      </c>
      <c r="F9" s="73">
        <v>15.71</v>
      </c>
      <c r="G9" s="39">
        <v>785</v>
      </c>
      <c r="H9" s="39">
        <v>273000</v>
      </c>
      <c r="I9" s="28">
        <v>0.75</v>
      </c>
      <c r="J9" s="85" t="s">
        <v>193</v>
      </c>
      <c r="K9" s="28"/>
      <c r="L9" s="39"/>
      <c r="M9" s="39"/>
      <c r="N9" s="39"/>
      <c r="O9" s="39"/>
      <c r="P9" s="28"/>
      <c r="Q9" s="28"/>
    </row>
    <row r="10" spans="1:17" x14ac:dyDescent="0.25">
      <c r="A10" s="65" t="s">
        <v>11</v>
      </c>
      <c r="B10" s="74" t="s">
        <v>13</v>
      </c>
      <c r="C10" s="72">
        <v>44435</v>
      </c>
      <c r="D10" s="28">
        <v>1</v>
      </c>
      <c r="E10" s="73">
        <v>13.74</v>
      </c>
      <c r="F10" s="73">
        <v>15.71</v>
      </c>
      <c r="G10" s="39">
        <v>1240</v>
      </c>
      <c r="H10" s="75">
        <v>183000000</v>
      </c>
      <c r="I10" s="28">
        <v>1.25</v>
      </c>
      <c r="J10" s="85" t="s">
        <v>193</v>
      </c>
      <c r="K10" s="28"/>
      <c r="L10" s="39"/>
      <c r="M10" s="39"/>
      <c r="N10" s="39"/>
      <c r="O10" s="39"/>
      <c r="P10" s="28"/>
      <c r="Q10" s="28"/>
    </row>
    <row r="11" spans="1:17" x14ac:dyDescent="0.25">
      <c r="A11" s="65" t="s">
        <v>143</v>
      </c>
      <c r="B11" s="74" t="s">
        <v>13</v>
      </c>
      <c r="C11" s="72">
        <v>44446</v>
      </c>
      <c r="D11" s="28">
        <v>2</v>
      </c>
      <c r="E11" s="73">
        <v>16.38</v>
      </c>
      <c r="F11" s="73">
        <v>15.71</v>
      </c>
      <c r="G11" s="39">
        <v>5700</v>
      </c>
      <c r="H11" s="39">
        <v>28400000</v>
      </c>
      <c r="I11" s="28">
        <v>0.75</v>
      </c>
      <c r="J11" s="85" t="s">
        <v>193</v>
      </c>
      <c r="K11" s="28"/>
      <c r="L11" s="39"/>
      <c r="M11" s="39"/>
      <c r="N11" s="39"/>
      <c r="O11" s="39"/>
      <c r="P11" s="28"/>
      <c r="Q11" s="28"/>
    </row>
    <row r="12" spans="1:17" x14ac:dyDescent="0.25">
      <c r="A12" s="65" t="s">
        <v>200</v>
      </c>
      <c r="B12" s="74" t="s">
        <v>13</v>
      </c>
      <c r="C12" s="72">
        <v>44447</v>
      </c>
      <c r="D12" s="28">
        <v>3</v>
      </c>
      <c r="E12" s="73">
        <v>14.84</v>
      </c>
      <c r="F12" s="73">
        <v>15.71</v>
      </c>
      <c r="G12" s="39">
        <v>7110</v>
      </c>
      <c r="H12" s="39">
        <v>7000000</v>
      </c>
      <c r="I12" s="28">
        <v>0.67</v>
      </c>
      <c r="J12" s="85" t="s">
        <v>193</v>
      </c>
      <c r="K12" s="28"/>
      <c r="L12" s="39"/>
      <c r="M12" s="39"/>
      <c r="N12" s="39"/>
      <c r="O12" s="39"/>
      <c r="P12" s="28"/>
      <c r="Q12" s="28"/>
    </row>
    <row r="13" spans="1:17" x14ac:dyDescent="0.25">
      <c r="A13" s="65" t="s">
        <v>207</v>
      </c>
      <c r="B13" s="74" t="s">
        <v>13</v>
      </c>
      <c r="C13" s="72">
        <v>44448</v>
      </c>
      <c r="D13" s="28">
        <v>4</v>
      </c>
      <c r="E13" s="73">
        <v>13.32</v>
      </c>
      <c r="F13" s="73">
        <v>15.71</v>
      </c>
      <c r="G13" s="39">
        <v>13900</v>
      </c>
      <c r="H13" s="39">
        <v>6750000</v>
      </c>
      <c r="I13" s="28">
        <v>0.67</v>
      </c>
      <c r="J13" s="85" t="s">
        <v>193</v>
      </c>
      <c r="K13" s="28"/>
      <c r="L13" s="39"/>
      <c r="M13" s="39"/>
      <c r="N13" s="39"/>
      <c r="O13" s="39"/>
      <c r="P13" s="28"/>
      <c r="Q13" s="28"/>
    </row>
    <row r="14" spans="1:17" x14ac:dyDescent="0.25">
      <c r="A14" s="65" t="s">
        <v>221</v>
      </c>
      <c r="B14" s="74" t="s">
        <v>13</v>
      </c>
      <c r="C14" s="72">
        <v>44452</v>
      </c>
      <c r="D14" s="28">
        <v>5</v>
      </c>
      <c r="E14" s="73">
        <v>12.32</v>
      </c>
      <c r="F14" s="73">
        <v>15.71</v>
      </c>
      <c r="G14" s="39">
        <v>12600</v>
      </c>
      <c r="H14" s="39">
        <v>7630000</v>
      </c>
      <c r="I14" s="28">
        <v>0.75</v>
      </c>
      <c r="J14" s="85" t="s">
        <v>193</v>
      </c>
      <c r="K14" s="28"/>
      <c r="L14" s="39"/>
      <c r="M14" s="39"/>
      <c r="N14" s="39"/>
      <c r="O14" s="39"/>
      <c r="P14" s="28"/>
      <c r="Q14" s="28"/>
    </row>
    <row r="15" spans="1:17" x14ac:dyDescent="0.25">
      <c r="A15" s="65"/>
      <c r="B15" s="28"/>
      <c r="C15" s="72"/>
      <c r="D15" s="28"/>
      <c r="E15" s="73"/>
      <c r="F15" s="73"/>
      <c r="G15" s="39"/>
      <c r="H15" s="39"/>
      <c r="I15" s="28"/>
      <c r="J15" s="85"/>
      <c r="K15" s="28"/>
      <c r="L15" s="39"/>
      <c r="M15" s="39"/>
      <c r="N15" s="39"/>
      <c r="O15" s="39"/>
      <c r="P15" s="28"/>
      <c r="Q15" s="28"/>
    </row>
    <row r="16" spans="1:17" x14ac:dyDescent="0.25">
      <c r="A16" s="65" t="s">
        <v>14</v>
      </c>
      <c r="B16" s="74" t="s">
        <v>16</v>
      </c>
      <c r="C16" s="72">
        <v>44433</v>
      </c>
      <c r="D16" s="28">
        <v>1</v>
      </c>
      <c r="E16" s="73">
        <v>14.43</v>
      </c>
      <c r="F16" s="73">
        <v>17.03</v>
      </c>
      <c r="G16" s="39">
        <v>535</v>
      </c>
      <c r="H16" s="39">
        <v>970000</v>
      </c>
      <c r="I16" s="28">
        <v>0.75</v>
      </c>
      <c r="J16" s="85" t="s">
        <v>193</v>
      </c>
      <c r="K16" s="28"/>
      <c r="L16" s="39"/>
      <c r="M16" s="39"/>
      <c r="N16" s="39"/>
      <c r="O16" s="39"/>
      <c r="P16" s="28"/>
      <c r="Q16" s="28"/>
    </row>
    <row r="17" spans="1:17" x14ac:dyDescent="0.25">
      <c r="A17" s="65" t="s">
        <v>178</v>
      </c>
      <c r="B17" s="74" t="s">
        <v>16</v>
      </c>
      <c r="C17" s="72">
        <v>44434</v>
      </c>
      <c r="D17" s="28">
        <v>2</v>
      </c>
      <c r="E17" s="73">
        <v>15.79</v>
      </c>
      <c r="F17" s="73">
        <v>17.03</v>
      </c>
      <c r="G17" s="39">
        <v>9210</v>
      </c>
      <c r="H17" s="39">
        <v>14100000</v>
      </c>
      <c r="I17" s="28">
        <v>0.67</v>
      </c>
      <c r="J17" s="85" t="s">
        <v>193</v>
      </c>
      <c r="K17" s="28"/>
      <c r="L17" s="39"/>
      <c r="M17" s="39"/>
      <c r="N17" s="39"/>
      <c r="O17" s="39"/>
      <c r="P17" s="28"/>
      <c r="Q17" s="28"/>
    </row>
    <row r="18" spans="1:17" x14ac:dyDescent="0.25">
      <c r="A18" s="65" t="s">
        <v>181</v>
      </c>
      <c r="B18" s="74" t="s">
        <v>16</v>
      </c>
      <c r="C18" s="72">
        <v>44435</v>
      </c>
      <c r="D18" s="28">
        <v>3</v>
      </c>
      <c r="E18" s="73">
        <v>15.24</v>
      </c>
      <c r="F18" s="73">
        <v>17.03</v>
      </c>
      <c r="G18" s="39">
        <v>8950</v>
      </c>
      <c r="H18" s="39">
        <v>10600000</v>
      </c>
      <c r="I18" s="28">
        <v>0.67</v>
      </c>
      <c r="J18" s="85" t="s">
        <v>193</v>
      </c>
      <c r="K18" s="28"/>
      <c r="L18" s="39"/>
      <c r="M18" s="39"/>
      <c r="N18" s="39"/>
      <c r="O18" s="39"/>
      <c r="P18" s="28"/>
      <c r="Q18" s="28"/>
    </row>
    <row r="19" spans="1:17" x14ac:dyDescent="0.25">
      <c r="A19" s="65" t="s">
        <v>125</v>
      </c>
      <c r="B19" s="74" t="s">
        <v>16</v>
      </c>
      <c r="C19" s="72">
        <v>44446</v>
      </c>
      <c r="D19" s="28">
        <v>4</v>
      </c>
      <c r="E19" s="73">
        <v>16.93</v>
      </c>
      <c r="F19" s="73">
        <v>17.03</v>
      </c>
      <c r="G19" s="39">
        <v>8110</v>
      </c>
      <c r="H19" s="39">
        <v>21100000</v>
      </c>
      <c r="I19" s="28">
        <v>0.67</v>
      </c>
      <c r="J19" s="85" t="s">
        <v>193</v>
      </c>
      <c r="K19" s="28"/>
      <c r="L19" s="39"/>
      <c r="M19" s="39"/>
      <c r="N19" s="39"/>
      <c r="O19" s="39"/>
      <c r="P19" s="28"/>
      <c r="Q19" s="28"/>
    </row>
    <row r="20" spans="1:17" x14ac:dyDescent="0.25">
      <c r="A20" s="65" t="s">
        <v>203</v>
      </c>
      <c r="B20" s="74" t="s">
        <v>16</v>
      </c>
      <c r="C20" s="72">
        <v>44447</v>
      </c>
      <c r="D20" s="28">
        <v>5</v>
      </c>
      <c r="E20" s="73">
        <v>17.43</v>
      </c>
      <c r="F20" s="73">
        <v>17.03</v>
      </c>
      <c r="G20" s="39">
        <v>9390</v>
      </c>
      <c r="H20" s="39">
        <v>30800000</v>
      </c>
      <c r="I20" s="28">
        <v>0.67</v>
      </c>
      <c r="J20" s="85" t="s">
        <v>193</v>
      </c>
      <c r="K20" s="28"/>
      <c r="L20" s="39"/>
      <c r="M20" s="39"/>
      <c r="N20" s="39"/>
      <c r="O20" s="39"/>
      <c r="P20" s="28"/>
      <c r="Q20" s="28"/>
    </row>
    <row r="21" spans="1:17" x14ac:dyDescent="0.25">
      <c r="A21" s="65"/>
      <c r="B21" s="28"/>
      <c r="C21" s="72"/>
      <c r="D21" s="28"/>
      <c r="E21" s="73"/>
      <c r="F21" s="73"/>
      <c r="G21" s="39"/>
      <c r="H21" s="39"/>
      <c r="I21" s="28"/>
      <c r="J21" s="85"/>
      <c r="K21" s="28"/>
      <c r="L21" s="39"/>
      <c r="M21" s="39"/>
      <c r="N21" s="39"/>
      <c r="O21" s="39"/>
      <c r="P21" s="28"/>
      <c r="Q21" s="28"/>
    </row>
    <row r="22" spans="1:17" ht="15.75" x14ac:dyDescent="0.25">
      <c r="A22" s="65">
        <v>201</v>
      </c>
      <c r="B22" s="77" t="s">
        <v>17</v>
      </c>
      <c r="C22" s="72">
        <v>44433</v>
      </c>
      <c r="D22" s="28">
        <v>1</v>
      </c>
      <c r="E22" s="73" t="s">
        <v>194</v>
      </c>
      <c r="F22" s="73">
        <v>4.47</v>
      </c>
      <c r="G22" s="39" t="s">
        <v>194</v>
      </c>
      <c r="H22" s="39" t="s">
        <v>194</v>
      </c>
      <c r="I22" s="28">
        <v>3</v>
      </c>
      <c r="J22" s="85" t="s">
        <v>195</v>
      </c>
      <c r="K22" s="28" t="s">
        <v>196</v>
      </c>
      <c r="L22" s="39"/>
      <c r="M22" s="39"/>
      <c r="N22" s="39"/>
      <c r="O22" s="39"/>
      <c r="P22" s="28"/>
      <c r="Q22" s="28"/>
    </row>
    <row r="23" spans="1:17" ht="15.75" x14ac:dyDescent="0.25">
      <c r="A23" s="65">
        <v>201</v>
      </c>
      <c r="B23" s="77" t="s">
        <v>17</v>
      </c>
      <c r="C23" s="72">
        <v>44434</v>
      </c>
      <c r="D23" s="28">
        <v>1</v>
      </c>
      <c r="E23" s="73">
        <v>6.86</v>
      </c>
      <c r="F23" s="73">
        <v>4.47</v>
      </c>
      <c r="G23" s="39">
        <v>165</v>
      </c>
      <c r="H23" s="39">
        <v>256000000</v>
      </c>
      <c r="I23" s="28">
        <v>3</v>
      </c>
      <c r="J23" s="85" t="s">
        <v>193</v>
      </c>
      <c r="K23" s="65"/>
      <c r="L23" s="39"/>
      <c r="M23" s="39"/>
      <c r="N23" s="39"/>
      <c r="O23" s="39"/>
      <c r="P23" s="28"/>
      <c r="Q23" s="28"/>
    </row>
    <row r="24" spans="1:17" ht="15.75" x14ac:dyDescent="0.25">
      <c r="A24" s="65">
        <v>201.1</v>
      </c>
      <c r="B24" s="77" t="s">
        <v>17</v>
      </c>
      <c r="C24" s="72">
        <v>44435</v>
      </c>
      <c r="D24" s="28">
        <v>2</v>
      </c>
      <c r="E24" s="73">
        <v>5.46</v>
      </c>
      <c r="F24" s="73">
        <v>4.47</v>
      </c>
      <c r="G24" s="39">
        <v>7430</v>
      </c>
      <c r="H24" s="39">
        <v>2170000</v>
      </c>
      <c r="I24" s="28">
        <v>1.5</v>
      </c>
      <c r="J24" s="85" t="s">
        <v>197</v>
      </c>
      <c r="K24" s="28" t="s">
        <v>306</v>
      </c>
      <c r="L24" s="39"/>
      <c r="M24" s="39"/>
      <c r="N24" s="39"/>
      <c r="O24" s="39"/>
      <c r="P24" s="28"/>
      <c r="Q24" s="28"/>
    </row>
    <row r="25" spans="1:17" ht="15.75" x14ac:dyDescent="0.25">
      <c r="A25" s="65">
        <v>201.2</v>
      </c>
      <c r="B25" s="77" t="s">
        <v>17</v>
      </c>
      <c r="C25" s="72">
        <v>44447</v>
      </c>
      <c r="D25" s="28">
        <v>3</v>
      </c>
      <c r="E25" s="73">
        <v>7.08</v>
      </c>
      <c r="F25" s="73">
        <v>4.47</v>
      </c>
      <c r="G25" s="39">
        <v>3500</v>
      </c>
      <c r="H25" s="39">
        <v>18800000</v>
      </c>
      <c r="I25" s="28">
        <v>1.75</v>
      </c>
      <c r="J25" s="85" t="s">
        <v>195</v>
      </c>
      <c r="K25" s="28" t="s">
        <v>206</v>
      </c>
      <c r="L25" s="39">
        <v>0</v>
      </c>
      <c r="M25" s="39">
        <f>(1+3)/SUM(0.00001, 0.000005)</f>
        <v>266666.66666666663</v>
      </c>
      <c r="N25" s="39">
        <f>(38)/(0.00005)*(0.0461)/10</f>
        <v>3503.6</v>
      </c>
      <c r="O25" s="39">
        <f>(166+109)/SUM(0.00001, 0.000005)</f>
        <v>18333333.333333332</v>
      </c>
      <c r="P25" s="76" t="e">
        <f>LN(M25/L25)/(I25*LN(2))</f>
        <v>#DIV/0!</v>
      </c>
      <c r="Q25" s="76">
        <f>LN(O25/N25)/(I25*LN(2))</f>
        <v>7.0590533846526382</v>
      </c>
    </row>
    <row r="26" spans="1:17" ht="15.75" x14ac:dyDescent="0.25">
      <c r="A26" s="65">
        <v>201.3</v>
      </c>
      <c r="B26" s="77" t="s">
        <v>17</v>
      </c>
      <c r="C26" s="72">
        <v>44448</v>
      </c>
      <c r="D26" s="28">
        <v>4</v>
      </c>
      <c r="E26" s="73">
        <v>7.27</v>
      </c>
      <c r="F26" s="73">
        <v>4.47</v>
      </c>
      <c r="G26" s="39">
        <v>17400</v>
      </c>
      <c r="H26" s="39">
        <v>33600000</v>
      </c>
      <c r="I26" s="28">
        <v>1.5</v>
      </c>
      <c r="J26" s="85" t="s">
        <v>195</v>
      </c>
      <c r="K26" s="28" t="s">
        <v>219</v>
      </c>
      <c r="L26" s="39">
        <f>5/(0.000005)*(0.00532)/10</f>
        <v>531.99999999999989</v>
      </c>
      <c r="M26" s="39">
        <f>(75+39+8)/(SUM(0.00001, 0.000001, 0.000005))</f>
        <v>7624999.9999999991</v>
      </c>
      <c r="N26" s="39">
        <f>159/(0.000005)*(0.00532)/10</f>
        <v>16917.599999999999</v>
      </c>
      <c r="O26" s="39">
        <f>(249+139+28)/(SUM(0.00001, 0.000005, 0.000001))</f>
        <v>25999999.999999996</v>
      </c>
      <c r="P26" s="76">
        <f>LN(M26/L26)/(I26*LN(2))</f>
        <v>9.2046823142572478</v>
      </c>
      <c r="Q26" s="76">
        <f>LN(O26/N26)/(I26*LN(2))</f>
        <v>7.0571806610447227</v>
      </c>
    </row>
    <row r="27" spans="1:17" ht="15.75" x14ac:dyDescent="0.25">
      <c r="A27" s="65">
        <v>201.4</v>
      </c>
      <c r="B27" s="77" t="s">
        <v>17</v>
      </c>
      <c r="C27" s="72">
        <v>44452</v>
      </c>
      <c r="D27" s="28">
        <v>5</v>
      </c>
      <c r="E27" s="73">
        <v>9.75</v>
      </c>
      <c r="F27" s="73">
        <v>4.47</v>
      </c>
      <c r="G27" s="39">
        <v>9660</v>
      </c>
      <c r="H27" s="39">
        <v>45200000</v>
      </c>
      <c r="I27" s="28">
        <v>1.25</v>
      </c>
      <c r="J27" s="85" t="s">
        <v>195</v>
      </c>
      <c r="K27" s="28" t="s">
        <v>219</v>
      </c>
      <c r="L27" s="39">
        <f>49/(0.000005)*(0.00298)/10</f>
        <v>2920.4</v>
      </c>
      <c r="M27" s="39">
        <f>198/(0.000005)</f>
        <v>39600000</v>
      </c>
      <c r="N27" s="39">
        <f>113/(0.000005)*(0.00298)/10</f>
        <v>6734.8</v>
      </c>
      <c r="O27" s="39">
        <f>14/(0.000005)</f>
        <v>2800000</v>
      </c>
      <c r="P27" s="76">
        <f>LN(M27/L27)/(I27*LN(2))</f>
        <v>10.981637459861131</v>
      </c>
      <c r="Q27" s="76">
        <f>LN(O27/N27)/(I27*LN(2))</f>
        <v>6.9596608068035435</v>
      </c>
    </row>
    <row r="28" spans="1:17" x14ac:dyDescent="0.25">
      <c r="A28" s="65"/>
      <c r="B28" s="28"/>
      <c r="C28" s="72"/>
      <c r="D28" s="28"/>
      <c r="E28" s="73"/>
      <c r="F28" s="73"/>
      <c r="G28" s="39"/>
      <c r="H28" s="39"/>
      <c r="I28" s="28"/>
      <c r="J28" s="85"/>
      <c r="K28" s="104"/>
      <c r="L28" s="39"/>
      <c r="M28" s="39"/>
      <c r="N28" s="39"/>
      <c r="O28" s="39"/>
      <c r="P28" s="28"/>
      <c r="Q28" s="28"/>
    </row>
    <row r="29" spans="1:17" ht="15.75" x14ac:dyDescent="0.25">
      <c r="A29" s="65" t="s">
        <v>25</v>
      </c>
      <c r="B29" s="77" t="s">
        <v>27</v>
      </c>
      <c r="C29" s="72">
        <v>44446</v>
      </c>
      <c r="D29" s="28">
        <v>1</v>
      </c>
      <c r="E29" s="73">
        <v>16.25</v>
      </c>
      <c r="F29" s="30">
        <v>16.920000000000002</v>
      </c>
      <c r="G29" s="39">
        <v>7950</v>
      </c>
      <c r="H29" s="39">
        <v>15100000</v>
      </c>
      <c r="I29" s="28">
        <v>0.67</v>
      </c>
      <c r="J29" s="85" t="s">
        <v>193</v>
      </c>
      <c r="K29" s="104"/>
      <c r="L29" s="39"/>
      <c r="M29" s="39"/>
      <c r="N29" s="39"/>
      <c r="O29" s="39"/>
      <c r="P29" s="28"/>
      <c r="Q29" s="28"/>
    </row>
    <row r="30" spans="1:17" ht="15.75" x14ac:dyDescent="0.25">
      <c r="A30" s="65" t="s">
        <v>202</v>
      </c>
      <c r="B30" s="77" t="s">
        <v>27</v>
      </c>
      <c r="C30" s="72">
        <v>44447</v>
      </c>
      <c r="D30" s="28">
        <v>2</v>
      </c>
      <c r="E30" s="73">
        <v>16.010000000000002</v>
      </c>
      <c r="F30" s="30">
        <v>16.920000000000002</v>
      </c>
      <c r="G30" s="39">
        <v>10900</v>
      </c>
      <c r="H30" s="39">
        <v>18400000</v>
      </c>
      <c r="I30" s="28">
        <v>0.67</v>
      </c>
      <c r="J30" s="85" t="s">
        <v>193</v>
      </c>
      <c r="K30" s="87"/>
      <c r="L30" s="39"/>
      <c r="M30" s="39"/>
      <c r="N30" s="39"/>
      <c r="O30" s="39"/>
      <c r="P30" s="28"/>
      <c r="Q30" s="28"/>
    </row>
    <row r="31" spans="1:17" x14ac:dyDescent="0.25">
      <c r="A31" s="65" t="s">
        <v>209</v>
      </c>
      <c r="B31" s="28" t="s">
        <v>27</v>
      </c>
      <c r="C31" s="72">
        <v>44448</v>
      </c>
      <c r="D31" s="28">
        <v>3</v>
      </c>
      <c r="E31" s="73">
        <v>16.010000000000002</v>
      </c>
      <c r="F31" s="30">
        <v>16.920000000000002</v>
      </c>
      <c r="G31" s="39">
        <v>12500</v>
      </c>
      <c r="H31" s="39">
        <v>21200000</v>
      </c>
      <c r="I31" s="28">
        <v>0.67</v>
      </c>
      <c r="J31" s="85" t="s">
        <v>193</v>
      </c>
      <c r="K31" s="103"/>
      <c r="L31" s="39"/>
      <c r="M31" s="39"/>
      <c r="N31" s="39"/>
      <c r="O31" s="39"/>
      <c r="P31" s="28"/>
      <c r="Q31" s="28"/>
    </row>
    <row r="32" spans="1:17" ht="15.75" x14ac:dyDescent="0.25">
      <c r="A32" s="65" t="s">
        <v>223</v>
      </c>
      <c r="B32" s="77" t="s">
        <v>27</v>
      </c>
      <c r="C32" s="72">
        <v>44452</v>
      </c>
      <c r="D32" s="28">
        <v>4</v>
      </c>
      <c r="E32" s="73">
        <v>13.97</v>
      </c>
      <c r="F32" s="30">
        <v>16.920000000000002</v>
      </c>
      <c r="G32" s="39">
        <v>9440</v>
      </c>
      <c r="H32" s="39">
        <v>6200000</v>
      </c>
      <c r="I32" s="28">
        <v>0.67</v>
      </c>
      <c r="J32" s="85" t="s">
        <v>193</v>
      </c>
      <c r="K32" s="103"/>
      <c r="L32" s="39"/>
      <c r="M32" s="39"/>
      <c r="N32" s="39"/>
      <c r="O32" s="39"/>
      <c r="P32" s="28"/>
      <c r="Q32" s="28"/>
    </row>
    <row r="33" spans="1:17" ht="15.75" x14ac:dyDescent="0.25">
      <c r="A33" s="65" t="s">
        <v>229</v>
      </c>
      <c r="B33" s="77" t="s">
        <v>27</v>
      </c>
      <c r="C33" s="72">
        <v>44454</v>
      </c>
      <c r="D33" s="28">
        <v>5</v>
      </c>
      <c r="E33" s="73">
        <v>15</v>
      </c>
      <c r="F33" s="30">
        <v>16.920000000000002</v>
      </c>
      <c r="G33" s="39">
        <v>8530</v>
      </c>
      <c r="H33" s="39">
        <v>9060000</v>
      </c>
      <c r="I33" s="28">
        <v>0.67</v>
      </c>
      <c r="J33" s="85" t="s">
        <v>193</v>
      </c>
      <c r="K33" s="103"/>
      <c r="L33" s="39"/>
      <c r="M33" s="39"/>
      <c r="N33" s="39"/>
      <c r="O33" s="39"/>
      <c r="P33" s="28"/>
      <c r="Q33" s="28"/>
    </row>
    <row r="34" spans="1:17" x14ac:dyDescent="0.25">
      <c r="A34" s="65"/>
      <c r="B34" s="28"/>
      <c r="C34" s="72"/>
      <c r="D34" s="28"/>
      <c r="E34" s="73"/>
      <c r="F34" s="73"/>
      <c r="G34" s="39"/>
      <c r="H34" s="39"/>
      <c r="I34" s="28"/>
      <c r="J34" s="85"/>
      <c r="K34" s="103"/>
      <c r="L34" s="39"/>
      <c r="M34" s="39"/>
      <c r="N34" s="39"/>
      <c r="O34" s="39"/>
      <c r="P34" s="28"/>
      <c r="Q34" s="28"/>
    </row>
    <row r="35" spans="1:17" x14ac:dyDescent="0.25">
      <c r="A35" s="65" t="s">
        <v>49</v>
      </c>
      <c r="B35" s="28" t="s">
        <v>51</v>
      </c>
      <c r="C35" s="72">
        <v>44446</v>
      </c>
      <c r="D35" s="28">
        <v>1</v>
      </c>
      <c r="E35" s="73">
        <v>15.76</v>
      </c>
      <c r="F35" s="30">
        <v>16.3</v>
      </c>
      <c r="G35" s="39">
        <v>8710</v>
      </c>
      <c r="H35" s="39">
        <v>13100000</v>
      </c>
      <c r="I35" s="28">
        <v>0.67</v>
      </c>
      <c r="J35" s="85" t="s">
        <v>193</v>
      </c>
      <c r="K35" s="103"/>
      <c r="L35" s="39"/>
      <c r="M35" s="39"/>
      <c r="N35" s="39"/>
      <c r="O35" s="39"/>
      <c r="P35" s="28"/>
      <c r="Q35" s="28"/>
    </row>
    <row r="36" spans="1:17" x14ac:dyDescent="0.25">
      <c r="A36" s="65" t="s">
        <v>204</v>
      </c>
      <c r="B36" s="28" t="s">
        <v>51</v>
      </c>
      <c r="C36" s="72">
        <v>44447</v>
      </c>
      <c r="D36" s="28">
        <v>2</v>
      </c>
      <c r="E36" s="73">
        <v>16.78</v>
      </c>
      <c r="F36" s="30">
        <v>16.3</v>
      </c>
      <c r="G36" s="39">
        <v>11700</v>
      </c>
      <c r="H36" s="39">
        <v>28300000</v>
      </c>
      <c r="I36" s="28">
        <v>0.67</v>
      </c>
      <c r="J36" s="85" t="s">
        <v>193</v>
      </c>
      <c r="K36" s="86"/>
      <c r="L36" s="39"/>
      <c r="M36" s="39"/>
      <c r="N36" s="39"/>
      <c r="O36" s="39"/>
      <c r="P36" s="28"/>
      <c r="Q36" s="28"/>
    </row>
    <row r="37" spans="1:17" x14ac:dyDescent="0.25">
      <c r="A37" s="65" t="s">
        <v>210</v>
      </c>
      <c r="B37" s="28" t="s">
        <v>51</v>
      </c>
      <c r="C37" s="72">
        <v>44448</v>
      </c>
      <c r="D37" s="28">
        <v>3</v>
      </c>
      <c r="E37" s="73">
        <v>14.76</v>
      </c>
      <c r="F37" s="73">
        <v>16.3</v>
      </c>
      <c r="G37" s="39">
        <v>11700</v>
      </c>
      <c r="H37" s="39">
        <v>11100000</v>
      </c>
      <c r="I37" s="28">
        <v>0.67</v>
      </c>
      <c r="J37" s="85" t="s">
        <v>193</v>
      </c>
      <c r="K37" s="28"/>
      <c r="L37" s="39"/>
      <c r="M37" s="39"/>
      <c r="N37" s="39"/>
      <c r="O37" s="39"/>
      <c r="P37" s="28"/>
      <c r="Q37" s="28"/>
    </row>
    <row r="38" spans="1:17" x14ac:dyDescent="0.25">
      <c r="A38" s="65" t="s">
        <v>225</v>
      </c>
      <c r="B38" s="28" t="s">
        <v>51</v>
      </c>
      <c r="C38" s="72">
        <v>44452</v>
      </c>
      <c r="D38" s="28">
        <v>4</v>
      </c>
      <c r="E38" s="73">
        <v>14.97</v>
      </c>
      <c r="F38" s="73">
        <v>16.3</v>
      </c>
      <c r="G38" s="39">
        <v>19200</v>
      </c>
      <c r="H38" s="39">
        <v>20100000</v>
      </c>
      <c r="I38" s="28">
        <v>0.67</v>
      </c>
      <c r="J38" s="85" t="s">
        <v>193</v>
      </c>
      <c r="K38" s="28"/>
      <c r="L38" s="39"/>
      <c r="M38" s="39"/>
      <c r="N38" s="39"/>
      <c r="O38" s="39"/>
      <c r="P38" s="28"/>
      <c r="Q38" s="28"/>
    </row>
    <row r="39" spans="1:17" x14ac:dyDescent="0.25">
      <c r="A39" s="65" t="s">
        <v>231</v>
      </c>
      <c r="B39" s="28" t="s">
        <v>51</v>
      </c>
      <c r="C39" s="72">
        <v>44454</v>
      </c>
      <c r="D39" s="28">
        <v>5</v>
      </c>
      <c r="E39" s="73">
        <v>15.55</v>
      </c>
      <c r="F39" s="73">
        <v>16.3</v>
      </c>
      <c r="G39" s="39">
        <v>9160</v>
      </c>
      <c r="H39" s="39">
        <v>12600000</v>
      </c>
      <c r="I39" s="28">
        <v>0.67</v>
      </c>
      <c r="J39" s="85" t="s">
        <v>193</v>
      </c>
      <c r="K39" s="28"/>
      <c r="L39" s="39"/>
      <c r="M39" s="39"/>
      <c r="N39" s="39"/>
      <c r="O39" s="39"/>
      <c r="P39" s="28"/>
      <c r="Q39" s="28"/>
    </row>
    <row r="40" spans="1:17" x14ac:dyDescent="0.25">
      <c r="A40" s="65"/>
      <c r="B40" s="28"/>
      <c r="C40" s="72"/>
      <c r="D40" s="28"/>
      <c r="E40" s="73"/>
      <c r="F40" s="73"/>
      <c r="G40" s="39"/>
      <c r="H40" s="39"/>
      <c r="I40" s="28"/>
      <c r="J40" s="85"/>
      <c r="K40" s="28"/>
      <c r="L40" s="39"/>
      <c r="M40" s="39"/>
      <c r="N40" s="39"/>
      <c r="O40" s="39"/>
      <c r="P40" s="28"/>
      <c r="Q40" s="28"/>
    </row>
    <row r="41" spans="1:17" x14ac:dyDescent="0.25">
      <c r="A41" s="65" t="s">
        <v>22</v>
      </c>
      <c r="B41" s="28" t="s">
        <v>24</v>
      </c>
      <c r="C41" s="72">
        <v>44446</v>
      </c>
      <c r="D41" s="28">
        <v>1</v>
      </c>
      <c r="E41" s="73">
        <v>14.8</v>
      </c>
      <c r="F41" s="30">
        <v>15.83</v>
      </c>
      <c r="G41" s="39">
        <v>851</v>
      </c>
      <c r="H41" s="39">
        <v>1860000</v>
      </c>
      <c r="I41" s="28">
        <v>0.75</v>
      </c>
      <c r="J41" s="85" t="s">
        <v>193</v>
      </c>
      <c r="K41" s="28"/>
      <c r="L41" s="39"/>
      <c r="M41" s="39"/>
      <c r="N41" s="39"/>
      <c r="O41" s="39"/>
      <c r="P41" s="28"/>
      <c r="Q41" s="28"/>
    </row>
    <row r="42" spans="1:17" x14ac:dyDescent="0.25">
      <c r="A42" s="65" t="s">
        <v>201</v>
      </c>
      <c r="B42" s="28" t="s">
        <v>24</v>
      </c>
      <c r="C42" s="72">
        <v>44447</v>
      </c>
      <c r="D42" s="28">
        <v>2</v>
      </c>
      <c r="E42" s="73">
        <v>15.24</v>
      </c>
      <c r="F42" s="30">
        <v>15.83</v>
      </c>
      <c r="G42" s="39">
        <v>8490</v>
      </c>
      <c r="H42" s="39">
        <v>10100000</v>
      </c>
      <c r="I42" s="28">
        <v>0.67</v>
      </c>
      <c r="J42" s="85" t="s">
        <v>193</v>
      </c>
      <c r="K42" s="28"/>
      <c r="L42" s="39"/>
      <c r="M42" s="39"/>
      <c r="N42" s="39"/>
      <c r="O42" s="39"/>
      <c r="P42" s="28"/>
      <c r="Q42" s="28"/>
    </row>
    <row r="43" spans="1:17" x14ac:dyDescent="0.25">
      <c r="A43" s="65" t="s">
        <v>208</v>
      </c>
      <c r="B43" s="28" t="s">
        <v>24</v>
      </c>
      <c r="C43" s="72">
        <v>44448</v>
      </c>
      <c r="D43" s="28">
        <v>3</v>
      </c>
      <c r="E43" s="73">
        <v>14.68</v>
      </c>
      <c r="F43" s="30">
        <v>15.83</v>
      </c>
      <c r="G43" s="39">
        <v>11700</v>
      </c>
      <c r="H43" s="39">
        <v>10700000</v>
      </c>
      <c r="I43" s="28">
        <v>0.67</v>
      </c>
      <c r="J43" s="85" t="s">
        <v>193</v>
      </c>
      <c r="K43" s="28"/>
      <c r="L43" s="39"/>
      <c r="M43" s="39"/>
      <c r="N43" s="39"/>
      <c r="O43" s="39"/>
      <c r="P43" s="28"/>
      <c r="Q43" s="28"/>
    </row>
    <row r="44" spans="1:17" x14ac:dyDescent="0.25">
      <c r="A44" s="65" t="s">
        <v>222</v>
      </c>
      <c r="B44" s="28" t="s">
        <v>24</v>
      </c>
      <c r="C44" s="72">
        <v>44452</v>
      </c>
      <c r="D44" s="28">
        <v>4</v>
      </c>
      <c r="E44" s="73">
        <v>13.71</v>
      </c>
      <c r="F44" s="30">
        <v>15.83</v>
      </c>
      <c r="G44" s="39">
        <v>10100</v>
      </c>
      <c r="H44" s="39">
        <v>5880000</v>
      </c>
      <c r="I44" s="28">
        <v>0.67</v>
      </c>
      <c r="J44" s="85" t="s">
        <v>193</v>
      </c>
      <c r="K44" s="28"/>
      <c r="L44" s="39"/>
      <c r="M44" s="39"/>
      <c r="N44" s="39"/>
      <c r="O44" s="39"/>
      <c r="P44" s="28"/>
      <c r="Q44" s="28"/>
    </row>
    <row r="45" spans="1:17" x14ac:dyDescent="0.25">
      <c r="A45" s="65" t="s">
        <v>228</v>
      </c>
      <c r="B45" s="28" t="s">
        <v>24</v>
      </c>
      <c r="C45" s="72">
        <v>44454</v>
      </c>
      <c r="D45" s="28">
        <v>5</v>
      </c>
      <c r="E45" s="73">
        <v>14.46</v>
      </c>
      <c r="F45" s="30">
        <v>15.83</v>
      </c>
      <c r="G45" s="39">
        <v>12100</v>
      </c>
      <c r="H45" s="39">
        <v>21900000</v>
      </c>
      <c r="I45" s="28">
        <v>0.75</v>
      </c>
      <c r="J45" s="85" t="s">
        <v>193</v>
      </c>
      <c r="K45" s="28"/>
      <c r="L45" s="39"/>
      <c r="M45" s="39"/>
      <c r="N45" s="39"/>
      <c r="O45" s="39"/>
      <c r="P45" s="28"/>
      <c r="Q45" s="28"/>
    </row>
    <row r="46" spans="1:17" x14ac:dyDescent="0.25">
      <c r="A46" s="65"/>
      <c r="B46" s="28"/>
      <c r="C46" s="72"/>
      <c r="D46" s="28"/>
      <c r="E46" s="73"/>
      <c r="F46" s="73"/>
      <c r="G46" s="39"/>
      <c r="H46" s="39"/>
      <c r="I46" s="28"/>
      <c r="J46" s="85"/>
      <c r="K46" s="28"/>
      <c r="L46" s="39"/>
      <c r="M46" s="39"/>
      <c r="N46" s="39"/>
      <c r="O46" s="39"/>
      <c r="P46" s="28"/>
      <c r="Q46" s="28"/>
    </row>
    <row r="47" spans="1:17" x14ac:dyDescent="0.25">
      <c r="A47" s="65" t="s">
        <v>63</v>
      </c>
      <c r="B47" s="28" t="s">
        <v>65</v>
      </c>
      <c r="C47" s="72">
        <v>44448</v>
      </c>
      <c r="D47" s="28">
        <v>1</v>
      </c>
      <c r="E47" s="73">
        <v>16.93</v>
      </c>
      <c r="F47" s="73">
        <v>17.86</v>
      </c>
      <c r="G47" s="39">
        <v>11200</v>
      </c>
      <c r="H47" s="39">
        <v>29000000</v>
      </c>
      <c r="I47" s="28">
        <v>0.67</v>
      </c>
      <c r="J47" s="85" t="s">
        <v>193</v>
      </c>
      <c r="K47" s="28"/>
      <c r="L47" s="39"/>
      <c r="M47" s="39"/>
      <c r="N47" s="39"/>
      <c r="O47" s="39"/>
      <c r="P47" s="28"/>
      <c r="Q47" s="28"/>
    </row>
    <row r="48" spans="1:17" x14ac:dyDescent="0.25">
      <c r="A48" s="65" t="s">
        <v>224</v>
      </c>
      <c r="B48" s="28" t="s">
        <v>65</v>
      </c>
      <c r="C48" s="72">
        <v>44452</v>
      </c>
      <c r="D48" s="28">
        <v>2</v>
      </c>
      <c r="E48" s="73">
        <v>16.73</v>
      </c>
      <c r="F48" s="73">
        <v>17.86</v>
      </c>
      <c r="G48" s="39">
        <v>7450</v>
      </c>
      <c r="H48" s="39">
        <v>17600000</v>
      </c>
      <c r="I48" s="28">
        <v>0.67</v>
      </c>
      <c r="J48" s="85" t="s">
        <v>193</v>
      </c>
      <c r="K48" s="28"/>
      <c r="L48" s="39"/>
      <c r="M48" s="39"/>
      <c r="N48" s="39"/>
      <c r="O48" s="39"/>
      <c r="P48" s="28"/>
      <c r="Q48" s="28"/>
    </row>
    <row r="49" spans="1:17" x14ac:dyDescent="0.25">
      <c r="A49" s="65" t="s">
        <v>230</v>
      </c>
      <c r="B49" s="28" t="s">
        <v>65</v>
      </c>
      <c r="C49" s="72">
        <v>44454</v>
      </c>
      <c r="D49" s="28">
        <v>3</v>
      </c>
      <c r="E49" s="73">
        <v>16.8</v>
      </c>
      <c r="F49" s="73">
        <v>17.86</v>
      </c>
      <c r="G49" s="39">
        <v>9200</v>
      </c>
      <c r="H49" s="39">
        <v>22500000</v>
      </c>
      <c r="I49" s="28">
        <v>0.67</v>
      </c>
      <c r="J49" s="85" t="s">
        <v>193</v>
      </c>
      <c r="K49" s="28"/>
      <c r="L49" s="39"/>
      <c r="M49" s="39"/>
      <c r="N49" s="39"/>
      <c r="O49" s="39"/>
      <c r="P49" s="28"/>
      <c r="Q49" s="28"/>
    </row>
    <row r="50" spans="1:17" x14ac:dyDescent="0.25">
      <c r="A50" s="65" t="s">
        <v>238</v>
      </c>
      <c r="B50" s="28" t="s">
        <v>65</v>
      </c>
      <c r="C50" s="72">
        <v>44455</v>
      </c>
      <c r="D50" s="28">
        <v>4</v>
      </c>
      <c r="E50" s="73">
        <v>16.02</v>
      </c>
      <c r="F50" s="73">
        <v>17.86</v>
      </c>
      <c r="G50" s="39">
        <v>8080</v>
      </c>
      <c r="H50" s="39">
        <v>13800000</v>
      </c>
      <c r="I50" s="28">
        <v>0.67</v>
      </c>
      <c r="J50" s="85" t="s">
        <v>193</v>
      </c>
      <c r="K50" s="28"/>
      <c r="L50" s="39"/>
      <c r="M50" s="39"/>
      <c r="N50" s="39"/>
      <c r="O50" s="39"/>
      <c r="P50" s="28"/>
      <c r="Q50" s="28"/>
    </row>
    <row r="51" spans="1:17" x14ac:dyDescent="0.25">
      <c r="A51" s="65" t="s">
        <v>245</v>
      </c>
      <c r="B51" s="28" t="s">
        <v>65</v>
      </c>
      <c r="C51" s="72">
        <v>44456</v>
      </c>
      <c r="D51" s="28">
        <v>5</v>
      </c>
      <c r="E51" s="73">
        <v>16.21</v>
      </c>
      <c r="F51" s="73">
        <v>17.86</v>
      </c>
      <c r="G51" s="39">
        <v>9280</v>
      </c>
      <c r="H51" s="39">
        <v>17300000</v>
      </c>
      <c r="I51" s="28">
        <v>0.67</v>
      </c>
      <c r="J51" s="85" t="s">
        <v>193</v>
      </c>
      <c r="K51" s="28"/>
      <c r="L51" s="39"/>
      <c r="M51" s="39"/>
      <c r="N51" s="39"/>
      <c r="O51" s="39"/>
      <c r="P51" s="28"/>
      <c r="Q51" s="28"/>
    </row>
    <row r="52" spans="1:17" x14ac:dyDescent="0.25">
      <c r="A52" s="65"/>
      <c r="B52" s="28"/>
      <c r="C52" s="72"/>
      <c r="D52" s="28"/>
      <c r="E52" s="73"/>
      <c r="F52" s="73"/>
      <c r="G52" s="39"/>
      <c r="H52" s="39"/>
      <c r="I52" s="28"/>
      <c r="J52" s="85"/>
      <c r="K52" s="28"/>
      <c r="L52" s="39"/>
      <c r="M52" s="39"/>
      <c r="N52" s="39"/>
      <c r="O52" s="39"/>
      <c r="P52" s="28"/>
      <c r="Q52" s="28"/>
    </row>
    <row r="53" spans="1:17" x14ac:dyDescent="0.25">
      <c r="A53" s="65" t="s">
        <v>66</v>
      </c>
      <c r="B53" s="28" t="s">
        <v>68</v>
      </c>
      <c r="C53" s="72">
        <v>44448</v>
      </c>
      <c r="D53" s="28">
        <v>1</v>
      </c>
      <c r="E53" s="73" t="s">
        <v>212</v>
      </c>
      <c r="F53" s="73">
        <v>9.73</v>
      </c>
      <c r="G53" s="39">
        <v>1520</v>
      </c>
      <c r="H53" s="39" t="s">
        <v>212</v>
      </c>
      <c r="I53" s="28">
        <v>1.25</v>
      </c>
      <c r="J53" s="85" t="s">
        <v>193</v>
      </c>
      <c r="K53" s="28"/>
      <c r="L53" s="39"/>
      <c r="M53" s="39"/>
      <c r="N53" s="39"/>
      <c r="O53" s="39"/>
      <c r="P53" s="28"/>
      <c r="Q53" s="28"/>
    </row>
    <row r="54" spans="1:17" x14ac:dyDescent="0.25">
      <c r="A54" s="65" t="s">
        <v>66</v>
      </c>
      <c r="B54" s="28" t="s">
        <v>68</v>
      </c>
      <c r="C54" s="72">
        <v>44452</v>
      </c>
      <c r="D54" s="28">
        <v>1</v>
      </c>
      <c r="E54" s="73">
        <v>9.9600000000000009</v>
      </c>
      <c r="F54" s="73">
        <v>9.73</v>
      </c>
      <c r="G54" s="39">
        <v>912</v>
      </c>
      <c r="H54" s="39">
        <v>5090000</v>
      </c>
      <c r="I54" s="28">
        <v>1.25</v>
      </c>
      <c r="J54" s="85" t="s">
        <v>193</v>
      </c>
      <c r="K54" s="28"/>
      <c r="L54" s="39"/>
      <c r="M54" s="39"/>
      <c r="N54" s="39"/>
      <c r="O54" s="39"/>
      <c r="P54" s="28"/>
      <c r="Q54" s="28"/>
    </row>
    <row r="55" spans="1:17" x14ac:dyDescent="0.25">
      <c r="A55" s="65" t="s">
        <v>232</v>
      </c>
      <c r="B55" s="28" t="s">
        <v>68</v>
      </c>
      <c r="C55" s="72">
        <v>44454</v>
      </c>
      <c r="D55" s="28">
        <v>2</v>
      </c>
      <c r="E55" s="73">
        <v>11.08</v>
      </c>
      <c r="F55" s="73">
        <v>9.73</v>
      </c>
      <c r="G55" s="39">
        <v>6160</v>
      </c>
      <c r="H55" s="39">
        <v>1950000</v>
      </c>
      <c r="I55" s="28">
        <v>0.75</v>
      </c>
      <c r="J55" s="85" t="s">
        <v>195</v>
      </c>
      <c r="K55" s="28" t="s">
        <v>237</v>
      </c>
      <c r="L55" s="39">
        <v>0</v>
      </c>
      <c r="M55" s="39">
        <f>(29+15+5)/SUM(0.00005, 0.00001,0.000005, 0.000001)</f>
        <v>742424.24242424231</v>
      </c>
      <c r="N55" s="39">
        <f>(47/(0.00001))/10*(0.0131)</f>
        <v>6157</v>
      </c>
      <c r="O55" s="39">
        <f>(67+5+7+1)/SUM(0.00005,0.00001,0.000005,0.000001)</f>
        <v>1212121.2121212119</v>
      </c>
      <c r="P55" s="78" t="e">
        <f>LN(M55/L55)/(I55*LN(2))</f>
        <v>#DIV/0!</v>
      </c>
      <c r="Q55" s="76">
        <f>LN(O55/N55)/(I55*LN(2))</f>
        <v>10.161454255517327</v>
      </c>
    </row>
    <row r="56" spans="1:17" x14ac:dyDescent="0.25">
      <c r="A56" s="65" t="s">
        <v>239</v>
      </c>
      <c r="B56" s="28" t="s">
        <v>68</v>
      </c>
      <c r="C56" s="72">
        <v>44455</v>
      </c>
      <c r="D56" s="28">
        <v>3</v>
      </c>
      <c r="E56" s="73">
        <v>12.1</v>
      </c>
      <c r="F56" s="73">
        <v>9.73</v>
      </c>
      <c r="G56" s="39">
        <v>7800</v>
      </c>
      <c r="H56" s="39">
        <v>34200000</v>
      </c>
      <c r="I56" s="28">
        <v>1</v>
      </c>
      <c r="J56" s="85" t="s">
        <v>195</v>
      </c>
      <c r="K56" s="28" t="s">
        <v>241</v>
      </c>
      <c r="L56" s="39">
        <f>(27)/(0.00005)*(0.0513)/10</f>
        <v>2770.2</v>
      </c>
      <c r="M56" s="39">
        <f>(57)/(0.000005)</f>
        <v>11399999.999999998</v>
      </c>
      <c r="N56" s="39">
        <f>(49)/(0.00005)*(0.0513)/10</f>
        <v>5027.3999999999996</v>
      </c>
      <c r="O56" s="39">
        <f>(120)/(0.000005)</f>
        <v>23999999.999999996</v>
      </c>
      <c r="P56" s="76">
        <f>LN(M56/L56)/(I56*LN(2))</f>
        <v>12.006756065718394</v>
      </c>
      <c r="Q56" s="76">
        <f>LN(O56/N56)/(I56*LN(2))</f>
        <v>12.220934305210431</v>
      </c>
    </row>
    <row r="57" spans="1:17" x14ac:dyDescent="0.25">
      <c r="A57" s="65" t="s">
        <v>247</v>
      </c>
      <c r="B57" s="28" t="s">
        <v>68</v>
      </c>
      <c r="C57" s="72">
        <v>44456</v>
      </c>
      <c r="D57" s="28">
        <v>4</v>
      </c>
      <c r="E57" s="73">
        <v>14.13</v>
      </c>
      <c r="F57" s="73">
        <v>9.73</v>
      </c>
      <c r="G57" s="39">
        <v>7590</v>
      </c>
      <c r="H57" s="39">
        <v>11800000</v>
      </c>
      <c r="I57" s="28">
        <v>0.75</v>
      </c>
      <c r="J57" s="85" t="s">
        <v>195</v>
      </c>
      <c r="K57" s="28" t="s">
        <v>259</v>
      </c>
      <c r="L57" s="39">
        <f>(90/(0.000005))/10*(0.00292)</f>
        <v>5256</v>
      </c>
      <c r="M57" s="39">
        <f>(88+40+11)/SUM(0.00001, 0.000005, 0.000001)</f>
        <v>8687499.9999999981</v>
      </c>
      <c r="N57" s="39">
        <f>(40/(0.000005))/10*0.00292</f>
        <v>2335.9999999999995</v>
      </c>
      <c r="O57" s="39">
        <f>(26+19+4)/SUM(0.00001,0.000005,0.000001)</f>
        <v>3062499.9999999995</v>
      </c>
      <c r="P57" s="76">
        <f>LN(M57/L57)/(I57*LN(2))</f>
        <v>14.254346775633804</v>
      </c>
      <c r="Q57" s="76">
        <f t="shared" ref="Q57" si="0">LN(O57/N57)/(I57*LN(2))</f>
        <v>13.808605139412489</v>
      </c>
    </row>
    <row r="58" spans="1:17" x14ac:dyDescent="0.25">
      <c r="A58" s="65">
        <v>164.4</v>
      </c>
      <c r="B58" s="28" t="s">
        <v>68</v>
      </c>
      <c r="C58" s="72">
        <v>44459</v>
      </c>
      <c r="D58" s="28">
        <v>5</v>
      </c>
      <c r="E58" s="73">
        <v>14.11</v>
      </c>
      <c r="F58" s="73">
        <v>9.73</v>
      </c>
      <c r="G58" s="39">
        <v>6860</v>
      </c>
      <c r="H58" s="39">
        <v>4810000</v>
      </c>
      <c r="I58" s="28">
        <v>0.67</v>
      </c>
      <c r="J58" s="85" t="s">
        <v>195</v>
      </c>
      <c r="K58" s="28" t="s">
        <v>259</v>
      </c>
      <c r="L58" s="39">
        <f>66/(0.00001)*(0.00847)/10</f>
        <v>5590.1999999999989</v>
      </c>
      <c r="M58" s="39">
        <f>(36+21+4)/SUM(0.00001, 0.000005, 0.000001)</f>
        <v>3812499.9999999995</v>
      </c>
      <c r="N58" s="39">
        <f>(15)/(0.00001)*(0.00847)/10</f>
        <v>1270.4999999999998</v>
      </c>
      <c r="O58" s="39">
        <f>(9+7+0)/SUM(0.00001, 0.000005, 0.000001)</f>
        <v>999999.99999999988</v>
      </c>
      <c r="P58" s="76">
        <f>LN(M58/L58)/(I58*LN(2))</f>
        <v>14.050181676244433</v>
      </c>
      <c r="Q58" s="76">
        <f t="shared" ref="Q58" si="1">LN(O58/N58)/(I58*LN(2))</f>
        <v>14.358787924284803</v>
      </c>
    </row>
    <row r="59" spans="1:17" x14ac:dyDescent="0.25">
      <c r="A59" s="65"/>
      <c r="B59" s="28"/>
      <c r="C59" s="72"/>
      <c r="D59" s="28"/>
      <c r="E59" s="73"/>
      <c r="F59" s="73"/>
      <c r="G59" s="39"/>
      <c r="H59" s="39"/>
      <c r="I59" s="28"/>
      <c r="J59" s="85"/>
      <c r="K59" s="79"/>
      <c r="L59" s="39"/>
      <c r="M59" s="39"/>
      <c r="N59" s="39"/>
      <c r="O59" s="39"/>
      <c r="P59" s="76"/>
      <c r="Q59" s="76"/>
    </row>
    <row r="60" spans="1:17" x14ac:dyDescent="0.25">
      <c r="A60" s="65" t="s">
        <v>52</v>
      </c>
      <c r="B60" s="28" t="s">
        <v>54</v>
      </c>
      <c r="C60" s="72">
        <v>44448</v>
      </c>
      <c r="D60" s="28">
        <v>1</v>
      </c>
      <c r="E60" s="73">
        <v>12.32</v>
      </c>
      <c r="F60" s="73">
        <v>11.85</v>
      </c>
      <c r="G60" s="39">
        <v>137</v>
      </c>
      <c r="H60" s="39">
        <v>50000000</v>
      </c>
      <c r="I60" s="28">
        <v>1.5</v>
      </c>
      <c r="J60" s="85" t="s">
        <v>193</v>
      </c>
      <c r="K60" s="28"/>
      <c r="L60" s="39"/>
      <c r="M60" s="39"/>
      <c r="N60" s="39"/>
      <c r="O60" s="39"/>
      <c r="P60" s="76"/>
      <c r="Q60" s="76"/>
    </row>
    <row r="61" spans="1:17" x14ac:dyDescent="0.25">
      <c r="A61" s="65" t="s">
        <v>220</v>
      </c>
      <c r="B61" s="28" t="s">
        <v>54</v>
      </c>
      <c r="C61" s="72">
        <v>44452</v>
      </c>
      <c r="D61" s="28">
        <v>2</v>
      </c>
      <c r="E61" s="73">
        <v>9.9</v>
      </c>
      <c r="F61" s="73">
        <v>11.85</v>
      </c>
      <c r="G61" s="39">
        <v>7400</v>
      </c>
      <c r="H61" s="39">
        <v>1270000</v>
      </c>
      <c r="I61" s="28">
        <v>0.75</v>
      </c>
      <c r="J61" s="85" t="s">
        <v>193</v>
      </c>
      <c r="K61" s="28"/>
      <c r="L61" s="39"/>
      <c r="M61" s="39"/>
      <c r="N61" s="39"/>
      <c r="O61" s="39"/>
      <c r="P61" s="76"/>
      <c r="Q61" s="76"/>
    </row>
    <row r="62" spans="1:17" x14ac:dyDescent="0.25">
      <c r="A62" s="65" t="s">
        <v>227</v>
      </c>
      <c r="B62" s="28" t="s">
        <v>54</v>
      </c>
      <c r="C62" s="72">
        <v>44454</v>
      </c>
      <c r="D62" s="28">
        <v>3</v>
      </c>
      <c r="E62" s="73">
        <v>11.5</v>
      </c>
      <c r="F62" s="73">
        <v>11.85</v>
      </c>
      <c r="G62" s="39">
        <v>7870</v>
      </c>
      <c r="H62" s="39">
        <v>22800000</v>
      </c>
      <c r="I62" s="28">
        <v>1</v>
      </c>
      <c r="J62" s="85" t="s">
        <v>193</v>
      </c>
      <c r="K62" s="28"/>
      <c r="L62" s="39"/>
      <c r="M62" s="39"/>
      <c r="N62" s="39"/>
      <c r="O62" s="39"/>
      <c r="P62" s="76"/>
      <c r="Q62" s="76"/>
    </row>
    <row r="63" spans="1:17" x14ac:dyDescent="0.25">
      <c r="A63" s="65" t="s">
        <v>244</v>
      </c>
      <c r="B63" s="28" t="s">
        <v>54</v>
      </c>
      <c r="C63" s="72">
        <v>44454</v>
      </c>
      <c r="D63" s="28">
        <v>3</v>
      </c>
      <c r="E63" s="73">
        <v>10.99</v>
      </c>
      <c r="F63" s="73">
        <v>11.85</v>
      </c>
      <c r="G63" s="39">
        <v>9130</v>
      </c>
      <c r="H63" s="39">
        <v>18600000</v>
      </c>
      <c r="I63" s="28">
        <v>1</v>
      </c>
      <c r="J63" s="85" t="s">
        <v>193</v>
      </c>
      <c r="K63" s="28"/>
      <c r="L63" s="39"/>
      <c r="M63" s="39"/>
      <c r="N63" s="39"/>
      <c r="O63" s="39"/>
      <c r="P63" s="76"/>
      <c r="Q63" s="76"/>
    </row>
    <row r="64" spans="1:17" x14ac:dyDescent="0.25">
      <c r="A64" s="65" t="s">
        <v>248</v>
      </c>
      <c r="B64" s="28" t="s">
        <v>54</v>
      </c>
      <c r="C64" s="72">
        <v>44456</v>
      </c>
      <c r="D64" s="28">
        <v>4</v>
      </c>
      <c r="E64" s="73">
        <v>10.210000000000001</v>
      </c>
      <c r="F64" s="73">
        <v>11.85</v>
      </c>
      <c r="G64" s="39">
        <v>12600</v>
      </c>
      <c r="H64" s="39">
        <v>14900000</v>
      </c>
      <c r="I64" s="28">
        <v>1</v>
      </c>
      <c r="J64" s="85" t="s">
        <v>193</v>
      </c>
      <c r="K64" s="28"/>
      <c r="L64" s="39"/>
      <c r="M64" s="39"/>
      <c r="N64" s="39"/>
      <c r="O64" s="39"/>
      <c r="P64" s="76"/>
      <c r="Q64" s="76"/>
    </row>
    <row r="65" spans="1:17" x14ac:dyDescent="0.25">
      <c r="A65" s="65" t="s">
        <v>250</v>
      </c>
      <c r="B65" s="28" t="s">
        <v>54</v>
      </c>
      <c r="C65" s="72">
        <v>44459</v>
      </c>
      <c r="D65" s="28">
        <v>5</v>
      </c>
      <c r="E65" s="73">
        <v>12.98</v>
      </c>
      <c r="F65" s="73">
        <v>11.85</v>
      </c>
      <c r="G65" s="39">
        <v>7650</v>
      </c>
      <c r="H65" s="39">
        <v>62000000</v>
      </c>
      <c r="I65" s="28">
        <v>1</v>
      </c>
      <c r="J65" s="85" t="s">
        <v>193</v>
      </c>
      <c r="K65" s="28"/>
      <c r="L65" s="39"/>
      <c r="M65" s="39"/>
      <c r="N65" s="39"/>
      <c r="O65" s="39"/>
      <c r="P65" s="76"/>
      <c r="Q65" s="76"/>
    </row>
    <row r="66" spans="1:17" x14ac:dyDescent="0.25">
      <c r="A66" s="65"/>
      <c r="B66" s="28"/>
      <c r="C66" s="72"/>
      <c r="D66" s="28"/>
      <c r="E66" s="73"/>
      <c r="F66" s="73"/>
      <c r="G66" s="39"/>
      <c r="H66" s="39"/>
      <c r="I66" s="28"/>
      <c r="J66" s="85"/>
      <c r="K66" s="28"/>
      <c r="L66" s="39"/>
      <c r="M66" s="39"/>
      <c r="N66" s="39"/>
      <c r="O66" s="39"/>
      <c r="P66" s="76"/>
      <c r="Q66" s="76"/>
    </row>
    <row r="67" spans="1:17" x14ac:dyDescent="0.25">
      <c r="A67" s="65">
        <v>210</v>
      </c>
      <c r="B67" s="28" t="s">
        <v>61</v>
      </c>
      <c r="C67" s="72">
        <v>44454</v>
      </c>
      <c r="D67" s="28">
        <v>1</v>
      </c>
      <c r="E67" s="73" t="s">
        <v>212</v>
      </c>
      <c r="F67" s="73">
        <v>15.32</v>
      </c>
      <c r="G67" s="39">
        <v>9370</v>
      </c>
      <c r="H67" s="39" t="s">
        <v>212</v>
      </c>
      <c r="I67" s="28">
        <v>0.67</v>
      </c>
      <c r="J67" s="85" t="s">
        <v>193</v>
      </c>
      <c r="K67" s="28"/>
      <c r="L67" s="39"/>
      <c r="M67" s="39"/>
      <c r="N67" s="39"/>
      <c r="O67" s="39"/>
      <c r="P67" s="76"/>
      <c r="Q67" s="76"/>
    </row>
    <row r="68" spans="1:17" x14ac:dyDescent="0.25">
      <c r="A68" s="65" t="s">
        <v>243</v>
      </c>
      <c r="B68" s="28" t="s">
        <v>61</v>
      </c>
      <c r="C68" s="72">
        <v>44454</v>
      </c>
      <c r="D68" s="28">
        <v>1</v>
      </c>
      <c r="E68" s="73">
        <v>13.92</v>
      </c>
      <c r="F68" s="73">
        <v>15.32</v>
      </c>
      <c r="G68" s="39">
        <v>9270</v>
      </c>
      <c r="H68" s="39">
        <v>5940000</v>
      </c>
      <c r="I68" s="28">
        <v>0.67</v>
      </c>
      <c r="J68" s="85" t="s">
        <v>193</v>
      </c>
      <c r="K68" s="28"/>
      <c r="L68" s="39"/>
      <c r="M68" s="39"/>
      <c r="N68" s="39"/>
      <c r="O68" s="39"/>
      <c r="P68" s="76"/>
      <c r="Q68" s="76"/>
    </row>
    <row r="69" spans="1:17" x14ac:dyDescent="0.25">
      <c r="A69" s="65">
        <v>210.1</v>
      </c>
      <c r="B69" s="28" t="s">
        <v>61</v>
      </c>
      <c r="C69" s="72">
        <v>44456</v>
      </c>
      <c r="D69" s="28">
        <v>2</v>
      </c>
      <c r="E69" s="73">
        <v>14.06</v>
      </c>
      <c r="F69" s="73">
        <v>15.32</v>
      </c>
      <c r="G69" s="39">
        <v>6570</v>
      </c>
      <c r="H69" s="39">
        <v>9810000</v>
      </c>
      <c r="I69" s="28">
        <v>0.75</v>
      </c>
      <c r="J69" s="85" t="s">
        <v>193</v>
      </c>
      <c r="K69" s="28"/>
      <c r="L69" s="39"/>
      <c r="M69" s="39"/>
      <c r="N69" s="39"/>
      <c r="O69" s="39"/>
      <c r="P69" s="76"/>
      <c r="Q69" s="76"/>
    </row>
    <row r="70" spans="1:17" x14ac:dyDescent="0.25">
      <c r="A70" s="65">
        <v>210.2</v>
      </c>
      <c r="B70" s="28" t="s">
        <v>61</v>
      </c>
      <c r="C70" s="72">
        <v>44459</v>
      </c>
      <c r="D70" s="28">
        <v>3</v>
      </c>
      <c r="E70" s="73">
        <v>14.11</v>
      </c>
      <c r="F70" s="73">
        <v>15.32</v>
      </c>
      <c r="G70" s="39">
        <v>8150</v>
      </c>
      <c r="H70" s="39">
        <v>5710000</v>
      </c>
      <c r="I70" s="28">
        <v>0.67</v>
      </c>
      <c r="J70" s="85" t="s">
        <v>195</v>
      </c>
      <c r="K70" s="28" t="s">
        <v>258</v>
      </c>
      <c r="L70" s="39">
        <f>(1)/(0.00001)/10*(0.0102)</f>
        <v>101.99999999999999</v>
      </c>
      <c r="M70" s="39">
        <f>(16+1+6+1)/SUM(0.00005, 0.00001, 0.000005, 0.000001)</f>
        <v>363636.36363636359</v>
      </c>
      <c r="N70" s="39">
        <f>(79)/(0.00001)*(0.0102)/10</f>
        <v>8058</v>
      </c>
      <c r="O70" s="39">
        <f>(258+69+19+7)/SUM(0.00005, 0.00001, 0.000005, 0.000001)</f>
        <v>5348484.8484848477</v>
      </c>
      <c r="P70" s="76">
        <f>LN(M70/L70)/(I70*LN(2))</f>
        <v>17.6115098637543</v>
      </c>
      <c r="Q70" s="76">
        <f t="shared" ref="Q70" si="2">LN(O70/N70)/(I70*LN(2))</f>
        <v>13.991780198639256</v>
      </c>
    </row>
    <row r="71" spans="1:17" x14ac:dyDescent="0.25">
      <c r="A71" s="65">
        <v>210.3</v>
      </c>
      <c r="B71" s="28" t="s">
        <v>61</v>
      </c>
      <c r="C71" s="72">
        <v>44461</v>
      </c>
      <c r="D71" s="28">
        <v>4</v>
      </c>
      <c r="E71" s="73">
        <v>15.98</v>
      </c>
      <c r="F71" s="73">
        <v>15.32</v>
      </c>
      <c r="G71" s="39">
        <v>12100</v>
      </c>
      <c r="H71" s="39">
        <v>20200000</v>
      </c>
      <c r="I71" s="28">
        <v>0.67</v>
      </c>
      <c r="J71" s="85" t="s">
        <v>195</v>
      </c>
      <c r="K71" s="28" t="s">
        <v>258</v>
      </c>
      <c r="L71" s="39">
        <f>2/(0.00001)*(0.0175)/10</f>
        <v>350</v>
      </c>
      <c r="M71" s="39">
        <f>(30+7)/SUM(0.000005,0.000001)</f>
        <v>6166666.666666666</v>
      </c>
      <c r="N71" s="39">
        <f>67/(0.00001)*(0.0175)/10</f>
        <v>11725</v>
      </c>
      <c r="O71" s="39">
        <f>(74+10)/SUM(0.000005,0.000001)</f>
        <v>14000000</v>
      </c>
      <c r="P71" s="76">
        <f>LN(M71/L71)/(I71*LN(2))</f>
        <v>21.052012421491998</v>
      </c>
      <c r="Q71" s="76">
        <f t="shared" ref="Q71" si="3">LN(O71/N71)/(I71*LN(2))</f>
        <v>15.256154013569665</v>
      </c>
    </row>
    <row r="72" spans="1:17" x14ac:dyDescent="0.25">
      <c r="A72" s="65">
        <v>210.4</v>
      </c>
      <c r="B72" s="28" t="s">
        <v>61</v>
      </c>
      <c r="C72" s="72">
        <v>44462</v>
      </c>
      <c r="D72" s="28">
        <v>5</v>
      </c>
      <c r="E72" s="73">
        <v>19.16</v>
      </c>
      <c r="F72" s="73">
        <v>15.32</v>
      </c>
      <c r="G72" s="39">
        <v>8220</v>
      </c>
      <c r="H72" s="39">
        <v>60000000</v>
      </c>
      <c r="I72" s="28">
        <v>0.67</v>
      </c>
      <c r="J72" s="85" t="s">
        <v>195</v>
      </c>
      <c r="K72" s="28" t="s">
        <v>274</v>
      </c>
      <c r="L72" s="39">
        <f>33/(0.000005)*(0.00495)/10</f>
        <v>3266.9999999999995</v>
      </c>
      <c r="M72" s="39">
        <f>44/(0.000001)</f>
        <v>44000000</v>
      </c>
      <c r="N72" s="39">
        <f>50/(0.000005)*(0.00495)/10</f>
        <v>4950.0000000000009</v>
      </c>
      <c r="O72" s="39">
        <f>16/(0.000001)</f>
        <v>16000000</v>
      </c>
      <c r="P72" s="76">
        <f>LN(M72/L72)/(I72*LN(2))</f>
        <v>20.473506639587175</v>
      </c>
      <c r="Q72" s="76">
        <f t="shared" ref="Q72" si="4">LN(O72/N72)/(I72*LN(2))</f>
        <v>17.400530984283343</v>
      </c>
    </row>
    <row r="73" spans="1:17" x14ac:dyDescent="0.25">
      <c r="A73" s="65"/>
      <c r="B73" s="28"/>
      <c r="C73" s="72"/>
      <c r="D73" s="28"/>
      <c r="E73" s="73"/>
      <c r="F73" s="73"/>
      <c r="G73" s="39"/>
      <c r="H73" s="39"/>
      <c r="I73" s="28"/>
      <c r="J73" s="85"/>
      <c r="K73" s="28"/>
      <c r="L73" s="39"/>
      <c r="M73" s="39"/>
      <c r="N73" s="39"/>
      <c r="O73" s="39"/>
      <c r="P73" s="76"/>
      <c r="Q73" s="76"/>
    </row>
    <row r="74" spans="1:17" x14ac:dyDescent="0.25">
      <c r="A74" s="65" t="s">
        <v>69</v>
      </c>
      <c r="B74" s="28" t="s">
        <v>71</v>
      </c>
      <c r="C74" s="72">
        <v>44455</v>
      </c>
      <c r="D74" s="28">
        <v>1</v>
      </c>
      <c r="E74" s="73">
        <v>18.13</v>
      </c>
      <c r="F74" s="73">
        <v>20.03</v>
      </c>
      <c r="G74" s="39">
        <v>7650</v>
      </c>
      <c r="H74" s="39">
        <v>34700000</v>
      </c>
      <c r="I74" s="28">
        <v>0.67</v>
      </c>
      <c r="J74" s="85" t="s">
        <v>193</v>
      </c>
      <c r="K74" s="28"/>
      <c r="L74" s="39"/>
      <c r="M74" s="39"/>
      <c r="N74" s="39"/>
      <c r="O74" s="39"/>
      <c r="P74" s="76"/>
      <c r="Q74" s="76"/>
    </row>
    <row r="75" spans="1:17" x14ac:dyDescent="0.25">
      <c r="A75" s="65" t="s">
        <v>246</v>
      </c>
      <c r="B75" s="28" t="s">
        <v>71</v>
      </c>
      <c r="C75" s="72">
        <v>44456</v>
      </c>
      <c r="D75" s="28">
        <v>2</v>
      </c>
      <c r="E75" s="73">
        <v>19.260000000000002</v>
      </c>
      <c r="F75" s="73">
        <v>20.03</v>
      </c>
      <c r="G75" s="39">
        <v>8350</v>
      </c>
      <c r="H75" s="39">
        <v>64000000</v>
      </c>
      <c r="I75" s="28">
        <v>0.67</v>
      </c>
      <c r="J75" s="85" t="s">
        <v>193</v>
      </c>
      <c r="K75" s="28"/>
      <c r="L75" s="39"/>
      <c r="M75" s="39"/>
      <c r="N75" s="39"/>
      <c r="O75" s="39"/>
      <c r="P75" s="76"/>
      <c r="Q75" s="76"/>
    </row>
    <row r="76" spans="1:17" x14ac:dyDescent="0.25">
      <c r="A76" s="65" t="s">
        <v>252</v>
      </c>
      <c r="B76" s="28" t="s">
        <v>71</v>
      </c>
      <c r="C76" s="72">
        <v>44459</v>
      </c>
      <c r="D76" s="28">
        <v>3</v>
      </c>
      <c r="E76" s="73">
        <v>18.38</v>
      </c>
      <c r="F76" s="73">
        <v>20.03</v>
      </c>
      <c r="G76" s="39">
        <v>9830</v>
      </c>
      <c r="H76" s="39">
        <v>50000000</v>
      </c>
      <c r="I76" s="28">
        <v>0.67</v>
      </c>
      <c r="J76" s="85" t="s">
        <v>193</v>
      </c>
      <c r="K76" s="28"/>
      <c r="L76" s="39"/>
      <c r="M76" s="39"/>
      <c r="N76" s="39"/>
      <c r="O76" s="39"/>
      <c r="P76" s="76"/>
      <c r="Q76" s="76"/>
    </row>
    <row r="77" spans="1:17" x14ac:dyDescent="0.25">
      <c r="A77" s="65" t="s">
        <v>253</v>
      </c>
      <c r="B77" s="28" t="s">
        <v>71</v>
      </c>
      <c r="C77" s="72">
        <v>44461</v>
      </c>
      <c r="D77" s="28">
        <v>4</v>
      </c>
      <c r="E77" s="73">
        <v>20.11</v>
      </c>
      <c r="F77" s="73">
        <v>20.03</v>
      </c>
      <c r="G77" s="39">
        <v>12400</v>
      </c>
      <c r="H77" s="39">
        <v>141000000</v>
      </c>
      <c r="I77" s="28">
        <v>0.67</v>
      </c>
      <c r="J77" s="85" t="s">
        <v>193</v>
      </c>
      <c r="K77" s="28"/>
      <c r="L77" s="39"/>
      <c r="M77" s="39"/>
      <c r="N77" s="39"/>
      <c r="O77" s="39"/>
      <c r="P77" s="76"/>
      <c r="Q77" s="76"/>
    </row>
    <row r="78" spans="1:17" x14ac:dyDescent="0.25">
      <c r="A78" s="65" t="s">
        <v>272</v>
      </c>
      <c r="B78" s="28" t="s">
        <v>71</v>
      </c>
      <c r="C78" s="72">
        <v>44462</v>
      </c>
      <c r="D78" s="28">
        <v>5</v>
      </c>
      <c r="E78" s="73">
        <v>19.16</v>
      </c>
      <c r="F78" s="73">
        <v>20.03</v>
      </c>
      <c r="G78" s="39">
        <v>6820</v>
      </c>
      <c r="H78" s="39">
        <v>89000000</v>
      </c>
      <c r="I78" s="28">
        <v>0.67</v>
      </c>
      <c r="J78" s="85" t="s">
        <v>193</v>
      </c>
      <c r="K78" s="28"/>
      <c r="L78" s="39"/>
      <c r="M78" s="39"/>
      <c r="N78" s="39"/>
      <c r="O78" s="39"/>
      <c r="P78" s="76"/>
      <c r="Q78" s="76"/>
    </row>
    <row r="79" spans="1:17" x14ac:dyDescent="0.25">
      <c r="A79" s="65"/>
      <c r="B79" s="28"/>
      <c r="C79" s="72"/>
      <c r="D79" s="28"/>
      <c r="E79" s="73"/>
      <c r="F79" s="73"/>
      <c r="G79" s="39"/>
      <c r="H79" s="39"/>
      <c r="I79" s="28"/>
      <c r="J79" s="85"/>
      <c r="K79" s="28"/>
      <c r="L79" s="39"/>
      <c r="M79" s="39"/>
      <c r="N79" s="39"/>
      <c r="O79" s="39"/>
      <c r="P79" s="76"/>
      <c r="Q79" s="76"/>
    </row>
    <row r="80" spans="1:17" x14ac:dyDescent="0.25">
      <c r="A80" s="65">
        <v>229</v>
      </c>
      <c r="B80" s="28" t="s">
        <v>62</v>
      </c>
      <c r="C80" s="72">
        <v>44455</v>
      </c>
      <c r="D80" s="28">
        <v>1</v>
      </c>
      <c r="E80" s="73">
        <v>8.77</v>
      </c>
      <c r="F80" s="73">
        <v>9.99</v>
      </c>
      <c r="G80" s="39">
        <v>845</v>
      </c>
      <c r="H80" s="39">
        <v>1680000</v>
      </c>
      <c r="I80" s="28">
        <v>1.25</v>
      </c>
      <c r="J80" s="85" t="s">
        <v>193</v>
      </c>
      <c r="K80" s="28"/>
      <c r="L80" s="39"/>
      <c r="M80" s="39"/>
      <c r="N80" s="39"/>
      <c r="O80" s="39"/>
      <c r="P80" s="76"/>
      <c r="Q80" s="76"/>
    </row>
    <row r="81" spans="1:17" x14ac:dyDescent="0.25">
      <c r="A81" s="65">
        <v>229.1</v>
      </c>
      <c r="B81" s="28" t="s">
        <v>62</v>
      </c>
      <c r="C81" s="72">
        <v>44456</v>
      </c>
      <c r="D81" s="28">
        <v>2</v>
      </c>
      <c r="E81" s="73">
        <v>9.4700000000000006</v>
      </c>
      <c r="F81" s="73">
        <v>9.99</v>
      </c>
      <c r="G81" s="39">
        <v>10700</v>
      </c>
      <c r="H81" s="39">
        <v>39100000</v>
      </c>
      <c r="I81" s="28">
        <v>1.25</v>
      </c>
      <c r="J81" s="85" t="s">
        <v>193</v>
      </c>
      <c r="K81" s="28"/>
      <c r="L81" s="39"/>
      <c r="M81" s="39"/>
      <c r="N81" s="39"/>
      <c r="O81" s="39"/>
      <c r="P81" s="76"/>
      <c r="Q81" s="76"/>
    </row>
    <row r="82" spans="1:17" x14ac:dyDescent="0.25">
      <c r="A82" s="65" t="s">
        <v>260</v>
      </c>
      <c r="B82" s="28" t="s">
        <v>62</v>
      </c>
      <c r="C82" s="72">
        <v>44459</v>
      </c>
      <c r="D82" s="28">
        <v>3</v>
      </c>
      <c r="E82" s="73">
        <v>9.65</v>
      </c>
      <c r="F82" s="73">
        <v>9.99</v>
      </c>
      <c r="G82" s="39">
        <v>15600</v>
      </c>
      <c r="H82" s="39">
        <v>12600000</v>
      </c>
      <c r="I82" s="28">
        <v>1</v>
      </c>
      <c r="J82" s="85" t="s">
        <v>193</v>
      </c>
      <c r="K82" s="28"/>
      <c r="L82" s="39"/>
      <c r="M82" s="39"/>
      <c r="N82" s="39"/>
      <c r="O82" s="39"/>
      <c r="P82" s="76"/>
      <c r="Q82" s="76"/>
    </row>
    <row r="83" spans="1:17" x14ac:dyDescent="0.25">
      <c r="A83" s="65">
        <v>229.3</v>
      </c>
      <c r="B83" s="28" t="s">
        <v>62</v>
      </c>
      <c r="C83" s="72">
        <v>44461</v>
      </c>
      <c r="D83" s="28">
        <v>4</v>
      </c>
      <c r="E83" s="73">
        <v>10.37</v>
      </c>
      <c r="F83" s="73">
        <v>9.99</v>
      </c>
      <c r="G83" s="39">
        <v>8890</v>
      </c>
      <c r="H83" s="39">
        <v>11800000</v>
      </c>
      <c r="I83" s="28">
        <v>1</v>
      </c>
      <c r="J83" s="85" t="s">
        <v>193</v>
      </c>
      <c r="K83" s="28"/>
      <c r="L83" s="39"/>
      <c r="M83" s="39"/>
      <c r="N83" s="39"/>
      <c r="O83" s="39"/>
      <c r="P83" s="76"/>
      <c r="Q83" s="76"/>
    </row>
    <row r="84" spans="1:17" x14ac:dyDescent="0.25">
      <c r="A84" s="65">
        <v>229.4</v>
      </c>
      <c r="B84" s="28" t="s">
        <v>62</v>
      </c>
      <c r="C84" s="72">
        <v>44462</v>
      </c>
      <c r="D84" s="28">
        <v>5</v>
      </c>
      <c r="E84" s="73">
        <v>10.42</v>
      </c>
      <c r="F84" s="73">
        <v>9.99</v>
      </c>
      <c r="G84" s="39">
        <v>8050</v>
      </c>
      <c r="H84" s="39">
        <v>11000000</v>
      </c>
      <c r="I84" s="28">
        <v>1</v>
      </c>
      <c r="J84" s="85" t="s">
        <v>193</v>
      </c>
      <c r="K84" s="28"/>
      <c r="L84" s="39"/>
      <c r="M84" s="39"/>
      <c r="N84" s="39"/>
      <c r="O84" s="39"/>
      <c r="P84" s="76"/>
      <c r="Q84" s="76"/>
    </row>
    <row r="85" spans="1:17" x14ac:dyDescent="0.25">
      <c r="A85" s="65"/>
      <c r="B85" s="28"/>
      <c r="C85" s="72"/>
      <c r="D85" s="28"/>
      <c r="E85" s="73"/>
      <c r="F85" s="73"/>
      <c r="G85" s="39"/>
      <c r="H85" s="39"/>
      <c r="I85" s="28"/>
      <c r="J85" s="85"/>
      <c r="K85" s="28"/>
      <c r="L85" s="39"/>
      <c r="M85" s="39"/>
      <c r="N85" s="39"/>
      <c r="O85" s="39"/>
      <c r="P85" s="76"/>
      <c r="Q85" s="76"/>
    </row>
    <row r="86" spans="1:17" x14ac:dyDescent="0.25">
      <c r="A86" s="65">
        <v>211</v>
      </c>
      <c r="B86" s="28" t="s">
        <v>74</v>
      </c>
      <c r="C86" s="72">
        <v>44456</v>
      </c>
      <c r="D86" s="28">
        <v>1</v>
      </c>
      <c r="E86" s="73">
        <v>14.31</v>
      </c>
      <c r="F86" s="73">
        <v>16.649999999999999</v>
      </c>
      <c r="G86" s="39">
        <v>8200</v>
      </c>
      <c r="H86" s="39">
        <v>6310000</v>
      </c>
      <c r="I86" s="28">
        <v>0.67</v>
      </c>
      <c r="J86" s="85" t="s">
        <v>193</v>
      </c>
      <c r="K86" s="28"/>
      <c r="L86" s="39"/>
      <c r="M86" s="39"/>
      <c r="N86" s="39"/>
      <c r="O86" s="39"/>
      <c r="P86" s="76"/>
      <c r="Q86" s="76"/>
    </row>
    <row r="87" spans="1:17" x14ac:dyDescent="0.25">
      <c r="A87" s="65">
        <v>211.1</v>
      </c>
      <c r="B87" s="28" t="s">
        <v>74</v>
      </c>
      <c r="C87" s="72">
        <v>44459</v>
      </c>
      <c r="D87" s="28">
        <v>2</v>
      </c>
      <c r="E87" s="73">
        <v>15.18</v>
      </c>
      <c r="F87" s="73">
        <v>16.649999999999999</v>
      </c>
      <c r="G87" s="39">
        <v>6660</v>
      </c>
      <c r="H87" s="39">
        <v>7690000</v>
      </c>
      <c r="I87" s="28">
        <v>0.67</v>
      </c>
      <c r="J87" s="85" t="s">
        <v>193</v>
      </c>
      <c r="K87" s="28"/>
      <c r="L87" s="39"/>
      <c r="M87" s="39"/>
      <c r="N87" s="39"/>
      <c r="O87" s="39"/>
      <c r="P87" s="76"/>
      <c r="Q87" s="76"/>
    </row>
    <row r="88" spans="1:17" x14ac:dyDescent="0.25">
      <c r="A88" s="65">
        <v>211.2</v>
      </c>
      <c r="B88" s="28" t="s">
        <v>74</v>
      </c>
      <c r="C88" s="72">
        <v>44461</v>
      </c>
      <c r="D88" s="28">
        <v>3</v>
      </c>
      <c r="E88" s="73">
        <v>16.03</v>
      </c>
      <c r="F88" s="73">
        <v>16.649999999999999</v>
      </c>
      <c r="G88" s="39">
        <v>11100</v>
      </c>
      <c r="H88" s="39">
        <v>18900000</v>
      </c>
      <c r="I88" s="28">
        <v>0.67</v>
      </c>
      <c r="J88" s="85" t="s">
        <v>193</v>
      </c>
      <c r="K88" s="28"/>
      <c r="L88" s="39"/>
      <c r="M88" s="39"/>
      <c r="N88" s="39"/>
      <c r="O88" s="39"/>
      <c r="P88" s="76"/>
      <c r="Q88" s="76"/>
    </row>
    <row r="89" spans="1:17" x14ac:dyDescent="0.25">
      <c r="A89" s="65">
        <v>211.3</v>
      </c>
      <c r="B89" s="28" t="s">
        <v>74</v>
      </c>
      <c r="C89" s="72">
        <v>44466</v>
      </c>
      <c r="D89" s="28">
        <v>4</v>
      </c>
      <c r="E89" s="73">
        <v>16.57</v>
      </c>
      <c r="F89" s="73">
        <v>16.649999999999999</v>
      </c>
      <c r="G89" s="39">
        <v>6240</v>
      </c>
      <c r="H89" s="39">
        <v>13800000</v>
      </c>
      <c r="I89" s="28">
        <v>0.67</v>
      </c>
      <c r="J89" s="85" t="s">
        <v>193</v>
      </c>
      <c r="K89" s="28"/>
      <c r="L89" s="39"/>
      <c r="M89" s="39"/>
      <c r="N89" s="39"/>
      <c r="O89" s="39"/>
      <c r="P89" s="76"/>
      <c r="Q89" s="76"/>
    </row>
    <row r="90" spans="1:17" x14ac:dyDescent="0.25">
      <c r="A90" s="65">
        <v>211.4</v>
      </c>
      <c r="B90" s="28" t="s">
        <v>74</v>
      </c>
      <c r="C90" s="72">
        <v>44468</v>
      </c>
      <c r="D90" s="28">
        <v>5</v>
      </c>
      <c r="E90" s="73">
        <v>14.17</v>
      </c>
      <c r="F90" s="73">
        <v>16.649999999999999</v>
      </c>
      <c r="G90" s="39">
        <v>9210</v>
      </c>
      <c r="H90" s="39">
        <v>6630000</v>
      </c>
      <c r="I90" s="28">
        <v>0.67</v>
      </c>
      <c r="J90" s="85" t="s">
        <v>193</v>
      </c>
      <c r="K90" s="28"/>
      <c r="L90" s="39"/>
      <c r="M90" s="39"/>
      <c r="N90" s="39"/>
      <c r="O90" s="39"/>
      <c r="P90" s="76"/>
      <c r="Q90" s="76"/>
    </row>
    <row r="91" spans="1:17" x14ac:dyDescent="0.25">
      <c r="A91" s="65"/>
      <c r="B91" s="28"/>
      <c r="C91" s="72"/>
      <c r="D91" s="28"/>
      <c r="E91" s="73"/>
      <c r="F91" s="73"/>
      <c r="G91" s="39"/>
      <c r="H91" s="39"/>
      <c r="I91" s="28"/>
      <c r="J91" s="85"/>
      <c r="K91" s="28"/>
      <c r="L91" s="39"/>
      <c r="M91" s="39"/>
      <c r="N91" s="39"/>
      <c r="O91" s="39"/>
      <c r="P91" s="76"/>
      <c r="Q91" s="76"/>
    </row>
    <row r="92" spans="1:17" x14ac:dyDescent="0.25">
      <c r="A92" s="65" t="s">
        <v>55</v>
      </c>
      <c r="B92" s="28" t="s">
        <v>57</v>
      </c>
      <c r="C92" s="72">
        <v>44459</v>
      </c>
      <c r="D92" s="28">
        <v>1</v>
      </c>
      <c r="E92" s="73">
        <v>18.989999999999998</v>
      </c>
      <c r="F92" s="73">
        <v>19.89</v>
      </c>
      <c r="G92" s="39">
        <v>7980</v>
      </c>
      <c r="H92" s="39">
        <v>54000000</v>
      </c>
      <c r="I92" s="28">
        <v>0.67</v>
      </c>
      <c r="J92" s="85" t="s">
        <v>193</v>
      </c>
      <c r="K92" s="28"/>
      <c r="L92" s="39"/>
      <c r="M92" s="39"/>
      <c r="N92" s="39"/>
      <c r="O92" s="39"/>
      <c r="P92" s="76"/>
      <c r="Q92" s="76"/>
    </row>
    <row r="93" spans="1:17" x14ac:dyDescent="0.25">
      <c r="A93" s="65" t="s">
        <v>254</v>
      </c>
      <c r="B93" s="28" t="s">
        <v>57</v>
      </c>
      <c r="C93" s="72">
        <v>44461</v>
      </c>
      <c r="D93" s="28">
        <v>2</v>
      </c>
      <c r="E93" s="73">
        <v>20.21</v>
      </c>
      <c r="F93" s="73">
        <v>19.89</v>
      </c>
      <c r="G93" s="39">
        <v>10900</v>
      </c>
      <c r="H93" s="39">
        <v>130000000</v>
      </c>
      <c r="I93" s="28">
        <v>0.67</v>
      </c>
      <c r="J93" s="85" t="s">
        <v>193</v>
      </c>
      <c r="K93" s="28"/>
      <c r="L93" s="39"/>
      <c r="M93" s="39"/>
      <c r="N93" s="39"/>
      <c r="O93" s="39"/>
      <c r="P93" s="76"/>
      <c r="Q93" s="76"/>
    </row>
    <row r="94" spans="1:17" x14ac:dyDescent="0.25">
      <c r="A94" s="65" t="s">
        <v>271</v>
      </c>
      <c r="B94" s="28" t="s">
        <v>57</v>
      </c>
      <c r="C94" s="72">
        <v>44466</v>
      </c>
      <c r="D94" s="28">
        <v>3</v>
      </c>
      <c r="E94" s="73">
        <v>17.93</v>
      </c>
      <c r="F94" s="73">
        <v>19.89</v>
      </c>
      <c r="G94" s="39">
        <v>6210</v>
      </c>
      <c r="H94" s="39">
        <v>25700000</v>
      </c>
      <c r="I94" s="28">
        <v>0.67</v>
      </c>
      <c r="J94" s="85" t="s">
        <v>193</v>
      </c>
      <c r="K94" s="28"/>
      <c r="L94" s="39"/>
      <c r="M94" s="39"/>
      <c r="N94" s="39"/>
      <c r="O94" s="39"/>
      <c r="P94" s="76"/>
      <c r="Q94" s="76"/>
    </row>
    <row r="95" spans="1:17" x14ac:dyDescent="0.25">
      <c r="A95" s="65" t="s">
        <v>299</v>
      </c>
      <c r="B95" s="28" t="s">
        <v>57</v>
      </c>
      <c r="C95" s="72">
        <v>44468</v>
      </c>
      <c r="D95" s="28">
        <v>4</v>
      </c>
      <c r="E95" s="73">
        <v>20.27</v>
      </c>
      <c r="F95" s="73">
        <v>19.89</v>
      </c>
      <c r="G95" s="39">
        <v>32500</v>
      </c>
      <c r="H95" s="39">
        <v>399000000</v>
      </c>
      <c r="I95" s="28">
        <v>0.67</v>
      </c>
      <c r="J95" s="85" t="s">
        <v>193</v>
      </c>
      <c r="K95" s="28"/>
      <c r="L95" s="39"/>
      <c r="M95" s="39"/>
      <c r="N95" s="39"/>
      <c r="O95" s="39"/>
      <c r="P95" s="76"/>
      <c r="Q95" s="76"/>
    </row>
    <row r="96" spans="1:17" x14ac:dyDescent="0.25">
      <c r="A96" s="65" t="s">
        <v>475</v>
      </c>
      <c r="B96" s="28" t="s">
        <v>57</v>
      </c>
      <c r="C96" s="72">
        <v>44469</v>
      </c>
      <c r="D96" s="28">
        <v>5</v>
      </c>
      <c r="E96" s="73">
        <v>16.16</v>
      </c>
      <c r="F96" s="73">
        <v>19.89</v>
      </c>
      <c r="G96" s="39">
        <v>7080</v>
      </c>
      <c r="H96" s="39">
        <v>12800000</v>
      </c>
      <c r="I96" s="28">
        <v>0.67</v>
      </c>
      <c r="J96" s="85" t="s">
        <v>193</v>
      </c>
      <c r="K96" s="28"/>
      <c r="L96" s="39"/>
      <c r="M96" s="39"/>
      <c r="N96" s="39"/>
      <c r="O96" s="39"/>
      <c r="P96" s="76"/>
      <c r="Q96" s="76"/>
    </row>
    <row r="97" spans="1:17" x14ac:dyDescent="0.25">
      <c r="A97" s="65"/>
      <c r="B97" s="28"/>
      <c r="C97" s="72"/>
      <c r="D97" s="28"/>
      <c r="E97" s="73"/>
      <c r="F97" s="73"/>
      <c r="G97" s="39"/>
      <c r="H97" s="39"/>
      <c r="I97" s="28"/>
      <c r="J97" s="85"/>
      <c r="K97" s="28"/>
      <c r="L97" s="39"/>
      <c r="M97" s="39"/>
      <c r="N97" s="39"/>
      <c r="O97" s="39"/>
      <c r="P97" s="76"/>
      <c r="Q97" s="76"/>
    </row>
    <row r="98" spans="1:17" x14ac:dyDescent="0.25">
      <c r="A98" s="65">
        <v>230</v>
      </c>
      <c r="B98" s="28" t="s">
        <v>75</v>
      </c>
      <c r="C98" s="72">
        <v>44461</v>
      </c>
      <c r="D98" s="28">
        <v>1</v>
      </c>
      <c r="E98" s="73">
        <v>8.68</v>
      </c>
      <c r="F98" s="73">
        <v>8.07</v>
      </c>
      <c r="G98" s="39">
        <v>118</v>
      </c>
      <c r="H98" s="39">
        <v>19800000</v>
      </c>
      <c r="I98" s="28">
        <v>2</v>
      </c>
      <c r="J98" s="85" t="s">
        <v>193</v>
      </c>
      <c r="K98" s="28"/>
      <c r="L98" s="39"/>
      <c r="M98" s="39"/>
      <c r="N98" s="39"/>
      <c r="O98" s="39"/>
      <c r="P98" s="76"/>
      <c r="Q98" s="76"/>
    </row>
    <row r="99" spans="1:17" x14ac:dyDescent="0.25">
      <c r="A99" s="65">
        <v>230.1</v>
      </c>
      <c r="B99" s="28" t="s">
        <v>75</v>
      </c>
      <c r="C99" s="72">
        <v>44466</v>
      </c>
      <c r="D99" s="28">
        <v>2</v>
      </c>
      <c r="E99" s="73">
        <v>9.77</v>
      </c>
      <c r="F99" s="73">
        <v>8.07</v>
      </c>
      <c r="G99" s="39">
        <v>5860</v>
      </c>
      <c r="H99" s="39">
        <v>27900000</v>
      </c>
      <c r="I99" s="28">
        <v>1.25</v>
      </c>
      <c r="J99" s="85" t="s">
        <v>195</v>
      </c>
      <c r="K99" s="28" t="s">
        <v>279</v>
      </c>
      <c r="L99" s="39">
        <v>0</v>
      </c>
      <c r="M99" s="39">
        <f>(9+3+1)/SUM(0.00001, 0.000005, 0.000001)</f>
        <v>812499.99999999988</v>
      </c>
      <c r="N99" s="39">
        <f>58/(0.000005)*(0.00505)/10</f>
        <v>5857.9999999999982</v>
      </c>
      <c r="O99" s="39">
        <f>(260+144+29)/SUM(0.00001, 0.000005, 0.000001)</f>
        <v>27062499.999999996</v>
      </c>
      <c r="P99" s="76" t="e">
        <f>LN(M99/L99)/(I99*LN(2))</f>
        <v>#DIV/0!</v>
      </c>
      <c r="Q99" s="76">
        <f>LN(O99/N99)/(I99*LN(2))</f>
        <v>9.7388794449372273</v>
      </c>
    </row>
    <row r="100" spans="1:17" x14ac:dyDescent="0.25">
      <c r="A100" s="65">
        <v>230.2</v>
      </c>
      <c r="B100" s="28" t="s">
        <v>75</v>
      </c>
      <c r="C100" s="72">
        <v>44468</v>
      </c>
      <c r="D100" s="28">
        <v>3</v>
      </c>
      <c r="E100" s="73">
        <v>8.23</v>
      </c>
      <c r="F100" s="73">
        <v>8.07</v>
      </c>
      <c r="G100" s="39">
        <v>10700</v>
      </c>
      <c r="H100" s="39">
        <v>3210000</v>
      </c>
      <c r="I100" s="28">
        <v>1</v>
      </c>
      <c r="J100" s="85" t="s">
        <v>195</v>
      </c>
      <c r="K100" s="80" t="s">
        <v>273</v>
      </c>
      <c r="L100" s="39">
        <f>(3)/(0.000005)*(0.00358)/10</f>
        <v>214.8</v>
      </c>
      <c r="M100" s="39">
        <f>(38+7+4)/SUM(0.00005, 0.00001, 0.000005, 0.000001)</f>
        <v>742424.24242424231</v>
      </c>
      <c r="N100" s="39">
        <f>(146)/(0.000005)*(0.00358)/10</f>
        <v>10453.599999999999</v>
      </c>
      <c r="O100" s="39">
        <f>(121+26+15+1)/SUM(0.00005, 0.00001, 0.000005, 0.000001)</f>
        <v>2469696.9696969697</v>
      </c>
      <c r="P100" s="76">
        <f>LN(M100/L100)/(I100*LN(2))</f>
        <v>11.755034110982878</v>
      </c>
      <c r="Q100" s="76">
        <f>LN(O100/N100)/(I100*LN(2))</f>
        <v>7.8841903629398873</v>
      </c>
    </row>
    <row r="101" spans="1:17" x14ac:dyDescent="0.25">
      <c r="A101" s="65">
        <v>230.3</v>
      </c>
      <c r="B101" s="28" t="s">
        <v>75</v>
      </c>
      <c r="C101" s="72">
        <v>44469</v>
      </c>
      <c r="D101" s="28">
        <v>4</v>
      </c>
      <c r="E101" s="73">
        <v>11.37</v>
      </c>
      <c r="F101" s="73">
        <v>8.07</v>
      </c>
      <c r="G101" s="39">
        <v>8720</v>
      </c>
      <c r="H101" s="39">
        <v>166000000</v>
      </c>
      <c r="I101" s="28">
        <v>1.25</v>
      </c>
      <c r="J101" s="85" t="s">
        <v>195</v>
      </c>
      <c r="K101" s="80" t="s">
        <v>292</v>
      </c>
      <c r="L101" s="39">
        <f>(36)/(0.00005)*(0.0312)/10</f>
        <v>2246.4</v>
      </c>
      <c r="M101" s="39">
        <f>151/(0.000001)</f>
        <v>151000000</v>
      </c>
      <c r="N101" s="39">
        <f>(104)/(0.00005)*(0.0312)/10</f>
        <v>6489.6</v>
      </c>
      <c r="O101" s="39">
        <f>15/(0.000001)</f>
        <v>15000000</v>
      </c>
      <c r="P101" s="76">
        <f>LN(M101/L101)/(I101*LN(2))</f>
        <v>12.829259346585642</v>
      </c>
      <c r="Q101" s="76">
        <f>LN(O101/N101)/(I101*LN(2))</f>
        <v>8.9396362582533726</v>
      </c>
    </row>
    <row r="102" spans="1:17" x14ac:dyDescent="0.25">
      <c r="A102" s="65">
        <v>230.4</v>
      </c>
      <c r="B102" s="28" t="s">
        <v>75</v>
      </c>
      <c r="C102" s="72">
        <v>44475</v>
      </c>
      <c r="D102" s="28">
        <v>5</v>
      </c>
      <c r="E102" s="73">
        <v>13.69</v>
      </c>
      <c r="F102" s="73">
        <v>8.07</v>
      </c>
      <c r="G102" s="39">
        <v>9210</v>
      </c>
      <c r="H102" s="39">
        <v>122000000</v>
      </c>
      <c r="I102" s="28">
        <v>1</v>
      </c>
      <c r="J102" s="85" t="s">
        <v>195</v>
      </c>
      <c r="K102" s="80" t="s">
        <v>314</v>
      </c>
      <c r="L102" s="39">
        <f>(123)/(0.000001)*(0.000602)/10</f>
        <v>7404.6</v>
      </c>
      <c r="M102" s="39">
        <f>(105)/(0.000001)</f>
        <v>105000000</v>
      </c>
      <c r="N102" s="39">
        <f>(30)/(0.000001)*(0.000602)/10</f>
        <v>1806</v>
      </c>
      <c r="O102" s="39">
        <f>(17)/(0.000001)</f>
        <v>17000000</v>
      </c>
      <c r="P102" s="76">
        <f>LN(M102/L102)/(I102*LN(2))</f>
        <v>13.791607999778716</v>
      </c>
      <c r="Q102" s="76">
        <f>LN(O102/N102)/(I102*LN(2))</f>
        <v>13.200449233093655</v>
      </c>
    </row>
    <row r="103" spans="1:17" x14ac:dyDescent="0.25">
      <c r="A103" s="65"/>
      <c r="B103" s="28"/>
      <c r="C103" s="72"/>
      <c r="D103" s="28"/>
      <c r="E103" s="73"/>
      <c r="F103" s="73"/>
      <c r="G103" s="39"/>
      <c r="H103" s="39"/>
      <c r="I103" s="28"/>
      <c r="J103" s="85"/>
      <c r="K103" s="28"/>
      <c r="L103" s="39"/>
      <c r="M103" s="39"/>
      <c r="N103" s="39"/>
      <c r="O103" s="39"/>
      <c r="P103" s="76"/>
      <c r="Q103" s="76"/>
    </row>
    <row r="104" spans="1:17" x14ac:dyDescent="0.25">
      <c r="A104" s="65">
        <v>208</v>
      </c>
      <c r="B104" s="28" t="s">
        <v>72</v>
      </c>
      <c r="C104" s="72">
        <v>44461</v>
      </c>
      <c r="D104" s="28">
        <v>1</v>
      </c>
      <c r="E104" s="73" t="s">
        <v>212</v>
      </c>
      <c r="F104" s="73">
        <v>4.5</v>
      </c>
      <c r="G104" s="39">
        <v>1660</v>
      </c>
      <c r="H104" s="39" t="s">
        <v>212</v>
      </c>
      <c r="I104" s="28">
        <v>3</v>
      </c>
      <c r="J104" s="85" t="s">
        <v>195</v>
      </c>
      <c r="K104" s="28"/>
      <c r="L104" s="39"/>
      <c r="M104" s="39"/>
      <c r="N104" s="39"/>
      <c r="O104" s="39"/>
      <c r="P104" s="76"/>
      <c r="Q104" s="76"/>
    </row>
    <row r="105" spans="1:17" x14ac:dyDescent="0.25">
      <c r="A105" s="65" t="s">
        <v>280</v>
      </c>
      <c r="B105" s="28" t="s">
        <v>72</v>
      </c>
      <c r="C105" s="72">
        <v>44466</v>
      </c>
      <c r="D105" s="28">
        <v>1</v>
      </c>
      <c r="E105" s="73">
        <v>7</v>
      </c>
      <c r="F105" s="73">
        <v>4.5</v>
      </c>
      <c r="G105" s="39">
        <v>1660</v>
      </c>
      <c r="H105" s="39">
        <v>3500000000</v>
      </c>
      <c r="I105" s="28">
        <v>3</v>
      </c>
      <c r="J105" s="85" t="s">
        <v>195</v>
      </c>
      <c r="K105" s="28" t="s">
        <v>281</v>
      </c>
      <c r="L105" s="39">
        <v>0</v>
      </c>
      <c r="M105" s="39">
        <f>(35+20)/SUM(0.00000001, 0.000000005)</f>
        <v>3666666666.666666</v>
      </c>
      <c r="N105" s="39">
        <v>1660</v>
      </c>
      <c r="O105" s="39">
        <f>1/(0.000000005)</f>
        <v>200000000</v>
      </c>
      <c r="P105" s="76" t="e">
        <f t="shared" ref="P105:P106" si="5">LN(M105/L105)/(I105*LN(2))</f>
        <v>#DIV/0!</v>
      </c>
      <c r="Q105" s="76">
        <f t="shared" ref="Q105" si="6">LN(O105/N105)/(I105*LN(2))</f>
        <v>5.6261524109548713</v>
      </c>
    </row>
    <row r="106" spans="1:17" x14ac:dyDescent="0.25">
      <c r="A106" s="65">
        <v>208.1</v>
      </c>
      <c r="B106" s="28" t="s">
        <v>72</v>
      </c>
      <c r="C106" s="72">
        <v>44468</v>
      </c>
      <c r="D106" s="28">
        <v>2</v>
      </c>
      <c r="E106" s="73" t="s">
        <v>212</v>
      </c>
      <c r="F106" s="73">
        <v>4.5</v>
      </c>
      <c r="G106" s="39">
        <v>7340</v>
      </c>
      <c r="H106" s="39" t="s">
        <v>212</v>
      </c>
      <c r="I106" s="28">
        <v>1.5</v>
      </c>
      <c r="J106" s="85" t="s">
        <v>195</v>
      </c>
      <c r="K106" s="28" t="s">
        <v>305</v>
      </c>
      <c r="L106" s="39">
        <f>(72)/(0.00000003)*(0.0000286)/10</f>
        <v>6864</v>
      </c>
      <c r="M106" s="39" t="s">
        <v>176</v>
      </c>
      <c r="N106" s="39">
        <f>5/(0.00000003)</f>
        <v>166666666.66666669</v>
      </c>
      <c r="O106" s="39" t="s">
        <v>176</v>
      </c>
      <c r="P106" s="76" t="e">
        <f t="shared" si="5"/>
        <v>#VALUE!</v>
      </c>
      <c r="Q106" s="78" t="e">
        <f>LN(O106/N106)/(I106*LN(2))</f>
        <v>#VALUE!</v>
      </c>
    </row>
    <row r="107" spans="1:17" x14ac:dyDescent="0.25">
      <c r="A107" s="65" t="s">
        <v>303</v>
      </c>
      <c r="B107" s="28" t="s">
        <v>72</v>
      </c>
      <c r="C107" s="72">
        <v>44469</v>
      </c>
      <c r="D107" s="28">
        <v>2</v>
      </c>
      <c r="E107" s="73">
        <v>12.72</v>
      </c>
      <c r="F107" s="73">
        <v>4.5</v>
      </c>
      <c r="G107" s="39">
        <v>5240</v>
      </c>
      <c r="H107" s="39">
        <v>2920000000</v>
      </c>
      <c r="I107" s="28">
        <v>1.5</v>
      </c>
      <c r="J107" s="85" t="s">
        <v>195</v>
      </c>
      <c r="K107" s="28" t="s">
        <v>304</v>
      </c>
      <c r="L107" s="39">
        <f>(44)/(0.00000003)*(0.0000286)/10</f>
        <v>4194.666666666667</v>
      </c>
      <c r="M107" s="39">
        <f>(143+32)/SUM(0.00000005, 0.00000001)</f>
        <v>2916666666.666667</v>
      </c>
      <c r="N107" s="39">
        <f>(11)/(0.00000003)*(0.0000286)/10</f>
        <v>1048.6666666666667</v>
      </c>
      <c r="O107" s="39">
        <v>0</v>
      </c>
      <c r="P107" s="76">
        <f t="shared" ref="P107" si="7">LN(M107/L107)/(I107*LN(2))</f>
        <v>12.938221943677028</v>
      </c>
      <c r="Q107" s="78" t="e">
        <f>LN(O107/N107)/(I107*LN(2))</f>
        <v>#NUM!</v>
      </c>
    </row>
    <row r="108" spans="1:17" x14ac:dyDescent="0.25">
      <c r="A108" s="65">
        <v>208.2</v>
      </c>
      <c r="B108" s="28" t="s">
        <v>72</v>
      </c>
      <c r="C108" s="72">
        <v>44475</v>
      </c>
      <c r="D108" s="28">
        <v>3</v>
      </c>
      <c r="E108" s="73">
        <v>19.75</v>
      </c>
      <c r="F108" s="73">
        <v>4.5</v>
      </c>
      <c r="G108" s="39">
        <v>11800</v>
      </c>
      <c r="H108" s="39">
        <v>339000000</v>
      </c>
      <c r="I108" s="28">
        <v>0.75</v>
      </c>
      <c r="J108" s="85" t="s">
        <v>195</v>
      </c>
      <c r="K108" s="28" t="s">
        <v>317</v>
      </c>
      <c r="L108" s="39">
        <f>(172)/(0.00000005)*(0.0000342)/10</f>
        <v>11764.8</v>
      </c>
      <c r="M108" s="39">
        <f>(339)/(0.000001)</f>
        <v>339000000</v>
      </c>
      <c r="N108" s="39">
        <v>0</v>
      </c>
      <c r="O108" s="39">
        <v>0</v>
      </c>
      <c r="P108" s="76">
        <f t="shared" ref="P108" si="8">LN(M108/L108)/(I108*LN(2))</f>
        <v>19.752694477013183</v>
      </c>
      <c r="Q108" s="78" t="e">
        <f>LN(O108/N108)/(I108*LN(2))</f>
        <v>#DIV/0!</v>
      </c>
    </row>
    <row r="109" spans="1:17" x14ac:dyDescent="0.25">
      <c r="A109" s="65">
        <v>208.3</v>
      </c>
      <c r="B109" s="28" t="s">
        <v>72</v>
      </c>
      <c r="C109" s="72">
        <v>44476</v>
      </c>
      <c r="D109" s="28">
        <v>4</v>
      </c>
      <c r="E109" s="73">
        <v>17.02</v>
      </c>
      <c r="F109" s="73">
        <v>4.5</v>
      </c>
      <c r="G109" s="39">
        <v>11400</v>
      </c>
      <c r="H109" s="39">
        <v>30800000</v>
      </c>
      <c r="I109" s="28">
        <v>0.67</v>
      </c>
      <c r="J109" s="85" t="s">
        <v>195</v>
      </c>
      <c r="K109" s="80" t="s">
        <v>324</v>
      </c>
      <c r="L109" s="39">
        <f>(96)/(0.0000003)*(0.000295)/10</f>
        <v>9440</v>
      </c>
      <c r="M109" s="39">
        <f>(100+53)/SUM(0.000001, 0.0000005)</f>
        <v>102000000</v>
      </c>
      <c r="N109" s="39">
        <f>(20)/(0.0000003)*(0.000295)/10</f>
        <v>1966.6666666666667</v>
      </c>
      <c r="O109" s="39">
        <f>(13+9)/SUM(0.000001, 0.0000005)</f>
        <v>14666666.666666666</v>
      </c>
      <c r="P109" s="76">
        <f t="shared" ref="P109" si="9">LN(M109/L109)/(I109*LN(2))</f>
        <v>19.999138458278303</v>
      </c>
      <c r="Q109" s="76">
        <f>LN(O109/N109)/(I109*LN(2))</f>
        <v>19.20074768481329</v>
      </c>
    </row>
    <row r="110" spans="1:17" x14ac:dyDescent="0.25">
      <c r="A110" s="65">
        <v>208.4</v>
      </c>
      <c r="B110" s="28" t="s">
        <v>72</v>
      </c>
      <c r="C110" s="72">
        <v>44480</v>
      </c>
      <c r="D110" s="28">
        <v>5</v>
      </c>
      <c r="E110" s="73">
        <v>20.54</v>
      </c>
      <c r="F110" s="73">
        <v>4.5</v>
      </c>
      <c r="G110" s="39">
        <v>29800</v>
      </c>
      <c r="H110" s="39">
        <v>415000000</v>
      </c>
      <c r="I110" s="28">
        <v>0.67</v>
      </c>
      <c r="J110" s="85" t="s">
        <v>195</v>
      </c>
      <c r="K110" s="80" t="s">
        <v>349</v>
      </c>
      <c r="L110" s="39">
        <f>(375)/(0.000005)*(0.00325)/10</f>
        <v>24375</v>
      </c>
      <c r="M110" s="39">
        <f>370/(0.000001)</f>
        <v>370000000</v>
      </c>
      <c r="N110" s="39">
        <f>(84)/(0.000005)*(0.00325)/10</f>
        <v>5460</v>
      </c>
      <c r="O110" s="39">
        <f>(45)/(0.000001)</f>
        <v>45000000</v>
      </c>
      <c r="P110" s="76">
        <f t="shared" ref="P110" si="10">LN(M110/L110)/(I110*LN(2))</f>
        <v>20.731097658848938</v>
      </c>
      <c r="Q110" s="76">
        <f>LN(O110/N110)/(I110*LN(2))</f>
        <v>19.416024522159155</v>
      </c>
    </row>
    <row r="111" spans="1:17" x14ac:dyDescent="0.25">
      <c r="A111" s="65"/>
      <c r="B111" s="28"/>
      <c r="C111" s="72"/>
      <c r="D111" s="28"/>
      <c r="E111" s="73"/>
      <c r="F111" s="73"/>
      <c r="G111" s="39"/>
      <c r="H111" s="39"/>
      <c r="I111" s="28"/>
      <c r="J111" s="85"/>
      <c r="K111" s="28"/>
      <c r="L111" s="39"/>
      <c r="M111" s="39"/>
      <c r="N111" s="39"/>
      <c r="O111" s="39"/>
      <c r="P111" s="76"/>
      <c r="Q111" s="76"/>
    </row>
    <row r="112" spans="1:17" x14ac:dyDescent="0.25">
      <c r="A112" s="65">
        <v>232</v>
      </c>
      <c r="B112" s="28" t="s">
        <v>73</v>
      </c>
      <c r="C112" s="72">
        <v>44461</v>
      </c>
      <c r="D112" s="28">
        <v>1</v>
      </c>
      <c r="E112" s="73">
        <v>3.88</v>
      </c>
      <c r="F112" s="73">
        <v>2.8</v>
      </c>
      <c r="G112" s="39">
        <v>1270</v>
      </c>
      <c r="H112" s="39">
        <v>455000000</v>
      </c>
      <c r="I112" s="28">
        <v>4.75</v>
      </c>
      <c r="J112" s="85" t="s">
        <v>195</v>
      </c>
      <c r="K112" s="28" t="s">
        <v>270</v>
      </c>
      <c r="L112" s="39">
        <v>0</v>
      </c>
      <c r="M112" s="39">
        <f>22/(0.000001)*(0.033)/10</f>
        <v>72600</v>
      </c>
      <c r="N112" s="39">
        <f>77/(0.0002)</f>
        <v>385000</v>
      </c>
      <c r="O112" s="39">
        <f>(433)/(0.000001)</f>
        <v>433000000</v>
      </c>
      <c r="P112" s="76" t="e">
        <f t="shared" ref="P112" si="11">LN(M112/L112)/(I112*LN(2))</f>
        <v>#DIV/0!</v>
      </c>
      <c r="Q112" s="76">
        <f t="shared" ref="Q112" si="12">LN(O112/N112)/(I112*LN(2))</f>
        <v>2.1337458660645363</v>
      </c>
    </row>
    <row r="113" spans="1:17" x14ac:dyDescent="0.25">
      <c r="A113" s="65">
        <v>232.1</v>
      </c>
      <c r="B113" s="28" t="s">
        <v>73</v>
      </c>
      <c r="C113" s="72">
        <v>44468</v>
      </c>
      <c r="D113" s="28">
        <v>2</v>
      </c>
      <c r="E113" s="73">
        <v>5.08</v>
      </c>
      <c r="F113" s="73">
        <v>2.8</v>
      </c>
      <c r="G113" s="39">
        <v>4180</v>
      </c>
      <c r="H113" s="39">
        <v>28000000</v>
      </c>
      <c r="I113" s="28">
        <v>2.5</v>
      </c>
      <c r="J113" s="85" t="s">
        <v>195</v>
      </c>
      <c r="K113" s="81" t="s">
        <v>273</v>
      </c>
      <c r="L113" s="39">
        <f>(6)/(0.0000005)*(0.00022)/10</f>
        <v>264</v>
      </c>
      <c r="M113" s="39">
        <f>(13+12)/SUM(0.000005, 0.000001)</f>
        <v>4166666.6666666665</v>
      </c>
      <c r="N113" s="39">
        <f>89/(0.0000005)*(0.00022)/10</f>
        <v>3916</v>
      </c>
      <c r="O113" s="39">
        <f>(116+27)/SUM(0.000005, 0.000001)</f>
        <v>23833333.333333332</v>
      </c>
      <c r="P113" s="76">
        <f t="shared" ref="P113" si="13">LN(M113/L113)/(I113*LN(2))</f>
        <v>5.5784272556077159</v>
      </c>
      <c r="Q113" s="76">
        <f t="shared" ref="Q113" si="14">LN(O113/N113)/(I113*LN(2))</f>
        <v>5.0285249423110843</v>
      </c>
    </row>
    <row r="114" spans="1:17" x14ac:dyDescent="0.25">
      <c r="A114" s="65">
        <v>232.2</v>
      </c>
      <c r="B114" s="28" t="s">
        <v>73</v>
      </c>
      <c r="C114" s="72">
        <v>44469</v>
      </c>
      <c r="D114" s="28">
        <v>3</v>
      </c>
      <c r="E114" s="73">
        <v>6.41</v>
      </c>
      <c r="F114" s="73">
        <v>2.8</v>
      </c>
      <c r="G114" s="39">
        <v>21100</v>
      </c>
      <c r="H114" s="39">
        <v>152000000</v>
      </c>
      <c r="I114" s="28">
        <v>2</v>
      </c>
      <c r="J114" s="85" t="s">
        <v>195</v>
      </c>
      <c r="K114" s="80" t="s">
        <v>292</v>
      </c>
      <c r="L114" s="39">
        <f>(60)/(0.000005)*(0.00357)/10</f>
        <v>4283.9999999999991</v>
      </c>
      <c r="M114" s="39">
        <f>65/(0.000001)</f>
        <v>65000000</v>
      </c>
      <c r="N114" s="39">
        <f>(236)/(0.000005)*(0.00357)/10</f>
        <v>16850.399999999998</v>
      </c>
      <c r="O114" s="39">
        <f>87/(0.000001)</f>
        <v>87000000</v>
      </c>
      <c r="P114" s="76">
        <f t="shared" ref="P114" si="15">LN(M114/L114)/(I114*LN(2))</f>
        <v>6.9445968088011867</v>
      </c>
      <c r="Q114" s="76">
        <f t="shared" ref="Q114" si="16">LN(O114/N114)/(I114*LN(2))</f>
        <v>6.1670084233346625</v>
      </c>
    </row>
    <row r="115" spans="1:17" x14ac:dyDescent="0.25">
      <c r="A115" s="65">
        <v>232.3</v>
      </c>
      <c r="B115" s="28" t="s">
        <v>73</v>
      </c>
      <c r="C115" s="72">
        <v>44475</v>
      </c>
      <c r="D115" s="28">
        <v>4</v>
      </c>
      <c r="E115" s="73" t="s">
        <v>212</v>
      </c>
      <c r="F115" s="73">
        <v>2.8</v>
      </c>
      <c r="G115" s="39">
        <v>5330</v>
      </c>
      <c r="H115" s="39" t="s">
        <v>212</v>
      </c>
      <c r="I115" s="28">
        <v>1.5</v>
      </c>
      <c r="J115" s="85" t="s">
        <v>195</v>
      </c>
      <c r="K115" s="81" t="s">
        <v>312</v>
      </c>
      <c r="L115" s="39"/>
      <c r="M115" s="39"/>
      <c r="N115" s="39"/>
      <c r="O115" s="39"/>
      <c r="P115" s="76"/>
      <c r="Q115" s="76"/>
    </row>
    <row r="116" spans="1:17" x14ac:dyDescent="0.25">
      <c r="A116" s="65" t="s">
        <v>326</v>
      </c>
      <c r="B116" s="28" t="s">
        <v>73</v>
      </c>
      <c r="C116" s="72">
        <v>44476</v>
      </c>
      <c r="D116" s="28">
        <v>4</v>
      </c>
      <c r="E116" s="73">
        <v>10.199999999999999</v>
      </c>
      <c r="F116" s="73">
        <v>2.8</v>
      </c>
      <c r="G116" s="39">
        <v>3550</v>
      </c>
      <c r="H116" s="39">
        <v>143000000</v>
      </c>
      <c r="I116" s="28">
        <v>1.5</v>
      </c>
      <c r="J116" s="85" t="s">
        <v>195</v>
      </c>
      <c r="K116" s="81" t="s">
        <v>323</v>
      </c>
      <c r="L116" s="39" t="s">
        <v>327</v>
      </c>
      <c r="M116" s="39"/>
      <c r="N116" s="39"/>
      <c r="O116" s="39"/>
      <c r="P116" s="76"/>
      <c r="Q116" s="76"/>
    </row>
    <row r="117" spans="1:17" x14ac:dyDescent="0.25">
      <c r="A117" s="65">
        <v>232.4</v>
      </c>
      <c r="B117" s="28" t="s">
        <v>73</v>
      </c>
      <c r="C117" s="72">
        <v>44480</v>
      </c>
      <c r="D117" s="28">
        <v>5</v>
      </c>
      <c r="E117" s="73" t="s">
        <v>212</v>
      </c>
      <c r="F117" s="73">
        <v>2.8</v>
      </c>
      <c r="G117" s="39" t="s">
        <v>212</v>
      </c>
      <c r="H117" s="39" t="s">
        <v>212</v>
      </c>
      <c r="I117" s="28">
        <v>1</v>
      </c>
      <c r="J117" s="85" t="s">
        <v>195</v>
      </c>
      <c r="K117" s="81"/>
      <c r="L117" s="39"/>
      <c r="M117" s="39"/>
      <c r="N117" s="39"/>
      <c r="O117" s="39"/>
      <c r="P117" s="76"/>
      <c r="Q117" s="76"/>
    </row>
    <row r="118" spans="1:17" x14ac:dyDescent="0.25">
      <c r="A118" s="65" t="s">
        <v>358</v>
      </c>
      <c r="B118" s="28" t="s">
        <v>73</v>
      </c>
      <c r="C118" s="72">
        <v>44482</v>
      </c>
      <c r="D118" s="28">
        <v>5</v>
      </c>
      <c r="E118" s="73">
        <v>15.74</v>
      </c>
      <c r="F118" s="73">
        <v>2.8</v>
      </c>
      <c r="G118" s="39">
        <v>111000</v>
      </c>
      <c r="H118" s="39">
        <v>6100000000</v>
      </c>
      <c r="I118" s="28">
        <v>1</v>
      </c>
      <c r="J118" s="85" t="s">
        <v>195</v>
      </c>
      <c r="K118" s="81" t="s">
        <v>354</v>
      </c>
      <c r="L118" s="39">
        <v>111000</v>
      </c>
      <c r="M118" s="39">
        <v>6100000000</v>
      </c>
      <c r="N118" s="39">
        <v>0</v>
      </c>
      <c r="O118" s="39">
        <v>0</v>
      </c>
      <c r="P118" s="76">
        <f t="shared" ref="P118" si="17">LN(M118/L118)/(I118*LN(2))</f>
        <v>15.745961945649594</v>
      </c>
      <c r="Q118" s="76" t="e">
        <f t="shared" ref="Q118" si="18">LN(O118/N118)/(I118*LN(2))</f>
        <v>#DIV/0!</v>
      </c>
    </row>
    <row r="119" spans="1:17" x14ac:dyDescent="0.25">
      <c r="A119" s="65"/>
      <c r="B119" s="28"/>
      <c r="C119" s="72"/>
      <c r="D119" s="28"/>
      <c r="E119" s="73"/>
      <c r="F119" s="73"/>
      <c r="G119" s="39"/>
      <c r="H119" s="39"/>
      <c r="I119" s="28"/>
      <c r="J119" s="85"/>
      <c r="K119" s="28"/>
      <c r="L119" s="39"/>
      <c r="M119" s="39"/>
      <c r="N119" s="39"/>
      <c r="O119" s="39"/>
      <c r="P119" s="76"/>
      <c r="Q119" s="76"/>
    </row>
    <row r="120" spans="1:17" x14ac:dyDescent="0.25">
      <c r="A120" s="65" t="s">
        <v>262</v>
      </c>
      <c r="B120" s="28" t="s">
        <v>29</v>
      </c>
      <c r="C120" s="72">
        <v>44466</v>
      </c>
      <c r="D120" s="28">
        <v>1</v>
      </c>
      <c r="E120" s="73">
        <v>15.04</v>
      </c>
      <c r="F120" s="73">
        <v>16.14</v>
      </c>
      <c r="G120" s="39">
        <v>407</v>
      </c>
      <c r="H120" s="39">
        <v>1020000</v>
      </c>
      <c r="I120" s="28">
        <v>0.75</v>
      </c>
      <c r="J120" s="85" t="s">
        <v>193</v>
      </c>
      <c r="K120" s="28"/>
      <c r="L120" s="39"/>
      <c r="M120" s="39"/>
      <c r="N120" s="39"/>
      <c r="O120" s="39"/>
      <c r="P120" s="76"/>
      <c r="Q120" s="76"/>
    </row>
    <row r="121" spans="1:17" x14ac:dyDescent="0.25">
      <c r="A121" s="65" t="s">
        <v>298</v>
      </c>
      <c r="B121" s="28" t="s">
        <v>29</v>
      </c>
      <c r="C121" s="72">
        <v>44468</v>
      </c>
      <c r="D121" s="28">
        <v>2</v>
      </c>
      <c r="E121" s="73">
        <v>13.93</v>
      </c>
      <c r="F121" s="73">
        <v>16.14</v>
      </c>
      <c r="G121" s="39">
        <v>5000</v>
      </c>
      <c r="H121" s="39">
        <v>3230000</v>
      </c>
      <c r="I121" s="28">
        <v>0.67</v>
      </c>
      <c r="J121" s="85" t="s">
        <v>193</v>
      </c>
      <c r="K121" s="28"/>
      <c r="L121" s="39"/>
      <c r="M121" s="39"/>
      <c r="N121" s="39"/>
      <c r="O121" s="39"/>
      <c r="P121" s="76"/>
      <c r="Q121" s="76"/>
    </row>
    <row r="122" spans="1:17" x14ac:dyDescent="0.25">
      <c r="A122" s="65" t="s">
        <v>300</v>
      </c>
      <c r="B122" s="28" t="s">
        <v>29</v>
      </c>
      <c r="C122" s="72">
        <v>44469</v>
      </c>
      <c r="D122" s="28">
        <v>3</v>
      </c>
      <c r="E122" s="73">
        <v>14.02</v>
      </c>
      <c r="F122" s="73">
        <v>16.14</v>
      </c>
      <c r="G122" s="39">
        <v>17500</v>
      </c>
      <c r="H122" s="39">
        <v>11800000</v>
      </c>
      <c r="I122" s="28">
        <v>0.67</v>
      </c>
      <c r="J122" s="85" t="s">
        <v>193</v>
      </c>
      <c r="K122" s="28"/>
      <c r="L122" s="39"/>
      <c r="M122" s="39"/>
      <c r="N122" s="39"/>
      <c r="O122" s="39"/>
      <c r="P122" s="76"/>
      <c r="Q122" s="76"/>
    </row>
    <row r="123" spans="1:17" x14ac:dyDescent="0.25">
      <c r="A123" s="65" t="s">
        <v>315</v>
      </c>
      <c r="B123" s="28" t="s">
        <v>29</v>
      </c>
      <c r="C123" s="72">
        <v>44475</v>
      </c>
      <c r="D123" s="28">
        <v>4</v>
      </c>
      <c r="E123" s="73">
        <v>15.15</v>
      </c>
      <c r="F123" s="73">
        <v>16.14</v>
      </c>
      <c r="G123" s="39">
        <v>5000</v>
      </c>
      <c r="H123" s="39">
        <v>5690000</v>
      </c>
      <c r="I123" s="28">
        <v>0.67</v>
      </c>
      <c r="J123" s="85" t="s">
        <v>193</v>
      </c>
      <c r="K123" s="28"/>
      <c r="L123" s="39"/>
      <c r="M123" s="39"/>
      <c r="N123" s="39"/>
      <c r="O123" s="39"/>
      <c r="P123" s="76"/>
      <c r="Q123" s="76"/>
    </row>
    <row r="124" spans="1:17" x14ac:dyDescent="0.25">
      <c r="A124" s="65" t="s">
        <v>308</v>
      </c>
      <c r="B124" s="28" t="s">
        <v>29</v>
      </c>
      <c r="C124" s="72">
        <v>44476</v>
      </c>
      <c r="D124" s="28">
        <v>5</v>
      </c>
      <c r="E124" s="73">
        <v>14.76</v>
      </c>
      <c r="F124" s="73">
        <v>16.14</v>
      </c>
      <c r="G124" s="39">
        <v>6330</v>
      </c>
      <c r="H124" s="39">
        <v>6000000</v>
      </c>
      <c r="I124" s="28">
        <v>0.67</v>
      </c>
      <c r="J124" s="85" t="s">
        <v>193</v>
      </c>
      <c r="K124" s="28"/>
      <c r="L124" s="39"/>
      <c r="M124" s="39"/>
      <c r="N124" s="39"/>
      <c r="O124" s="39"/>
      <c r="P124" s="76"/>
      <c r="Q124" s="76"/>
    </row>
    <row r="125" spans="1:17" x14ac:dyDescent="0.25">
      <c r="A125" s="65"/>
      <c r="B125" s="28"/>
      <c r="C125" s="72"/>
      <c r="D125" s="28"/>
      <c r="E125" s="73"/>
      <c r="F125" s="73"/>
      <c r="G125" s="39"/>
      <c r="H125" s="39"/>
      <c r="I125" s="28"/>
      <c r="J125" s="85"/>
      <c r="K125" s="28"/>
      <c r="L125" s="39"/>
      <c r="M125" s="39"/>
      <c r="N125" s="39"/>
      <c r="O125" s="39"/>
      <c r="P125" s="76"/>
      <c r="Q125" s="76"/>
    </row>
    <row r="126" spans="1:17" x14ac:dyDescent="0.25">
      <c r="A126" s="65" t="s">
        <v>264</v>
      </c>
      <c r="B126" s="28" t="s">
        <v>21</v>
      </c>
      <c r="C126" s="72">
        <v>44466</v>
      </c>
      <c r="D126" s="28">
        <v>1</v>
      </c>
      <c r="E126" s="73">
        <v>10.09</v>
      </c>
      <c r="F126" s="73">
        <v>8.74</v>
      </c>
      <c r="G126" s="39">
        <v>281</v>
      </c>
      <c r="H126" s="39">
        <v>10100000</v>
      </c>
      <c r="I126" s="28">
        <v>1.5</v>
      </c>
      <c r="J126" s="85" t="s">
        <v>193</v>
      </c>
      <c r="K126" s="28"/>
      <c r="L126" s="39"/>
      <c r="M126" s="39"/>
      <c r="N126" s="39"/>
      <c r="O126" s="39"/>
      <c r="P126" s="76"/>
      <c r="Q126" s="76"/>
    </row>
    <row r="127" spans="1:17" x14ac:dyDescent="0.25">
      <c r="A127" s="65" t="s">
        <v>282</v>
      </c>
      <c r="B127" s="28" t="s">
        <v>21</v>
      </c>
      <c r="C127" s="72">
        <v>44468</v>
      </c>
      <c r="D127" s="28">
        <v>2</v>
      </c>
      <c r="E127" s="73" t="s">
        <v>212</v>
      </c>
      <c r="F127" s="73">
        <v>8.74</v>
      </c>
      <c r="G127" s="39" t="s">
        <v>212</v>
      </c>
      <c r="H127" s="39" t="s">
        <v>212</v>
      </c>
      <c r="I127" s="28">
        <v>1</v>
      </c>
      <c r="J127" s="85" t="s">
        <v>193</v>
      </c>
      <c r="K127" s="28"/>
      <c r="L127" s="39"/>
      <c r="M127" s="39"/>
      <c r="N127" s="39"/>
      <c r="O127" s="39"/>
      <c r="P127" s="76"/>
      <c r="Q127" s="76"/>
    </row>
    <row r="128" spans="1:17" x14ac:dyDescent="0.25">
      <c r="A128" s="65" t="s">
        <v>301</v>
      </c>
      <c r="B128" s="28" t="s">
        <v>21</v>
      </c>
      <c r="C128" s="72">
        <v>44469</v>
      </c>
      <c r="D128" s="28">
        <v>2</v>
      </c>
      <c r="E128" s="73">
        <v>7.45</v>
      </c>
      <c r="F128" s="73">
        <v>8.74</v>
      </c>
      <c r="G128" s="39">
        <v>10400</v>
      </c>
      <c r="H128" s="39">
        <v>1820000</v>
      </c>
      <c r="I128" s="28">
        <v>1</v>
      </c>
      <c r="J128" s="85" t="s">
        <v>193</v>
      </c>
      <c r="K128" s="28"/>
      <c r="L128" s="39"/>
      <c r="M128" s="39"/>
      <c r="N128" s="39"/>
      <c r="O128" s="39"/>
      <c r="P128" s="76"/>
      <c r="Q128" s="76"/>
    </row>
    <row r="129" spans="1:17" x14ac:dyDescent="0.25">
      <c r="A129" s="65" t="s">
        <v>296</v>
      </c>
      <c r="B129" s="28" t="s">
        <v>21</v>
      </c>
      <c r="C129" s="72">
        <v>44475</v>
      </c>
      <c r="D129" s="28">
        <v>3</v>
      </c>
      <c r="E129" s="73">
        <v>7.57</v>
      </c>
      <c r="F129" s="73">
        <v>8.74</v>
      </c>
      <c r="G129" s="39">
        <v>7530</v>
      </c>
      <c r="H129" s="39">
        <v>385000</v>
      </c>
      <c r="I129" s="28">
        <v>0.75</v>
      </c>
      <c r="J129" s="85" t="s">
        <v>193</v>
      </c>
      <c r="K129" s="28"/>
      <c r="L129" s="39"/>
      <c r="M129" s="39"/>
      <c r="N129" s="39"/>
      <c r="O129" s="39"/>
      <c r="P129" s="76"/>
      <c r="Q129" s="76"/>
    </row>
    <row r="130" spans="1:17" x14ac:dyDescent="0.25">
      <c r="A130" s="65" t="s">
        <v>307</v>
      </c>
      <c r="B130" s="28" t="s">
        <v>21</v>
      </c>
      <c r="C130" s="72">
        <v>44476</v>
      </c>
      <c r="D130" s="28">
        <v>4</v>
      </c>
      <c r="E130" s="73">
        <v>7.87</v>
      </c>
      <c r="F130" s="73">
        <v>8.74</v>
      </c>
      <c r="G130" s="39">
        <v>16200</v>
      </c>
      <c r="H130" s="39">
        <v>14800000</v>
      </c>
      <c r="I130" s="28">
        <v>1.25</v>
      </c>
      <c r="J130" s="85" t="s">
        <v>195</v>
      </c>
      <c r="K130" s="81" t="s">
        <v>321</v>
      </c>
      <c r="L130" s="39">
        <v>0</v>
      </c>
      <c r="M130" s="39">
        <f>(33+1)/SUM(0.00001, 0.000005, 0.000001)</f>
        <v>2124999.9999999995</v>
      </c>
      <c r="N130" s="39">
        <f>(189)/(0.0003)*(0.257)/10</f>
        <v>16191</v>
      </c>
      <c r="O130" s="39">
        <f>(135+58+10)/SUM(0.00001, 0.000005, 0.000001)</f>
        <v>12687499.999999998</v>
      </c>
      <c r="P130" s="76" t="e">
        <f t="shared" ref="P130" si="19">LN(M130/L130)/(I130*LN(2))</f>
        <v>#DIV/0!</v>
      </c>
      <c r="Q130" s="76">
        <f t="shared" ref="Q130" si="20">LN(O130/N130)/(I130*LN(2))</f>
        <v>7.6912000110524446</v>
      </c>
    </row>
    <row r="131" spans="1:17" x14ac:dyDescent="0.25">
      <c r="A131" s="65" t="s">
        <v>328</v>
      </c>
      <c r="B131" s="28" t="s">
        <v>21</v>
      </c>
      <c r="C131" s="72">
        <v>44480</v>
      </c>
      <c r="D131" s="28">
        <v>5</v>
      </c>
      <c r="E131" s="73" t="s">
        <v>212</v>
      </c>
      <c r="F131" s="73">
        <v>8.74</v>
      </c>
      <c r="G131" s="39" t="s">
        <v>212</v>
      </c>
      <c r="H131" s="39">
        <v>116000000</v>
      </c>
      <c r="I131" s="28">
        <v>1.25</v>
      </c>
      <c r="J131" s="85" t="s">
        <v>195</v>
      </c>
      <c r="K131" s="80" t="s">
        <v>351</v>
      </c>
      <c r="L131" s="39"/>
      <c r="M131" s="39"/>
      <c r="N131" s="39"/>
      <c r="O131" s="39"/>
      <c r="P131" s="76"/>
      <c r="Q131" s="76"/>
    </row>
    <row r="132" spans="1:17" x14ac:dyDescent="0.25">
      <c r="A132" s="65" t="s">
        <v>361</v>
      </c>
      <c r="B132" s="28" t="s">
        <v>21</v>
      </c>
      <c r="C132" s="72">
        <v>44482</v>
      </c>
      <c r="D132" s="28">
        <v>5</v>
      </c>
      <c r="E132" s="73">
        <v>11.13</v>
      </c>
      <c r="F132" s="73">
        <v>8.74</v>
      </c>
      <c r="G132" s="39">
        <v>6330</v>
      </c>
      <c r="H132" s="39">
        <v>97500000</v>
      </c>
      <c r="I132" s="28">
        <v>1.25</v>
      </c>
      <c r="J132" s="85" t="s">
        <v>195</v>
      </c>
      <c r="K132" s="80" t="s">
        <v>357</v>
      </c>
      <c r="L132" s="39" t="s">
        <v>362</v>
      </c>
      <c r="M132" s="39"/>
      <c r="N132" s="39"/>
      <c r="O132" s="39"/>
      <c r="P132" s="76"/>
      <c r="Q132" s="76"/>
    </row>
    <row r="133" spans="1:17" x14ac:dyDescent="0.25">
      <c r="A133" s="65"/>
      <c r="B133" s="28"/>
      <c r="C133" s="72"/>
      <c r="D133" s="28"/>
      <c r="E133" s="73"/>
      <c r="F133" s="73"/>
      <c r="G133" s="39"/>
      <c r="H133" s="39"/>
      <c r="I133" s="28"/>
      <c r="J133" s="85"/>
      <c r="K133" s="28"/>
      <c r="L133" s="39"/>
      <c r="M133" s="39"/>
      <c r="N133" s="39"/>
      <c r="O133" s="39"/>
      <c r="P133" s="76"/>
      <c r="Q133" s="76"/>
    </row>
    <row r="134" spans="1:17" x14ac:dyDescent="0.25">
      <c r="A134" s="65" t="s">
        <v>30</v>
      </c>
      <c r="B134" s="28" t="s">
        <v>31</v>
      </c>
      <c r="C134" s="72">
        <v>44466</v>
      </c>
      <c r="D134" s="28">
        <v>1</v>
      </c>
      <c r="E134" s="73">
        <v>10.55</v>
      </c>
      <c r="F134" s="73">
        <v>6.93</v>
      </c>
      <c r="G134" s="39">
        <v>6110</v>
      </c>
      <c r="H134" s="39">
        <v>355000000</v>
      </c>
      <c r="I134" s="28">
        <v>1.5</v>
      </c>
      <c r="J134" s="85" t="s">
        <v>195</v>
      </c>
      <c r="K134" s="28" t="s">
        <v>278</v>
      </c>
      <c r="L134" s="39">
        <v>0</v>
      </c>
      <c r="M134" s="39">
        <f>297/(0.000001)</f>
        <v>297000000</v>
      </c>
      <c r="N134" s="39">
        <f>62/(0.00007)*(0.069)/10</f>
        <v>6111.4285714285725</v>
      </c>
      <c r="O134" s="39">
        <f>58/(0.000001)</f>
        <v>58000000</v>
      </c>
      <c r="P134" s="76" t="e">
        <f t="shared" ref="P134:P151" si="21">LN(M134/L134)/(I134*LN(2))</f>
        <v>#DIV/0!</v>
      </c>
      <c r="Q134" s="76">
        <f t="shared" ref="Q134:Q151" si="22">LN(O134/N134)/(I134*LN(2))</f>
        <v>8.8081704163046304</v>
      </c>
    </row>
    <row r="135" spans="1:17" x14ac:dyDescent="0.25">
      <c r="A135" s="65" t="s">
        <v>283</v>
      </c>
      <c r="B135" s="28" t="s">
        <v>31</v>
      </c>
      <c r="C135" s="72">
        <v>44468</v>
      </c>
      <c r="D135" s="28">
        <v>2</v>
      </c>
      <c r="E135" s="73" t="s">
        <v>212</v>
      </c>
      <c r="F135" s="73">
        <v>6.93</v>
      </c>
      <c r="G135" s="39">
        <v>10900</v>
      </c>
      <c r="H135" s="39" t="s">
        <v>212</v>
      </c>
      <c r="I135" s="28">
        <v>1</v>
      </c>
      <c r="J135" s="85" t="s">
        <v>195</v>
      </c>
      <c r="K135" s="28" t="s">
        <v>305</v>
      </c>
      <c r="L135" s="39">
        <f>172/(0.0000005)*(0.000282)/10</f>
        <v>9700.8000000000011</v>
      </c>
      <c r="M135" s="39" t="s">
        <v>176</v>
      </c>
      <c r="N135" s="39">
        <f>22/(0.0000005)*(0.000282)/10</f>
        <v>1240.8000000000002</v>
      </c>
      <c r="O135" s="39" t="s">
        <v>176</v>
      </c>
      <c r="P135" s="76" t="e">
        <f t="shared" si="21"/>
        <v>#VALUE!</v>
      </c>
      <c r="Q135" s="76" t="e">
        <f t="shared" si="22"/>
        <v>#VALUE!</v>
      </c>
    </row>
    <row r="136" spans="1:17" x14ac:dyDescent="0.25">
      <c r="A136" s="65" t="s">
        <v>476</v>
      </c>
      <c r="B136" s="28" t="s">
        <v>31</v>
      </c>
      <c r="C136" s="72">
        <v>44469</v>
      </c>
      <c r="D136" s="28">
        <v>2</v>
      </c>
      <c r="E136" s="73">
        <v>17.920000000000002</v>
      </c>
      <c r="F136" s="73">
        <v>6.93</v>
      </c>
      <c r="G136" s="39">
        <v>11300</v>
      </c>
      <c r="H136" s="39">
        <v>2800000000</v>
      </c>
      <c r="I136" s="28">
        <v>1</v>
      </c>
      <c r="J136" s="85" t="s">
        <v>195</v>
      </c>
      <c r="K136" s="28" t="s">
        <v>302</v>
      </c>
      <c r="L136" s="39">
        <f>(174)/(0.0000005)*(0.000282)/10</f>
        <v>9813.6000000000022</v>
      </c>
      <c r="M136" s="39">
        <f>(132+25)/SUM(0.00000005, 0.00000001)</f>
        <v>2616666666.666667</v>
      </c>
      <c r="N136" s="39">
        <f>(26)/(0.0000005)*(0.000282)/10</f>
        <v>1466.4</v>
      </c>
      <c r="O136" s="39">
        <f>(11+0)/SUM(0.00000005, 0.00000001)</f>
        <v>183333333.33333334</v>
      </c>
      <c r="P136" s="76">
        <f t="shared" si="21"/>
        <v>18.024516253909209</v>
      </c>
      <c r="Q136" s="76">
        <f t="shared" si="22"/>
        <v>16.931830901362517</v>
      </c>
    </row>
    <row r="137" spans="1:17" x14ac:dyDescent="0.25">
      <c r="A137" s="65" t="s">
        <v>294</v>
      </c>
      <c r="B137" s="28" t="s">
        <v>31</v>
      </c>
      <c r="C137" s="72">
        <v>44475</v>
      </c>
      <c r="D137" s="28">
        <v>3</v>
      </c>
      <c r="E137" s="73">
        <v>20.69</v>
      </c>
      <c r="F137" s="73">
        <v>6.93</v>
      </c>
      <c r="G137" s="39">
        <v>6980</v>
      </c>
      <c r="H137" s="39">
        <v>104000000</v>
      </c>
      <c r="I137" s="28">
        <v>0.67</v>
      </c>
      <c r="J137" s="85" t="s">
        <v>195</v>
      </c>
      <c r="K137" s="28" t="s">
        <v>316</v>
      </c>
      <c r="L137" s="39">
        <f>(97)/(0.00000005)*(0.000036)/10</f>
        <v>6984</v>
      </c>
      <c r="M137" s="39">
        <f>104/(0.000001)</f>
        <v>104000000</v>
      </c>
      <c r="N137" s="39">
        <v>0</v>
      </c>
      <c r="O137" s="39">
        <v>0</v>
      </c>
      <c r="P137" s="76">
        <f t="shared" si="21"/>
        <v>20.689806632590784</v>
      </c>
      <c r="Q137" s="76" t="e">
        <f t="shared" si="22"/>
        <v>#DIV/0!</v>
      </c>
    </row>
    <row r="138" spans="1:17" x14ac:dyDescent="0.25">
      <c r="A138" s="65" t="s">
        <v>477</v>
      </c>
      <c r="B138" s="28" t="s">
        <v>31</v>
      </c>
      <c r="C138" s="72">
        <v>44476</v>
      </c>
      <c r="D138" s="28">
        <v>4</v>
      </c>
      <c r="E138" s="73">
        <v>16.34</v>
      </c>
      <c r="F138" s="73">
        <v>6.93</v>
      </c>
      <c r="G138" s="39">
        <v>7700</v>
      </c>
      <c r="H138" s="39">
        <v>15200000</v>
      </c>
      <c r="I138" s="28">
        <v>0.67</v>
      </c>
      <c r="J138" s="85" t="s">
        <v>195</v>
      </c>
      <c r="K138" s="80" t="s">
        <v>324</v>
      </c>
      <c r="L138" s="39">
        <f>(69)/(0.000001)*(0.000962)/10</f>
        <v>6637.8</v>
      </c>
      <c r="M138" s="39">
        <f>(42+32)/SUM(0.000001, 0.0000005)</f>
        <v>49333333.333333328</v>
      </c>
      <c r="N138" s="39">
        <f>(11)/(0.000001)*(0.000962)/10</f>
        <v>1058.2</v>
      </c>
      <c r="O138" s="39">
        <f>(8+9)/SUM(0.0000005, 0.000001)</f>
        <v>11333333.333333334</v>
      </c>
      <c r="P138" s="76">
        <f t="shared" si="21"/>
        <v>19.193388042643463</v>
      </c>
      <c r="Q138" s="76">
        <f t="shared" si="22"/>
        <v>19.980107913930414</v>
      </c>
    </row>
    <row r="139" spans="1:17" x14ac:dyDescent="0.25">
      <c r="A139" s="65" t="s">
        <v>329</v>
      </c>
      <c r="B139" s="28" t="s">
        <v>31</v>
      </c>
      <c r="C139" s="72">
        <v>44480</v>
      </c>
      <c r="D139" s="28">
        <v>5</v>
      </c>
      <c r="E139" s="73">
        <v>19.579999999999998</v>
      </c>
      <c r="F139" s="73">
        <v>6.93</v>
      </c>
      <c r="G139" s="39">
        <v>26700</v>
      </c>
      <c r="H139" s="39">
        <v>238000000</v>
      </c>
      <c r="I139" s="28">
        <v>0.67</v>
      </c>
      <c r="J139" s="85" t="s">
        <v>195</v>
      </c>
      <c r="K139" s="28" t="s">
        <v>316</v>
      </c>
      <c r="L139" s="39">
        <f>(406)/(0.00001)*(0.00658)/10</f>
        <v>26714.799999999999</v>
      </c>
      <c r="M139" s="39">
        <f>(238)/(0.000001)</f>
        <v>238000000</v>
      </c>
      <c r="N139" s="39"/>
      <c r="O139" s="39"/>
      <c r="P139" s="76">
        <f t="shared" si="21"/>
        <v>19.58363393522248</v>
      </c>
      <c r="Q139" s="76" t="e">
        <f t="shared" si="22"/>
        <v>#DIV/0!</v>
      </c>
    </row>
    <row r="140" spans="1:17" x14ac:dyDescent="0.25">
      <c r="A140" s="65"/>
      <c r="B140" s="28"/>
      <c r="C140" s="72"/>
      <c r="D140" s="28"/>
      <c r="E140" s="73"/>
      <c r="F140" s="73"/>
      <c r="G140" s="39"/>
      <c r="H140" s="39"/>
      <c r="I140" s="28"/>
      <c r="J140" s="85"/>
      <c r="K140" s="28"/>
      <c r="L140" s="39"/>
      <c r="M140" s="39"/>
      <c r="N140" s="39"/>
      <c r="O140" s="39"/>
      <c r="P140" s="76" t="e">
        <f t="shared" si="21"/>
        <v>#DIV/0!</v>
      </c>
      <c r="Q140" s="76" t="e">
        <f t="shared" si="22"/>
        <v>#DIV/0!</v>
      </c>
    </row>
    <row r="141" spans="1:17" x14ac:dyDescent="0.25">
      <c r="A141" s="65" t="s">
        <v>263</v>
      </c>
      <c r="B141" s="28" t="s">
        <v>33</v>
      </c>
      <c r="C141" s="72">
        <v>44469</v>
      </c>
      <c r="D141" s="28">
        <v>1</v>
      </c>
      <c r="E141" s="73">
        <v>8.3800000000000008</v>
      </c>
      <c r="F141" s="73">
        <v>7.34</v>
      </c>
      <c r="G141" s="39">
        <v>305</v>
      </c>
      <c r="H141" s="39">
        <v>7880000</v>
      </c>
      <c r="I141" s="28">
        <v>1.75</v>
      </c>
      <c r="J141" s="85" t="s">
        <v>193</v>
      </c>
      <c r="K141" s="28"/>
      <c r="L141" s="39"/>
      <c r="M141" s="39"/>
      <c r="N141" s="39"/>
      <c r="O141" s="39"/>
      <c r="P141" s="76" t="e">
        <f t="shared" si="21"/>
        <v>#DIV/0!</v>
      </c>
      <c r="Q141" s="76" t="e">
        <f t="shared" si="22"/>
        <v>#DIV/0!</v>
      </c>
    </row>
    <row r="142" spans="1:17" x14ac:dyDescent="0.25">
      <c r="A142" s="65" t="s">
        <v>295</v>
      </c>
      <c r="B142" s="28" t="s">
        <v>33</v>
      </c>
      <c r="C142" s="72">
        <v>44475</v>
      </c>
      <c r="D142" s="28">
        <v>2</v>
      </c>
      <c r="E142" s="73">
        <v>8.3699999999999992</v>
      </c>
      <c r="F142" s="73">
        <v>7.34</v>
      </c>
      <c r="G142" s="39">
        <v>17100</v>
      </c>
      <c r="H142" s="39">
        <v>24100000</v>
      </c>
      <c r="I142" s="28">
        <v>1.25</v>
      </c>
      <c r="J142" s="85" t="s">
        <v>195</v>
      </c>
      <c r="K142" s="80" t="s">
        <v>311</v>
      </c>
      <c r="L142" s="39">
        <v>0</v>
      </c>
      <c r="M142" s="39">
        <f>SUM(1, 2, 1)/SUM(0.00001, 0.000005, 0.000001)</f>
        <v>249999.99999999997</v>
      </c>
      <c r="N142" s="39">
        <f>(135)/(0.00001)*(0.0127)/10</f>
        <v>17144.999999999996</v>
      </c>
      <c r="O142" s="39">
        <f>SUM(265, 98, 19)/SUM(0.00001, 0.000005, 0.000001)</f>
        <v>23874999.999999996</v>
      </c>
      <c r="P142" s="76" t="e">
        <f t="shared" si="21"/>
        <v>#DIV/0!</v>
      </c>
      <c r="Q142" s="76">
        <f t="shared" si="22"/>
        <v>8.3547976908295407</v>
      </c>
    </row>
    <row r="143" spans="1:17" x14ac:dyDescent="0.25">
      <c r="A143" s="65" t="s">
        <v>310</v>
      </c>
      <c r="B143" s="28" t="s">
        <v>33</v>
      </c>
      <c r="C143" s="72">
        <v>44476</v>
      </c>
      <c r="D143" s="28">
        <v>3</v>
      </c>
      <c r="E143" s="73" t="s">
        <v>212</v>
      </c>
      <c r="F143" s="73">
        <v>7.34</v>
      </c>
      <c r="G143" s="39">
        <v>8220</v>
      </c>
      <c r="H143" s="39" t="s">
        <v>212</v>
      </c>
      <c r="I143" s="28">
        <v>1.25</v>
      </c>
      <c r="J143" s="85" t="s">
        <v>195</v>
      </c>
      <c r="K143" s="80" t="s">
        <v>322</v>
      </c>
      <c r="L143" s="39"/>
      <c r="M143" s="39"/>
      <c r="N143" s="39"/>
      <c r="O143" s="39"/>
      <c r="P143" s="76" t="e">
        <f t="shared" si="21"/>
        <v>#DIV/0!</v>
      </c>
      <c r="Q143" s="76" t="e">
        <f t="shared" si="22"/>
        <v>#DIV/0!</v>
      </c>
    </row>
    <row r="144" spans="1:17" x14ac:dyDescent="0.25">
      <c r="A144" s="65" t="s">
        <v>338</v>
      </c>
      <c r="B144" s="28" t="s">
        <v>33</v>
      </c>
      <c r="C144" s="72">
        <v>44477</v>
      </c>
      <c r="D144" s="28">
        <v>3</v>
      </c>
      <c r="E144" s="73">
        <v>15.06</v>
      </c>
      <c r="F144" s="73">
        <v>7.34</v>
      </c>
      <c r="G144" s="39">
        <v>11600</v>
      </c>
      <c r="H144" s="39">
        <v>5380000000</v>
      </c>
      <c r="I144" s="28">
        <v>1.25</v>
      </c>
      <c r="J144" s="85" t="s">
        <v>195</v>
      </c>
      <c r="K144" s="80" t="s">
        <v>336</v>
      </c>
      <c r="L144" s="39">
        <f>(2)/(0.000005)*(0.00415)/10</f>
        <v>165.99999999999997</v>
      </c>
      <c r="M144" s="39">
        <f>(240)/(0.00000005)</f>
        <v>4800000000</v>
      </c>
      <c r="N144" s="39">
        <f>(138)/(0.000005)*(0.00415)/10</f>
        <v>11453.999999999998</v>
      </c>
      <c r="O144" s="39">
        <f>(29)/(0.00000005)</f>
        <v>580000000</v>
      </c>
      <c r="P144" s="76">
        <f t="shared" si="21"/>
        <v>19.828278262778504</v>
      </c>
      <c r="Q144" s="76">
        <f t="shared" si="22"/>
        <v>12.502331016971212</v>
      </c>
    </row>
    <row r="145" spans="1:17" x14ac:dyDescent="0.25">
      <c r="A145" s="65" t="s">
        <v>330</v>
      </c>
      <c r="B145" s="28" t="s">
        <v>33</v>
      </c>
      <c r="C145" s="72">
        <v>44480</v>
      </c>
      <c r="D145" s="28">
        <v>4</v>
      </c>
      <c r="E145" s="73">
        <v>21.09</v>
      </c>
      <c r="F145" s="73">
        <v>7.34</v>
      </c>
      <c r="G145" s="39">
        <v>9490</v>
      </c>
      <c r="H145" s="39">
        <v>170000000</v>
      </c>
      <c r="I145" s="28">
        <v>0.67</v>
      </c>
      <c r="J145" s="85" t="s">
        <v>195</v>
      </c>
      <c r="K145" s="80" t="s">
        <v>348</v>
      </c>
      <c r="L145" s="39">
        <f>(100)/(0.00000002)*(0.0000186)/10</f>
        <v>9300.0000000000018</v>
      </c>
      <c r="M145" s="39">
        <f>170/(0.000001)</f>
        <v>170000000</v>
      </c>
      <c r="N145" s="39">
        <f>(2)/(0.00000002)*(0.0000186)/10</f>
        <v>186.00000000000003</v>
      </c>
      <c r="O145" s="39"/>
      <c r="P145" s="76">
        <f t="shared" si="21"/>
        <v>21.131260454595697</v>
      </c>
      <c r="Q145" s="76" t="e">
        <f t="shared" si="22"/>
        <v>#NUM!</v>
      </c>
    </row>
    <row r="146" spans="1:17" x14ac:dyDescent="0.25">
      <c r="A146" s="65">
        <v>205.4</v>
      </c>
      <c r="B146" s="28" t="s">
        <v>33</v>
      </c>
      <c r="C146" s="72">
        <v>44482</v>
      </c>
      <c r="D146" s="28">
        <v>5</v>
      </c>
      <c r="E146" s="73">
        <v>19.690000000000001</v>
      </c>
      <c r="F146" s="73">
        <v>7.34</v>
      </c>
      <c r="G146" s="39">
        <v>5410</v>
      </c>
      <c r="H146" s="39">
        <v>50700000</v>
      </c>
      <c r="I146" s="28">
        <v>0.67</v>
      </c>
      <c r="J146" s="85" t="s">
        <v>195</v>
      </c>
      <c r="K146" s="80" t="s">
        <v>354</v>
      </c>
      <c r="L146" s="39">
        <f>5410</f>
        <v>5410</v>
      </c>
      <c r="M146" s="39">
        <f>50700000</f>
        <v>50700000</v>
      </c>
      <c r="N146" s="39">
        <v>0</v>
      </c>
      <c r="O146" s="39">
        <v>0</v>
      </c>
      <c r="P146" s="76">
        <f t="shared" si="21"/>
        <v>19.692641093620857</v>
      </c>
      <c r="Q146" s="76" t="e">
        <f t="shared" si="22"/>
        <v>#DIV/0!</v>
      </c>
    </row>
    <row r="147" spans="1:17" x14ac:dyDescent="0.25">
      <c r="A147" s="65"/>
      <c r="B147" s="28"/>
      <c r="C147" s="72"/>
      <c r="D147" s="28"/>
      <c r="E147" s="73"/>
      <c r="F147" s="73"/>
      <c r="G147" s="39"/>
      <c r="H147" s="39"/>
      <c r="I147" s="28"/>
      <c r="J147" s="85"/>
      <c r="K147" s="28"/>
      <c r="L147" s="39"/>
      <c r="M147" s="39"/>
      <c r="N147" s="39"/>
      <c r="O147" s="39"/>
      <c r="P147" s="76" t="e">
        <f t="shared" si="21"/>
        <v>#DIV/0!</v>
      </c>
      <c r="Q147" s="76" t="e">
        <f t="shared" si="22"/>
        <v>#DIV/0!</v>
      </c>
    </row>
    <row r="148" spans="1:17" x14ac:dyDescent="0.25">
      <c r="A148" s="65" t="s">
        <v>265</v>
      </c>
      <c r="B148" s="28" t="s">
        <v>34</v>
      </c>
      <c r="C148" s="72">
        <v>44475</v>
      </c>
      <c r="D148" s="28">
        <v>1</v>
      </c>
      <c r="E148" s="73">
        <v>6</v>
      </c>
      <c r="F148" s="73">
        <v>5.61</v>
      </c>
      <c r="G148" s="39">
        <v>602</v>
      </c>
      <c r="H148" s="39">
        <v>6940000</v>
      </c>
      <c r="I148" s="28">
        <v>2.25</v>
      </c>
      <c r="J148" s="85" t="s">
        <v>193</v>
      </c>
      <c r="K148" s="28"/>
      <c r="L148" s="39"/>
      <c r="M148" s="39"/>
      <c r="N148" s="39"/>
      <c r="O148" s="39"/>
      <c r="P148" s="76"/>
      <c r="Q148" s="76"/>
    </row>
    <row r="149" spans="1:17" x14ac:dyDescent="0.25">
      <c r="A149" s="65" t="s">
        <v>309</v>
      </c>
      <c r="B149" s="28" t="s">
        <v>34</v>
      </c>
      <c r="C149" s="72">
        <v>44476</v>
      </c>
      <c r="D149" s="28">
        <v>2</v>
      </c>
      <c r="E149" s="73">
        <v>6.5</v>
      </c>
      <c r="F149" s="73">
        <v>5.61</v>
      </c>
      <c r="G149" s="39">
        <v>4030</v>
      </c>
      <c r="H149" s="39">
        <v>10700000</v>
      </c>
      <c r="I149" s="28">
        <v>1.75</v>
      </c>
      <c r="J149" s="85" t="s">
        <v>193</v>
      </c>
      <c r="K149" s="28"/>
      <c r="L149" s="39"/>
      <c r="M149" s="39"/>
      <c r="N149" s="39"/>
      <c r="O149" s="39"/>
      <c r="P149" s="76"/>
      <c r="Q149" s="76"/>
    </row>
    <row r="150" spans="1:17" x14ac:dyDescent="0.25">
      <c r="A150" s="65" t="s">
        <v>331</v>
      </c>
      <c r="B150" s="28" t="s">
        <v>34</v>
      </c>
      <c r="C150" s="72">
        <v>44480</v>
      </c>
      <c r="D150" s="28">
        <v>3</v>
      </c>
      <c r="E150" s="73" t="s">
        <v>212</v>
      </c>
      <c r="F150" s="73">
        <v>5.61</v>
      </c>
      <c r="G150" s="39" t="s">
        <v>212</v>
      </c>
      <c r="H150" s="39" t="s">
        <v>212</v>
      </c>
      <c r="I150" s="28">
        <v>1.5</v>
      </c>
      <c r="J150" s="85"/>
      <c r="K150" s="28"/>
      <c r="L150" s="39"/>
      <c r="M150" s="39"/>
      <c r="N150" s="39"/>
      <c r="O150" s="39"/>
      <c r="P150" s="76"/>
      <c r="Q150" s="76"/>
    </row>
    <row r="151" spans="1:17" x14ac:dyDescent="0.25">
      <c r="A151" s="65" t="s">
        <v>363</v>
      </c>
      <c r="B151" s="28" t="s">
        <v>34</v>
      </c>
      <c r="C151" s="72">
        <v>44482</v>
      </c>
      <c r="D151" s="28">
        <v>3</v>
      </c>
      <c r="E151" s="73">
        <v>11.98</v>
      </c>
      <c r="F151" s="73">
        <v>5.61</v>
      </c>
      <c r="G151" s="39">
        <v>6260</v>
      </c>
      <c r="H151" s="39">
        <v>1610000000</v>
      </c>
      <c r="I151" s="28">
        <v>1.5</v>
      </c>
      <c r="J151" s="85" t="s">
        <v>195</v>
      </c>
      <c r="K151" s="80" t="s">
        <v>364</v>
      </c>
      <c r="L151" s="39">
        <v>0</v>
      </c>
      <c r="M151" s="39">
        <v>1610000000</v>
      </c>
      <c r="N151" s="39">
        <v>6260</v>
      </c>
      <c r="O151" s="39">
        <v>0</v>
      </c>
      <c r="P151" s="76" t="e">
        <f t="shared" si="21"/>
        <v>#DIV/0!</v>
      </c>
      <c r="Q151" s="76" t="e">
        <f t="shared" si="22"/>
        <v>#NUM!</v>
      </c>
    </row>
    <row r="152" spans="1:17" x14ac:dyDescent="0.25">
      <c r="A152" s="65" t="s">
        <v>377</v>
      </c>
      <c r="B152" s="28" t="s">
        <v>34</v>
      </c>
      <c r="C152" s="72">
        <v>44483</v>
      </c>
      <c r="D152" s="28">
        <v>3</v>
      </c>
      <c r="E152" s="73">
        <v>11.65</v>
      </c>
      <c r="F152" s="73">
        <v>5.61</v>
      </c>
      <c r="G152" s="39">
        <v>9820</v>
      </c>
      <c r="H152" s="39">
        <v>1780000000</v>
      </c>
      <c r="I152" s="28">
        <v>1.5</v>
      </c>
      <c r="J152" s="85" t="s">
        <v>195</v>
      </c>
      <c r="K152" s="80" t="s">
        <v>364</v>
      </c>
      <c r="L152" s="39">
        <v>0</v>
      </c>
      <c r="M152" s="39">
        <v>1780000000</v>
      </c>
      <c r="N152" s="39">
        <v>9820</v>
      </c>
      <c r="O152" s="39">
        <v>0</v>
      </c>
      <c r="P152" s="76" t="e">
        <f t="shared" ref="P152:P153" si="23">LN(M152/L152)/(I152*LN(2))</f>
        <v>#DIV/0!</v>
      </c>
      <c r="Q152" s="76" t="e">
        <f t="shared" ref="Q152:Q153" si="24">LN(O152/N152)/(I152*LN(2))</f>
        <v>#NUM!</v>
      </c>
    </row>
    <row r="153" spans="1:17" x14ac:dyDescent="0.25">
      <c r="A153" s="65" t="s">
        <v>341</v>
      </c>
      <c r="B153" s="28" t="s">
        <v>34</v>
      </c>
      <c r="C153" s="72">
        <v>44483</v>
      </c>
      <c r="D153" s="28">
        <v>4</v>
      </c>
      <c r="E153" s="73">
        <v>18.559999999999999</v>
      </c>
      <c r="F153" s="73">
        <v>5.61</v>
      </c>
      <c r="G153" s="39">
        <v>11100</v>
      </c>
      <c r="H153" s="39">
        <v>171000000</v>
      </c>
      <c r="I153" s="28">
        <v>0.75</v>
      </c>
      <c r="J153" s="85" t="s">
        <v>195</v>
      </c>
      <c r="K153" s="28" t="s">
        <v>378</v>
      </c>
      <c r="L153" s="39">
        <v>11100</v>
      </c>
      <c r="M153" s="39">
        <v>171000000</v>
      </c>
      <c r="N153" s="39">
        <v>0</v>
      </c>
      <c r="O153" s="39">
        <v>0</v>
      </c>
      <c r="P153" s="76">
        <f t="shared" si="23"/>
        <v>18.548198704113659</v>
      </c>
      <c r="Q153" s="76" t="e">
        <f t="shared" si="24"/>
        <v>#DIV/0!</v>
      </c>
    </row>
    <row r="154" spans="1:17" x14ac:dyDescent="0.25">
      <c r="A154" s="65" t="s">
        <v>375</v>
      </c>
      <c r="B154" s="28" t="s">
        <v>388</v>
      </c>
      <c r="C154" s="72">
        <v>44484</v>
      </c>
      <c r="D154" s="28">
        <v>5</v>
      </c>
      <c r="E154" s="73">
        <v>19.48</v>
      </c>
      <c r="F154" s="73">
        <v>5.61</v>
      </c>
      <c r="G154" s="39">
        <v>8470</v>
      </c>
      <c r="H154" s="39">
        <v>72000000</v>
      </c>
      <c r="I154" s="28">
        <v>0.67</v>
      </c>
      <c r="J154" s="85" t="s">
        <v>195</v>
      </c>
      <c r="K154" s="28" t="s">
        <v>378</v>
      </c>
      <c r="L154" s="39">
        <v>8470</v>
      </c>
      <c r="M154" s="39">
        <v>72000000</v>
      </c>
      <c r="N154" s="39"/>
      <c r="O154" s="39"/>
      <c r="P154" s="76">
        <f t="shared" ref="P154" si="25">LN(M154/L154)/(I154*LN(2))</f>
        <v>19.482607935144664</v>
      </c>
      <c r="Q154" s="76" t="e">
        <f t="shared" ref="Q154" si="26">LN(O154/N154)/(I154*LN(2))</f>
        <v>#DIV/0!</v>
      </c>
    </row>
    <row r="155" spans="1:17" x14ac:dyDescent="0.25">
      <c r="A155" s="65"/>
      <c r="B155" s="28"/>
      <c r="C155" s="72"/>
      <c r="D155" s="28"/>
      <c r="E155" s="73"/>
      <c r="F155" s="73"/>
      <c r="G155" s="39"/>
      <c r="H155" s="39"/>
      <c r="I155" s="28"/>
      <c r="J155" s="85"/>
      <c r="K155" s="28"/>
      <c r="L155" s="39"/>
      <c r="M155" s="39"/>
      <c r="N155" s="39"/>
      <c r="O155" s="39"/>
      <c r="P155" s="76"/>
      <c r="Q155" s="76"/>
    </row>
    <row r="156" spans="1:17" x14ac:dyDescent="0.25">
      <c r="A156" s="65" t="s">
        <v>58</v>
      </c>
      <c r="B156" s="28" t="s">
        <v>59</v>
      </c>
      <c r="C156" s="72">
        <v>44476</v>
      </c>
      <c r="D156" s="28">
        <v>1</v>
      </c>
      <c r="E156" s="73" t="s">
        <v>212</v>
      </c>
      <c r="F156" s="73">
        <v>4.99</v>
      </c>
      <c r="G156" s="39" t="s">
        <v>212</v>
      </c>
      <c r="H156" s="39" t="s">
        <v>212</v>
      </c>
      <c r="I156" s="28">
        <v>2.75</v>
      </c>
      <c r="J156" s="85" t="s">
        <v>212</v>
      </c>
      <c r="K156" s="28" t="s">
        <v>325</v>
      </c>
      <c r="L156" s="39"/>
      <c r="M156" s="39"/>
      <c r="N156" s="39"/>
      <c r="O156" s="39"/>
      <c r="P156" s="76"/>
      <c r="Q156" s="76"/>
    </row>
    <row r="157" spans="1:17" x14ac:dyDescent="0.25">
      <c r="A157" s="65" t="s">
        <v>337</v>
      </c>
      <c r="B157" s="28" t="s">
        <v>59</v>
      </c>
      <c r="C157" s="72">
        <v>44477</v>
      </c>
      <c r="D157" s="28">
        <v>1</v>
      </c>
      <c r="E157" s="73" t="s">
        <v>212</v>
      </c>
      <c r="F157" s="73">
        <v>4.99</v>
      </c>
      <c r="G157" s="39" t="s">
        <v>212</v>
      </c>
      <c r="H157" s="39" t="s">
        <v>212</v>
      </c>
      <c r="I157" s="28">
        <v>2.75</v>
      </c>
      <c r="J157" s="85" t="s">
        <v>212</v>
      </c>
      <c r="K157" s="28" t="s">
        <v>325</v>
      </c>
      <c r="L157" s="39"/>
      <c r="M157" s="39"/>
      <c r="N157" s="39"/>
      <c r="O157" s="39"/>
      <c r="P157" s="76"/>
      <c r="Q157" s="76"/>
    </row>
    <row r="158" spans="1:17" x14ac:dyDescent="0.25">
      <c r="A158" s="65" t="s">
        <v>337</v>
      </c>
      <c r="B158" s="28" t="s">
        <v>59</v>
      </c>
      <c r="C158" s="72">
        <v>44480</v>
      </c>
      <c r="D158" s="28">
        <v>1</v>
      </c>
      <c r="E158" s="73">
        <v>8.56</v>
      </c>
      <c r="F158" s="73">
        <v>4.99</v>
      </c>
      <c r="G158" s="39">
        <v>426</v>
      </c>
      <c r="H158" s="39">
        <v>5180000000</v>
      </c>
      <c r="I158" s="28">
        <v>2.75</v>
      </c>
      <c r="J158" s="85" t="s">
        <v>195</v>
      </c>
      <c r="K158" s="28" t="s">
        <v>345</v>
      </c>
      <c r="L158" s="39">
        <v>0</v>
      </c>
      <c r="M158" s="39">
        <f>SUM(258,53)/SUM(0.00000005, 0.00000001)</f>
        <v>5183333333.333334</v>
      </c>
      <c r="N158" s="39">
        <f>(40)/(0.001)*(0.1064)/10</f>
        <v>425.6</v>
      </c>
      <c r="O158" s="39">
        <v>0</v>
      </c>
      <c r="P158" s="76" t="e">
        <f t="shared" ref="P158" si="27">LN(M158/L158)/(I158*LN(2))</f>
        <v>#DIV/0!</v>
      </c>
      <c r="Q158" s="76" t="e">
        <f t="shared" ref="Q158" si="28">LN(O158/N158)/(I158*LN(2))</f>
        <v>#NUM!</v>
      </c>
    </row>
    <row r="159" spans="1:17" x14ac:dyDescent="0.25">
      <c r="A159" s="65" t="s">
        <v>332</v>
      </c>
      <c r="B159" s="28" t="s">
        <v>59</v>
      </c>
      <c r="C159" s="72">
        <v>44482</v>
      </c>
      <c r="D159" s="28">
        <v>2</v>
      </c>
      <c r="E159" s="73" t="s">
        <v>212</v>
      </c>
      <c r="F159" s="73">
        <v>4.99</v>
      </c>
      <c r="G159" s="39" t="s">
        <v>212</v>
      </c>
      <c r="H159" s="39" t="s">
        <v>212</v>
      </c>
      <c r="I159" s="28">
        <v>1.5</v>
      </c>
      <c r="J159" s="85" t="s">
        <v>195</v>
      </c>
      <c r="K159" s="28" t="s">
        <v>360</v>
      </c>
      <c r="L159" s="39"/>
      <c r="M159" s="39"/>
      <c r="N159" s="39"/>
      <c r="O159" s="39"/>
      <c r="P159" s="76"/>
      <c r="Q159" s="76"/>
    </row>
    <row r="160" spans="1:17" x14ac:dyDescent="0.25">
      <c r="A160" s="65" t="s">
        <v>332</v>
      </c>
      <c r="B160" s="28" t="s">
        <v>59</v>
      </c>
      <c r="C160" s="72">
        <v>44483</v>
      </c>
      <c r="D160" s="28">
        <v>2</v>
      </c>
      <c r="E160" s="73" t="s">
        <v>212</v>
      </c>
      <c r="F160" s="73">
        <v>4.99</v>
      </c>
      <c r="G160" s="39">
        <v>7820</v>
      </c>
      <c r="H160" s="39" t="s">
        <v>212</v>
      </c>
      <c r="I160" s="28">
        <v>1.5</v>
      </c>
      <c r="J160" s="85" t="s">
        <v>195</v>
      </c>
      <c r="K160" s="80" t="s">
        <v>354</v>
      </c>
      <c r="L160" s="39">
        <v>7820</v>
      </c>
      <c r="M160" s="39"/>
      <c r="N160" s="39"/>
      <c r="O160" s="39"/>
      <c r="P160" s="76" t="e">
        <f t="shared" ref="P160:P169" si="29">LN(M160/L160)/(I160*LN(2))</f>
        <v>#NUM!</v>
      </c>
      <c r="Q160" s="76" t="e">
        <f t="shared" ref="Q160:Q169" si="30">LN(O160/N160)/(I160*LN(2))</f>
        <v>#DIV/0!</v>
      </c>
    </row>
    <row r="161" spans="1:17" x14ac:dyDescent="0.25">
      <c r="A161" s="65" t="s">
        <v>391</v>
      </c>
      <c r="B161" s="28" t="s">
        <v>59</v>
      </c>
      <c r="C161" s="72">
        <v>44484</v>
      </c>
      <c r="D161" s="28">
        <v>2</v>
      </c>
      <c r="E161" s="73">
        <v>12.33</v>
      </c>
      <c r="F161" s="73">
        <v>4.99</v>
      </c>
      <c r="G161" s="39">
        <v>8010</v>
      </c>
      <c r="H161" s="39">
        <v>2950000000</v>
      </c>
      <c r="I161" s="28">
        <v>1.5</v>
      </c>
      <c r="J161" s="85" t="s">
        <v>195</v>
      </c>
      <c r="K161" s="80" t="s">
        <v>354</v>
      </c>
      <c r="L161" s="39">
        <v>8010</v>
      </c>
      <c r="M161" s="39">
        <v>2950000000</v>
      </c>
      <c r="N161" s="39"/>
      <c r="O161" s="39"/>
      <c r="P161" s="76">
        <f t="shared" ref="P161" si="31">LN(M161/L161)/(I161*LN(2))</f>
        <v>12.326987520776445</v>
      </c>
      <c r="Q161" s="78" t="e">
        <f>LN(O161/N161)/(I161*LN(2))</f>
        <v>#DIV/0!</v>
      </c>
    </row>
    <row r="162" spans="1:17" x14ac:dyDescent="0.25">
      <c r="A162" s="65" t="s">
        <v>380</v>
      </c>
      <c r="B162" s="28" t="s">
        <v>59</v>
      </c>
      <c r="C162" s="72">
        <v>44487</v>
      </c>
      <c r="D162" s="28">
        <v>3</v>
      </c>
      <c r="E162" s="73">
        <v>20.92</v>
      </c>
      <c r="F162" s="73">
        <v>4.99</v>
      </c>
      <c r="G162" s="39">
        <v>7460</v>
      </c>
      <c r="H162" s="39">
        <v>394000000</v>
      </c>
      <c r="I162" s="28">
        <v>0.75</v>
      </c>
      <c r="J162" s="85" t="s">
        <v>195</v>
      </c>
      <c r="K162" s="81" t="s">
        <v>397</v>
      </c>
      <c r="L162" s="39">
        <v>7460</v>
      </c>
      <c r="M162" s="39">
        <v>394000000</v>
      </c>
      <c r="N162" s="39"/>
      <c r="O162" s="39"/>
      <c r="P162" s="76">
        <f t="shared" ref="P162:P164" si="32">LN(M162/L162)/(I162*LN(2))</f>
        <v>20.918213964850601</v>
      </c>
      <c r="Q162" s="78" t="e">
        <f>LN(O162/N162)/(I162*LN(2))</f>
        <v>#DIV/0!</v>
      </c>
    </row>
    <row r="163" spans="1:17" x14ac:dyDescent="0.25">
      <c r="A163" s="65" t="s">
        <v>405</v>
      </c>
      <c r="B163" s="28" t="s">
        <v>59</v>
      </c>
      <c r="C163" s="72">
        <v>44489</v>
      </c>
      <c r="D163" s="28">
        <v>4</v>
      </c>
      <c r="E163" s="73">
        <v>20.48</v>
      </c>
      <c r="F163" s="73">
        <v>4.99</v>
      </c>
      <c r="G163" s="39">
        <v>15200</v>
      </c>
      <c r="H163" s="39">
        <v>206000000</v>
      </c>
      <c r="I163" s="28">
        <v>0.67</v>
      </c>
      <c r="J163" s="85" t="s">
        <v>195</v>
      </c>
      <c r="K163" s="80" t="s">
        <v>389</v>
      </c>
      <c r="L163" s="39">
        <v>15200</v>
      </c>
      <c r="M163" s="39">
        <v>206000000</v>
      </c>
      <c r="N163" s="39"/>
      <c r="O163" s="39"/>
      <c r="P163" s="76">
        <f t="shared" si="32"/>
        <v>20.486993124312061</v>
      </c>
      <c r="Q163" s="78" t="e">
        <f>LN(O163/N163)/(I163*LN(2))</f>
        <v>#DIV/0!</v>
      </c>
    </row>
    <row r="164" spans="1:17" x14ac:dyDescent="0.25">
      <c r="A164" s="65" t="s">
        <v>410</v>
      </c>
      <c r="B164" s="28" t="s">
        <v>59</v>
      </c>
      <c r="C164" s="72">
        <v>44490</v>
      </c>
      <c r="D164" s="28">
        <v>5</v>
      </c>
      <c r="E164" s="73">
        <v>19.989999999999998</v>
      </c>
      <c r="F164" s="73">
        <v>4.99</v>
      </c>
      <c r="G164" s="39">
        <v>11600</v>
      </c>
      <c r="H164" s="39">
        <v>125000000</v>
      </c>
      <c r="I164" s="28">
        <v>0.67</v>
      </c>
      <c r="J164" s="85" t="s">
        <v>195</v>
      </c>
      <c r="K164" s="80" t="s">
        <v>354</v>
      </c>
      <c r="L164" s="39">
        <v>11600</v>
      </c>
      <c r="M164" s="39">
        <v>125000000</v>
      </c>
      <c r="N164" s="39"/>
      <c r="O164" s="39"/>
      <c r="P164" s="76">
        <f t="shared" si="32"/>
        <v>19.993306968782033</v>
      </c>
      <c r="Q164" s="78" t="e">
        <f>LN(O164/N164)/(I164*LN(2))</f>
        <v>#DIV/0!</v>
      </c>
    </row>
    <row r="165" spans="1:17" x14ac:dyDescent="0.25">
      <c r="A165" s="65"/>
      <c r="B165" s="28"/>
      <c r="C165" s="72"/>
      <c r="D165" s="28"/>
      <c r="E165" s="73"/>
      <c r="F165" s="73"/>
      <c r="G165" s="39"/>
      <c r="H165" s="39"/>
      <c r="I165" s="28"/>
      <c r="J165" s="85"/>
      <c r="K165" s="28"/>
      <c r="L165" s="39"/>
      <c r="M165" s="39"/>
      <c r="N165" s="39"/>
      <c r="O165" s="39"/>
      <c r="P165" s="76"/>
      <c r="Q165" s="76"/>
    </row>
    <row r="166" spans="1:17" x14ac:dyDescent="0.25">
      <c r="A166" s="65" t="s">
        <v>266</v>
      </c>
      <c r="B166" s="28" t="s">
        <v>60</v>
      </c>
      <c r="C166" s="72">
        <v>44476</v>
      </c>
      <c r="D166" s="28">
        <v>1</v>
      </c>
      <c r="E166" s="73">
        <v>4.12</v>
      </c>
      <c r="F166" s="73">
        <v>3.66</v>
      </c>
      <c r="G166" s="39">
        <v>1280</v>
      </c>
      <c r="H166" s="39">
        <v>57000000</v>
      </c>
      <c r="I166" s="28">
        <v>3.75</v>
      </c>
      <c r="J166" s="85" t="s">
        <v>195</v>
      </c>
      <c r="K166" s="81" t="s">
        <v>319</v>
      </c>
      <c r="L166" s="39"/>
      <c r="M166" s="39"/>
      <c r="N166" s="39"/>
      <c r="O166" s="39"/>
      <c r="P166" s="76"/>
      <c r="Q166" s="76"/>
    </row>
    <row r="167" spans="1:17" x14ac:dyDescent="0.25">
      <c r="A167" s="65" t="s">
        <v>333</v>
      </c>
      <c r="B167" s="28" t="s">
        <v>60</v>
      </c>
      <c r="C167" s="72">
        <v>44480</v>
      </c>
      <c r="D167" s="28">
        <v>2</v>
      </c>
      <c r="E167" s="73" t="s">
        <v>212</v>
      </c>
      <c r="F167" s="73">
        <v>3.66</v>
      </c>
      <c r="G167" s="39">
        <v>9120</v>
      </c>
      <c r="H167" s="39" t="s">
        <v>212</v>
      </c>
      <c r="I167" s="28">
        <v>2.5</v>
      </c>
      <c r="J167" s="85" t="s">
        <v>195</v>
      </c>
      <c r="K167" s="28"/>
      <c r="L167" s="39"/>
      <c r="M167" s="39"/>
      <c r="N167" s="39"/>
      <c r="O167" s="39"/>
      <c r="P167" s="76"/>
      <c r="Q167" s="76"/>
    </row>
    <row r="168" spans="1:17" x14ac:dyDescent="0.25">
      <c r="A168" s="65" t="s">
        <v>365</v>
      </c>
      <c r="B168" s="28" t="s">
        <v>60</v>
      </c>
      <c r="C168" s="72">
        <v>44482</v>
      </c>
      <c r="D168" s="28">
        <v>2</v>
      </c>
      <c r="E168" s="73" t="s">
        <v>212</v>
      </c>
      <c r="F168" s="73">
        <v>3.66</v>
      </c>
      <c r="G168" s="39">
        <v>5610</v>
      </c>
      <c r="H168" s="39" t="s">
        <v>212</v>
      </c>
      <c r="I168" s="28">
        <v>2.5</v>
      </c>
      <c r="J168" s="85" t="s">
        <v>195</v>
      </c>
      <c r="K168" s="28" t="s">
        <v>364</v>
      </c>
      <c r="L168" s="39"/>
      <c r="M168" s="39"/>
      <c r="N168" s="39"/>
      <c r="O168" s="39"/>
      <c r="P168" s="76"/>
      <c r="Q168" s="76"/>
    </row>
    <row r="169" spans="1:17" x14ac:dyDescent="0.25">
      <c r="A169" s="65" t="s">
        <v>365</v>
      </c>
      <c r="B169" s="28" t="s">
        <v>60</v>
      </c>
      <c r="C169" s="72">
        <v>44483</v>
      </c>
      <c r="D169" s="28">
        <v>2</v>
      </c>
      <c r="E169" s="73">
        <v>8.5</v>
      </c>
      <c r="F169" s="73">
        <v>3.66</v>
      </c>
      <c r="G169" s="39">
        <v>3060</v>
      </c>
      <c r="H169" s="39">
        <v>7600000000</v>
      </c>
      <c r="I169" s="28">
        <v>2.5</v>
      </c>
      <c r="J169" s="85" t="s">
        <v>195</v>
      </c>
      <c r="K169" s="81" t="s">
        <v>376</v>
      </c>
      <c r="L169" s="39">
        <v>0</v>
      </c>
      <c r="M169" s="39">
        <v>7600000000</v>
      </c>
      <c r="N169" s="39">
        <v>3060</v>
      </c>
      <c r="O169" s="39">
        <v>0</v>
      </c>
      <c r="P169" s="76" t="e">
        <f t="shared" si="29"/>
        <v>#DIV/0!</v>
      </c>
      <c r="Q169" s="76" t="e">
        <f t="shared" si="30"/>
        <v>#NUM!</v>
      </c>
    </row>
    <row r="170" spans="1:17" x14ac:dyDescent="0.25">
      <c r="A170" s="65" t="s">
        <v>339</v>
      </c>
      <c r="B170" s="28" t="s">
        <v>60</v>
      </c>
      <c r="C170" s="72">
        <v>44484</v>
      </c>
      <c r="D170" s="28">
        <v>3</v>
      </c>
      <c r="E170" s="73" t="s">
        <v>212</v>
      </c>
      <c r="F170" s="73">
        <v>3.66</v>
      </c>
      <c r="G170" s="39">
        <v>6700</v>
      </c>
      <c r="H170" s="39" t="s">
        <v>212</v>
      </c>
      <c r="I170" s="28">
        <v>1.25</v>
      </c>
      <c r="J170" s="85" t="s">
        <v>195</v>
      </c>
      <c r="K170" s="81" t="s">
        <v>389</v>
      </c>
      <c r="L170" s="39"/>
      <c r="M170" s="39"/>
      <c r="N170" s="39"/>
      <c r="O170" s="39"/>
      <c r="P170" s="76"/>
      <c r="Q170" s="76"/>
    </row>
    <row r="171" spans="1:17" x14ac:dyDescent="0.25">
      <c r="A171" s="65" t="s">
        <v>399</v>
      </c>
      <c r="B171" s="28" t="s">
        <v>60</v>
      </c>
      <c r="C171" s="72">
        <v>44487</v>
      </c>
      <c r="D171" s="28">
        <v>3</v>
      </c>
      <c r="E171" s="73">
        <v>15.63</v>
      </c>
      <c r="F171" s="73">
        <v>3.66</v>
      </c>
      <c r="G171" s="39">
        <v>5590</v>
      </c>
      <c r="H171" s="39">
        <v>4270000000</v>
      </c>
      <c r="I171" s="28">
        <v>1.25</v>
      </c>
      <c r="J171" s="85" t="s">
        <v>195</v>
      </c>
      <c r="K171" s="81" t="s">
        <v>389</v>
      </c>
      <c r="L171" s="39">
        <v>5590</v>
      </c>
      <c r="M171" s="39">
        <v>4270000000</v>
      </c>
      <c r="N171" s="39">
        <v>0</v>
      </c>
      <c r="O171" s="39">
        <v>0</v>
      </c>
      <c r="P171" s="76">
        <f t="shared" ref="P171" si="33">LN(M171/L171)/(I171*LN(2))</f>
        <v>15.63436508488118</v>
      </c>
      <c r="Q171" s="76" t="e">
        <f t="shared" ref="Q171" si="34">LN(O171/N171)/(I171*LN(2))</f>
        <v>#DIV/0!</v>
      </c>
    </row>
    <row r="172" spans="1:17" x14ac:dyDescent="0.25">
      <c r="A172" s="65" t="s">
        <v>392</v>
      </c>
      <c r="B172" s="28" t="s">
        <v>60</v>
      </c>
      <c r="C172" s="72">
        <v>44489</v>
      </c>
      <c r="D172" s="28">
        <v>4</v>
      </c>
      <c r="E172" s="73">
        <v>20.34</v>
      </c>
      <c r="F172" s="73">
        <v>3.66</v>
      </c>
      <c r="G172" s="39">
        <v>9550</v>
      </c>
      <c r="H172" s="39">
        <v>121000000</v>
      </c>
      <c r="I172" s="28">
        <v>0.67</v>
      </c>
      <c r="J172" s="85" t="s">
        <v>195</v>
      </c>
      <c r="K172" s="80" t="s">
        <v>389</v>
      </c>
      <c r="L172" s="39">
        <v>9550</v>
      </c>
      <c r="M172" s="39">
        <v>121000000</v>
      </c>
      <c r="N172" s="39">
        <v>0</v>
      </c>
      <c r="O172" s="39">
        <v>0</v>
      </c>
      <c r="P172" s="76">
        <f t="shared" ref="P172" si="35">LN(M172/L172)/(I172*LN(2))</f>
        <v>20.342010132519842</v>
      </c>
      <c r="Q172" s="76" t="e">
        <f t="shared" ref="Q172" si="36">LN(O172/N172)/(I172*LN(2))</f>
        <v>#DIV/0!</v>
      </c>
    </row>
    <row r="173" spans="1:17" x14ac:dyDescent="0.25">
      <c r="A173" s="65" t="s">
        <v>413</v>
      </c>
      <c r="B173" s="28" t="s">
        <v>60</v>
      </c>
      <c r="C173" s="72">
        <v>44490</v>
      </c>
      <c r="D173" s="28">
        <v>5</v>
      </c>
      <c r="E173" s="73">
        <v>19.68</v>
      </c>
      <c r="F173" s="73">
        <v>3.66</v>
      </c>
      <c r="G173" s="39">
        <v>11200</v>
      </c>
      <c r="H173" s="39">
        <v>104000000</v>
      </c>
      <c r="I173" s="28">
        <v>0.67</v>
      </c>
      <c r="J173" s="85" t="s">
        <v>195</v>
      </c>
      <c r="K173" s="80" t="s">
        <v>389</v>
      </c>
      <c r="L173" s="39">
        <v>11200</v>
      </c>
      <c r="M173" s="39">
        <v>104000000</v>
      </c>
      <c r="N173" s="39">
        <v>0</v>
      </c>
      <c r="O173" s="39">
        <v>0</v>
      </c>
      <c r="P173" s="76">
        <f t="shared" ref="P173" si="37">LN(M173/L173)/(I173*LN(2))</f>
        <v>19.672831605422292</v>
      </c>
      <c r="Q173" s="76" t="e">
        <f t="shared" ref="Q173" si="38">LN(O173/N173)/(I173*LN(2))</f>
        <v>#DIV/0!</v>
      </c>
    </row>
    <row r="174" spans="1:17" x14ac:dyDescent="0.25">
      <c r="A174" s="65"/>
      <c r="B174" s="28"/>
      <c r="C174" s="72"/>
      <c r="D174" s="28"/>
      <c r="E174" s="73"/>
      <c r="F174" s="73"/>
      <c r="G174" s="39"/>
      <c r="H174" s="39"/>
      <c r="I174" s="28"/>
      <c r="J174" s="85"/>
      <c r="K174" s="28"/>
      <c r="L174" s="39"/>
      <c r="M174" s="39"/>
      <c r="N174" s="39"/>
      <c r="O174" s="39"/>
      <c r="P174" s="76"/>
      <c r="Q174" s="76"/>
    </row>
    <row r="175" spans="1:17" x14ac:dyDescent="0.25">
      <c r="A175" s="65">
        <v>204</v>
      </c>
      <c r="B175" s="28" t="s">
        <v>20</v>
      </c>
      <c r="C175" s="72">
        <v>44454</v>
      </c>
      <c r="D175" s="28">
        <v>1</v>
      </c>
      <c r="E175" s="73">
        <v>9.11</v>
      </c>
      <c r="F175" s="73">
        <v>8.27</v>
      </c>
      <c r="G175" s="39">
        <v>0.69</v>
      </c>
      <c r="H175" s="39">
        <v>212000</v>
      </c>
      <c r="I175" s="28">
        <v>2</v>
      </c>
      <c r="J175" s="85" t="s">
        <v>193</v>
      </c>
      <c r="K175" s="28"/>
      <c r="L175" s="39"/>
      <c r="M175" s="39"/>
      <c r="N175" s="39"/>
      <c r="O175" s="39"/>
      <c r="P175" s="76"/>
      <c r="Q175" s="76"/>
    </row>
    <row r="176" spans="1:17" x14ac:dyDescent="0.25">
      <c r="A176" s="65" t="s">
        <v>352</v>
      </c>
      <c r="B176" s="28" t="s">
        <v>20</v>
      </c>
      <c r="C176" s="72">
        <v>44480</v>
      </c>
      <c r="D176" s="28">
        <v>1</v>
      </c>
      <c r="E176" s="73">
        <v>9.43</v>
      </c>
      <c r="F176" s="73">
        <v>8.27</v>
      </c>
      <c r="G176" s="39">
        <v>969</v>
      </c>
      <c r="H176" s="39">
        <v>17500000</v>
      </c>
      <c r="I176" s="28">
        <v>1.5</v>
      </c>
      <c r="J176" s="85" t="s">
        <v>193</v>
      </c>
      <c r="K176" s="28"/>
      <c r="L176" s="39"/>
      <c r="M176" s="39"/>
      <c r="N176" s="39"/>
      <c r="O176" s="39"/>
      <c r="P176" s="76"/>
      <c r="Q176" s="76"/>
    </row>
    <row r="177" spans="1:17" x14ac:dyDescent="0.25">
      <c r="A177" s="65" t="s">
        <v>359</v>
      </c>
      <c r="B177" s="28" t="s">
        <v>20</v>
      </c>
      <c r="C177" s="72">
        <v>44482</v>
      </c>
      <c r="D177" s="28">
        <v>2</v>
      </c>
      <c r="E177" s="73">
        <v>7.33</v>
      </c>
      <c r="F177" s="73">
        <v>8.27</v>
      </c>
      <c r="G177" s="39">
        <v>11200</v>
      </c>
      <c r="H177" s="39">
        <v>1800000</v>
      </c>
      <c r="I177" s="28">
        <v>1</v>
      </c>
      <c r="J177" s="85" t="s">
        <v>193</v>
      </c>
      <c r="K177" s="80"/>
      <c r="L177" s="39"/>
      <c r="M177" s="39"/>
      <c r="N177" s="39"/>
      <c r="O177" s="39"/>
      <c r="P177" s="76"/>
      <c r="Q177" s="76"/>
    </row>
    <row r="178" spans="1:17" x14ac:dyDescent="0.25">
      <c r="A178" s="65" t="s">
        <v>379</v>
      </c>
      <c r="B178" s="28" t="s">
        <v>20</v>
      </c>
      <c r="C178" s="72">
        <v>44483</v>
      </c>
      <c r="D178" s="28">
        <v>3</v>
      </c>
      <c r="E178" s="73">
        <v>8.76</v>
      </c>
      <c r="F178" s="73">
        <v>8.27</v>
      </c>
      <c r="G178" s="39">
        <v>8220</v>
      </c>
      <c r="H178" s="39">
        <v>16300000</v>
      </c>
      <c r="I178" s="28">
        <v>1.25</v>
      </c>
      <c r="J178" s="85" t="s">
        <v>193</v>
      </c>
      <c r="K178" s="28"/>
      <c r="L178" s="39"/>
      <c r="M178" s="39"/>
      <c r="N178" s="39"/>
      <c r="O178" s="39"/>
      <c r="P178" s="76"/>
      <c r="Q178" s="76"/>
    </row>
    <row r="179" spans="1:17" x14ac:dyDescent="0.25">
      <c r="A179" s="65" t="s">
        <v>390</v>
      </c>
      <c r="B179" s="28" t="s">
        <v>20</v>
      </c>
      <c r="C179" s="72">
        <v>44484</v>
      </c>
      <c r="D179" s="28">
        <v>4</v>
      </c>
      <c r="E179" s="73">
        <v>8.6999999999999993</v>
      </c>
      <c r="F179" s="73">
        <v>8.27</v>
      </c>
      <c r="G179" s="39">
        <v>8060</v>
      </c>
      <c r="H179" s="39">
        <v>15200000</v>
      </c>
      <c r="I179" s="28">
        <v>1.25</v>
      </c>
      <c r="J179" s="85" t="s">
        <v>193</v>
      </c>
      <c r="K179" s="28"/>
      <c r="L179" s="39"/>
      <c r="M179" s="39"/>
      <c r="N179" s="39"/>
      <c r="O179" s="39"/>
      <c r="P179" s="76"/>
      <c r="Q179" s="76"/>
    </row>
    <row r="180" spans="1:17" x14ac:dyDescent="0.25">
      <c r="A180" s="65" t="s">
        <v>398</v>
      </c>
      <c r="B180" s="28" t="s">
        <v>20</v>
      </c>
      <c r="C180" s="72">
        <v>44487</v>
      </c>
      <c r="D180" s="28">
        <v>5</v>
      </c>
      <c r="E180" s="73">
        <v>13</v>
      </c>
      <c r="F180" s="73">
        <v>8.27</v>
      </c>
      <c r="G180" s="39">
        <v>3950</v>
      </c>
      <c r="H180" s="39">
        <v>308000000</v>
      </c>
      <c r="I180" s="28">
        <v>1.25</v>
      </c>
      <c r="J180" s="85" t="s">
        <v>195</v>
      </c>
      <c r="K180" s="80" t="s">
        <v>396</v>
      </c>
      <c r="L180" s="39">
        <f>0</f>
        <v>0</v>
      </c>
      <c r="M180" s="39">
        <f>266/(0.000001)</f>
        <v>266000000</v>
      </c>
      <c r="N180" s="39">
        <f>3950</f>
        <v>3950</v>
      </c>
      <c r="O180" s="39">
        <f>(42)/(0.000001)</f>
        <v>42000000</v>
      </c>
      <c r="P180" s="76" t="e">
        <f t="shared" ref="P180" si="39">LN(M180/L180)/(I180*LN(2))</f>
        <v>#DIV/0!</v>
      </c>
      <c r="Q180" s="76">
        <f t="shared" ref="Q180" si="40">LN(O180/N180)/(I180*LN(2))</f>
        <v>10.700999243320885</v>
      </c>
    </row>
    <row r="181" spans="1:17" x14ac:dyDescent="0.25">
      <c r="A181" s="65"/>
      <c r="B181" s="28"/>
      <c r="C181" s="72"/>
      <c r="D181" s="28"/>
      <c r="E181" s="73"/>
      <c r="F181" s="73"/>
      <c r="G181" s="39"/>
      <c r="H181" s="39"/>
      <c r="I181" s="28"/>
      <c r="J181" s="85"/>
      <c r="K181" s="28"/>
      <c r="L181" s="39"/>
      <c r="M181" s="39"/>
      <c r="N181" s="39"/>
      <c r="O181" s="39"/>
      <c r="P181" s="76"/>
      <c r="Q181" s="76"/>
    </row>
    <row r="182" spans="1:17" x14ac:dyDescent="0.25">
      <c r="A182" s="65" t="s">
        <v>35</v>
      </c>
      <c r="B182" s="28" t="s">
        <v>37</v>
      </c>
      <c r="C182" s="72">
        <v>44487</v>
      </c>
      <c r="D182" s="28">
        <v>1</v>
      </c>
      <c r="E182" s="73">
        <v>12.74</v>
      </c>
      <c r="F182" s="73">
        <v>15.26</v>
      </c>
      <c r="G182" s="39">
        <v>19500</v>
      </c>
      <c r="H182" s="39">
        <v>7250000</v>
      </c>
      <c r="I182" s="28">
        <v>0.67</v>
      </c>
      <c r="J182" s="85" t="s">
        <v>193</v>
      </c>
      <c r="K182" s="28"/>
      <c r="L182" s="39"/>
      <c r="M182" s="39"/>
      <c r="N182" s="39"/>
      <c r="O182" s="39"/>
      <c r="P182" s="76"/>
      <c r="Q182" s="76"/>
    </row>
    <row r="183" spans="1:17" x14ac:dyDescent="0.25">
      <c r="A183" s="65" t="s">
        <v>401</v>
      </c>
      <c r="B183" s="28" t="s">
        <v>37</v>
      </c>
      <c r="C183" s="72">
        <v>44489</v>
      </c>
      <c r="D183" s="28">
        <v>2</v>
      </c>
      <c r="E183" s="73">
        <v>14.53</v>
      </c>
      <c r="F183" s="73">
        <v>15.26</v>
      </c>
      <c r="G183" s="39">
        <v>11300</v>
      </c>
      <c r="H183" s="39">
        <v>21600000</v>
      </c>
      <c r="I183" s="28">
        <v>0.75</v>
      </c>
      <c r="J183" s="85" t="s">
        <v>193</v>
      </c>
      <c r="K183" s="28"/>
      <c r="L183" s="39"/>
      <c r="M183" s="39"/>
      <c r="N183" s="39"/>
      <c r="O183" s="39"/>
      <c r="P183" s="76"/>
      <c r="Q183" s="76"/>
    </row>
    <row r="184" spans="1:17" x14ac:dyDescent="0.25">
      <c r="A184" s="65" t="s">
        <v>415</v>
      </c>
      <c r="B184" s="28" t="s">
        <v>37</v>
      </c>
      <c r="C184" s="72">
        <v>44490</v>
      </c>
      <c r="D184" s="28">
        <v>3</v>
      </c>
      <c r="E184" s="73">
        <v>13.95</v>
      </c>
      <c r="F184" s="73">
        <v>15.26</v>
      </c>
      <c r="G184" s="39">
        <v>7870</v>
      </c>
      <c r="H184" s="39">
        <v>5130000</v>
      </c>
      <c r="I184" s="28">
        <v>0.67</v>
      </c>
      <c r="J184" s="85" t="s">
        <v>193</v>
      </c>
      <c r="K184" s="28"/>
      <c r="L184" s="39"/>
      <c r="M184" s="39"/>
      <c r="N184" s="39"/>
      <c r="O184" s="39"/>
      <c r="P184" s="76"/>
      <c r="Q184" s="76"/>
    </row>
    <row r="185" spans="1:17" x14ac:dyDescent="0.25">
      <c r="A185" s="65" t="s">
        <v>422</v>
      </c>
      <c r="B185" s="28" t="s">
        <v>37</v>
      </c>
      <c r="C185" s="72">
        <v>44496</v>
      </c>
      <c r="D185" s="28">
        <v>4</v>
      </c>
      <c r="E185" s="73">
        <v>13.5</v>
      </c>
      <c r="F185" s="73">
        <v>15.26</v>
      </c>
      <c r="G185" s="39">
        <v>8770</v>
      </c>
      <c r="H185" s="39">
        <v>9810000</v>
      </c>
      <c r="I185" s="28">
        <v>0.75</v>
      </c>
      <c r="J185" s="85" t="s">
        <v>193</v>
      </c>
      <c r="K185" s="28"/>
      <c r="L185" s="39"/>
      <c r="M185" s="39"/>
      <c r="N185" s="39"/>
      <c r="O185" s="39"/>
      <c r="P185" s="76"/>
      <c r="Q185" s="76"/>
    </row>
    <row r="186" spans="1:17" x14ac:dyDescent="0.25">
      <c r="A186" s="65" t="s">
        <v>427</v>
      </c>
      <c r="B186" s="28" t="s">
        <v>37</v>
      </c>
      <c r="C186" s="72">
        <v>44497</v>
      </c>
      <c r="D186" s="28">
        <v>5</v>
      </c>
      <c r="E186" s="73">
        <v>14.72</v>
      </c>
      <c r="F186" s="73">
        <v>15.26</v>
      </c>
      <c r="G186" s="39">
        <v>8360</v>
      </c>
      <c r="H186" s="39">
        <v>17600000</v>
      </c>
      <c r="I186" s="28">
        <v>0.75</v>
      </c>
      <c r="J186" s="85" t="s">
        <v>193</v>
      </c>
      <c r="K186" s="28"/>
      <c r="L186" s="39"/>
      <c r="M186" s="39"/>
      <c r="N186" s="39"/>
      <c r="O186" s="39"/>
      <c r="P186" s="76"/>
      <c r="Q186" s="76"/>
    </row>
    <row r="187" spans="1:17" x14ac:dyDescent="0.25">
      <c r="A187" s="65"/>
      <c r="B187" s="28"/>
      <c r="C187" s="72"/>
      <c r="D187" s="28"/>
      <c r="E187" s="73"/>
      <c r="F187" s="73"/>
      <c r="G187" s="39"/>
      <c r="H187" s="39"/>
      <c r="I187" s="28"/>
      <c r="J187" s="85"/>
      <c r="K187" s="28"/>
      <c r="L187" s="39"/>
      <c r="M187" s="39"/>
      <c r="N187" s="39"/>
      <c r="O187" s="39"/>
      <c r="P187" s="76"/>
      <c r="Q187" s="76"/>
    </row>
    <row r="188" spans="1:17" x14ac:dyDescent="0.25">
      <c r="A188" s="65" t="s">
        <v>42</v>
      </c>
      <c r="B188" s="28" t="s">
        <v>44</v>
      </c>
      <c r="C188" s="72">
        <v>44487</v>
      </c>
      <c r="D188" s="28">
        <v>1</v>
      </c>
      <c r="E188" s="73">
        <v>15.9</v>
      </c>
      <c r="F188" s="73">
        <v>18.11</v>
      </c>
      <c r="G188" s="39">
        <v>6670</v>
      </c>
      <c r="H188" s="39">
        <v>10800000</v>
      </c>
      <c r="I188" s="28">
        <v>0.67</v>
      </c>
      <c r="J188" s="85" t="s">
        <v>193</v>
      </c>
      <c r="K188" s="28"/>
      <c r="L188" s="39"/>
      <c r="M188" s="39"/>
      <c r="N188" s="39"/>
      <c r="O188" s="39"/>
      <c r="P188" s="76"/>
      <c r="Q188" s="76"/>
    </row>
    <row r="189" spans="1:17" x14ac:dyDescent="0.25">
      <c r="A189" s="65" t="s">
        <v>402</v>
      </c>
      <c r="B189" s="28" t="s">
        <v>44</v>
      </c>
      <c r="C189" s="72">
        <v>44489</v>
      </c>
      <c r="D189" s="28">
        <v>2</v>
      </c>
      <c r="E189" s="73">
        <v>16.100000000000001</v>
      </c>
      <c r="F189" s="73">
        <v>18.11</v>
      </c>
      <c r="G189" s="39">
        <v>10100</v>
      </c>
      <c r="H189" s="39">
        <v>17800000</v>
      </c>
      <c r="I189" s="28">
        <v>0.67</v>
      </c>
      <c r="J189" s="85" t="s">
        <v>193</v>
      </c>
      <c r="K189" s="28"/>
      <c r="L189" s="39"/>
      <c r="M189" s="39"/>
      <c r="N189" s="39"/>
      <c r="O189" s="39"/>
      <c r="P189" s="76"/>
      <c r="Q189" s="76"/>
    </row>
    <row r="190" spans="1:17" x14ac:dyDescent="0.25">
      <c r="A190" s="65" t="s">
        <v>409</v>
      </c>
      <c r="B190" s="28" t="s">
        <v>44</v>
      </c>
      <c r="C190" s="72">
        <v>44490</v>
      </c>
      <c r="D190" s="28">
        <v>3</v>
      </c>
      <c r="E190" s="73">
        <v>16.7</v>
      </c>
      <c r="F190" s="73">
        <v>18.11</v>
      </c>
      <c r="G190" s="39">
        <v>11100</v>
      </c>
      <c r="H190" s="39">
        <v>26000000</v>
      </c>
      <c r="I190" s="28">
        <v>0.67</v>
      </c>
      <c r="J190" s="85" t="s">
        <v>193</v>
      </c>
      <c r="K190" s="28"/>
      <c r="L190" s="39"/>
      <c r="M190" s="39"/>
      <c r="N190" s="39"/>
      <c r="O190" s="39"/>
      <c r="P190" s="76"/>
      <c r="Q190" s="76"/>
    </row>
    <row r="191" spans="1:17" x14ac:dyDescent="0.25">
      <c r="A191" s="65" t="s">
        <v>421</v>
      </c>
      <c r="B191" s="28" t="s">
        <v>44</v>
      </c>
      <c r="C191" s="72">
        <v>44496</v>
      </c>
      <c r="D191" s="28">
        <v>4</v>
      </c>
      <c r="E191" s="73">
        <v>16.03</v>
      </c>
      <c r="F191" s="73">
        <v>18.11</v>
      </c>
      <c r="G191" s="39">
        <v>6010</v>
      </c>
      <c r="H191" s="39">
        <v>10300000</v>
      </c>
      <c r="I191" s="28">
        <v>0.67</v>
      </c>
      <c r="J191" s="85" t="s">
        <v>193</v>
      </c>
      <c r="K191" s="28"/>
      <c r="L191" s="39"/>
      <c r="M191" s="39"/>
      <c r="N191" s="39"/>
      <c r="O191" s="39"/>
      <c r="P191" s="76"/>
      <c r="Q191" s="76"/>
    </row>
    <row r="192" spans="1:17" x14ac:dyDescent="0.25">
      <c r="A192" s="65" t="s">
        <v>426</v>
      </c>
      <c r="B192" s="28" t="s">
        <v>44</v>
      </c>
      <c r="C192" s="72">
        <v>44497</v>
      </c>
      <c r="D192" s="28">
        <v>5</v>
      </c>
      <c r="E192" s="73">
        <v>16.79</v>
      </c>
      <c r="F192" s="73">
        <v>18.11</v>
      </c>
      <c r="G192" s="39">
        <v>10100</v>
      </c>
      <c r="H192" s="39">
        <v>24600000</v>
      </c>
      <c r="I192" s="28">
        <v>0.67</v>
      </c>
      <c r="J192" s="85" t="s">
        <v>193</v>
      </c>
      <c r="K192" s="28"/>
      <c r="L192" s="39"/>
      <c r="M192" s="39"/>
      <c r="N192" s="39"/>
      <c r="O192" s="39"/>
      <c r="P192" s="76"/>
      <c r="Q192" s="76"/>
    </row>
    <row r="193" spans="1:17" x14ac:dyDescent="0.25">
      <c r="A193" s="65"/>
      <c r="B193" s="28"/>
      <c r="C193" s="72"/>
      <c r="D193" s="28"/>
      <c r="E193" s="73"/>
      <c r="F193" s="73"/>
      <c r="G193" s="39"/>
      <c r="H193" s="39"/>
      <c r="I193" s="28"/>
      <c r="J193" s="85"/>
      <c r="K193" s="28"/>
      <c r="L193" s="39"/>
      <c r="M193" s="39"/>
      <c r="N193" s="39"/>
      <c r="O193" s="39"/>
      <c r="P193" s="76"/>
      <c r="Q193" s="76"/>
    </row>
    <row r="194" spans="1:17" x14ac:dyDescent="0.25">
      <c r="A194" s="65" t="s">
        <v>39</v>
      </c>
      <c r="B194" s="28" t="s">
        <v>41</v>
      </c>
      <c r="C194" s="72">
        <v>44487</v>
      </c>
      <c r="D194" s="28">
        <v>1</v>
      </c>
      <c r="E194" s="73">
        <v>11.75</v>
      </c>
      <c r="F194" s="73">
        <v>14.39</v>
      </c>
      <c r="G194" s="39">
        <v>8740</v>
      </c>
      <c r="H194" s="39">
        <v>1980000</v>
      </c>
      <c r="I194" s="28">
        <v>0.67</v>
      </c>
      <c r="J194" s="85" t="s">
        <v>193</v>
      </c>
      <c r="K194" s="28"/>
      <c r="L194" s="39"/>
      <c r="M194" s="39"/>
      <c r="N194" s="39"/>
      <c r="O194" s="39"/>
      <c r="P194" s="76"/>
      <c r="Q194" s="76"/>
    </row>
    <row r="195" spans="1:17" x14ac:dyDescent="0.25">
      <c r="A195" s="65" t="s">
        <v>404</v>
      </c>
      <c r="B195" s="28" t="s">
        <v>41</v>
      </c>
      <c r="C195" s="72">
        <v>44489</v>
      </c>
      <c r="D195" s="28">
        <v>2</v>
      </c>
      <c r="E195" s="73">
        <v>11.58</v>
      </c>
      <c r="F195" s="73">
        <v>14.39</v>
      </c>
      <c r="G195" s="39">
        <v>9900</v>
      </c>
      <c r="H195" s="39">
        <v>4080000</v>
      </c>
      <c r="I195" s="28">
        <v>0.75</v>
      </c>
      <c r="J195" s="85" t="s">
        <v>193</v>
      </c>
      <c r="K195" s="28"/>
      <c r="L195" s="39"/>
      <c r="M195" s="39"/>
      <c r="N195" s="39"/>
      <c r="O195" s="39"/>
      <c r="P195" s="76"/>
      <c r="Q195" s="76"/>
    </row>
    <row r="196" spans="1:17" x14ac:dyDescent="0.25">
      <c r="A196" s="65" t="s">
        <v>411</v>
      </c>
      <c r="B196" s="28" t="s">
        <v>41</v>
      </c>
      <c r="C196" s="72">
        <v>44490</v>
      </c>
      <c r="D196" s="28">
        <v>3</v>
      </c>
      <c r="E196" s="73">
        <v>12.07</v>
      </c>
      <c r="F196" s="73">
        <v>14.39</v>
      </c>
      <c r="G196" s="39">
        <v>9800</v>
      </c>
      <c r="H196" s="39">
        <v>5200000</v>
      </c>
      <c r="I196" s="28">
        <v>0.75</v>
      </c>
      <c r="J196" s="85" t="s">
        <v>193</v>
      </c>
      <c r="K196" s="28"/>
      <c r="L196" s="39"/>
      <c r="M196" s="39"/>
      <c r="N196" s="39"/>
      <c r="O196" s="39"/>
      <c r="P196" s="76"/>
      <c r="Q196" s="76"/>
    </row>
    <row r="197" spans="1:17" x14ac:dyDescent="0.25">
      <c r="A197" s="65" t="s">
        <v>423</v>
      </c>
      <c r="B197" s="28" t="s">
        <v>41</v>
      </c>
      <c r="C197" s="72">
        <v>44496</v>
      </c>
      <c r="D197" s="28">
        <v>4</v>
      </c>
      <c r="E197" s="73">
        <v>11.34</v>
      </c>
      <c r="F197" s="73">
        <v>14.39</v>
      </c>
      <c r="G197" s="39">
        <v>9040</v>
      </c>
      <c r="H197" s="39">
        <v>3290000</v>
      </c>
      <c r="I197" s="28">
        <v>0.75</v>
      </c>
      <c r="J197" s="85" t="s">
        <v>193</v>
      </c>
      <c r="K197" s="28"/>
      <c r="L197" s="39"/>
      <c r="M197" s="39"/>
      <c r="N197" s="39"/>
      <c r="O197" s="39"/>
      <c r="P197" s="76"/>
      <c r="Q197" s="76"/>
    </row>
    <row r="198" spans="1:17" x14ac:dyDescent="0.25">
      <c r="A198" s="65" t="s">
        <v>428</v>
      </c>
      <c r="B198" s="28" t="s">
        <v>41</v>
      </c>
      <c r="C198" s="72">
        <v>44497</v>
      </c>
      <c r="D198" s="28">
        <v>5</v>
      </c>
      <c r="E198" s="73">
        <v>13.16</v>
      </c>
      <c r="F198" s="73">
        <v>14.39</v>
      </c>
      <c r="G198" s="39">
        <v>8760</v>
      </c>
      <c r="H198" s="39">
        <v>80000000</v>
      </c>
      <c r="I198" s="28">
        <v>1</v>
      </c>
      <c r="J198" s="85" t="s">
        <v>193</v>
      </c>
      <c r="K198" s="28"/>
      <c r="L198" s="39"/>
      <c r="M198" s="39"/>
      <c r="N198" s="39"/>
      <c r="O198" s="39"/>
      <c r="P198" s="76"/>
      <c r="Q198" s="76"/>
    </row>
    <row r="199" spans="1:17" x14ac:dyDescent="0.25">
      <c r="A199" s="65"/>
      <c r="B199" s="28"/>
      <c r="C199" s="72"/>
      <c r="D199" s="28"/>
      <c r="E199" s="73"/>
      <c r="F199" s="73"/>
      <c r="G199" s="39"/>
      <c r="H199" s="39"/>
      <c r="I199" s="28"/>
      <c r="J199" s="85"/>
      <c r="K199" s="28"/>
      <c r="L199" s="39"/>
      <c r="M199" s="39"/>
      <c r="N199" s="39"/>
      <c r="O199" s="39"/>
      <c r="P199" s="76"/>
      <c r="Q199" s="76"/>
    </row>
    <row r="200" spans="1:17" x14ac:dyDescent="0.25">
      <c r="A200" s="65">
        <v>206</v>
      </c>
      <c r="B200" s="28" t="s">
        <v>47</v>
      </c>
      <c r="C200" s="72">
        <v>44487</v>
      </c>
      <c r="D200" s="28">
        <v>1</v>
      </c>
      <c r="E200" s="73">
        <v>10.82</v>
      </c>
      <c r="F200" s="73">
        <v>10.44</v>
      </c>
      <c r="G200" s="39">
        <v>6220</v>
      </c>
      <c r="H200" s="39">
        <v>11300000</v>
      </c>
      <c r="I200" s="28">
        <v>1</v>
      </c>
      <c r="J200" s="85" t="s">
        <v>195</v>
      </c>
      <c r="K200" s="80" t="s">
        <v>395</v>
      </c>
      <c r="L200" s="39">
        <v>0</v>
      </c>
      <c r="M200" s="39">
        <f>(5)/SUM(0.00001, 0.000005)</f>
        <v>333333.33333333331</v>
      </c>
      <c r="N200" s="39">
        <f>6220</f>
        <v>6220</v>
      </c>
      <c r="O200" s="39">
        <f>(115+49+11)/SUM(0.00001, 0.000005, 0.000001)</f>
        <v>10937499.999999998</v>
      </c>
      <c r="P200" s="76" t="e">
        <f t="shared" ref="P200" si="41">LN(M200/L200)/(I200*LN(2))</f>
        <v>#DIV/0!</v>
      </c>
      <c r="Q200" s="76">
        <f t="shared" ref="Q200" si="42">LN(O200/N200)/(I200*LN(2))</f>
        <v>10.780080816138538</v>
      </c>
    </row>
    <row r="201" spans="1:17" x14ac:dyDescent="0.25">
      <c r="A201" s="65">
        <v>206.1</v>
      </c>
      <c r="B201" s="28" t="s">
        <v>47</v>
      </c>
      <c r="C201" s="72">
        <v>44489</v>
      </c>
      <c r="D201" s="28">
        <v>2</v>
      </c>
      <c r="E201" s="73">
        <v>15.82</v>
      </c>
      <c r="F201" s="73">
        <v>10.44</v>
      </c>
      <c r="G201" s="39">
        <v>9120</v>
      </c>
      <c r="H201" s="39">
        <v>526000000</v>
      </c>
      <c r="I201" s="28">
        <v>1</v>
      </c>
      <c r="J201" s="85" t="s">
        <v>419</v>
      </c>
      <c r="K201" s="81" t="s">
        <v>417</v>
      </c>
      <c r="L201" s="39">
        <f>(4)/(0.00001)*(0.00885)/10</f>
        <v>353.99999999999994</v>
      </c>
      <c r="M201" s="39">
        <f>526000000</f>
        <v>526000000</v>
      </c>
      <c r="N201" s="39">
        <f>(99)/(0.00001)*(0.00885)/10</f>
        <v>8761.5</v>
      </c>
      <c r="O201" s="39">
        <v>0</v>
      </c>
      <c r="P201" s="76">
        <f t="shared" ref="P201" si="43">LN(M201/L201)/(I201*LN(2))</f>
        <v>20.502882008533479</v>
      </c>
      <c r="Q201" s="76" t="e">
        <f t="shared" ref="Q201" si="44">LN(O201/N201)/(I201*LN(2))</f>
        <v>#NUM!</v>
      </c>
    </row>
    <row r="202" spans="1:17" x14ac:dyDescent="0.25">
      <c r="A202" s="65">
        <v>206.2</v>
      </c>
      <c r="B202" s="28" t="s">
        <v>47</v>
      </c>
      <c r="C202" s="72">
        <v>44490</v>
      </c>
      <c r="D202" s="28">
        <v>3</v>
      </c>
      <c r="E202" s="73">
        <v>20.3</v>
      </c>
      <c r="F202" s="73">
        <v>10.44</v>
      </c>
      <c r="G202" s="39">
        <v>9030</v>
      </c>
      <c r="H202" s="39">
        <v>112000000</v>
      </c>
      <c r="I202" s="28">
        <v>0.67</v>
      </c>
      <c r="J202" s="85" t="s">
        <v>195</v>
      </c>
      <c r="K202" s="80" t="s">
        <v>354</v>
      </c>
      <c r="L202" s="39">
        <v>9030</v>
      </c>
      <c r="M202" s="39">
        <v>112000000</v>
      </c>
      <c r="N202" s="39">
        <v>0</v>
      </c>
      <c r="O202" s="39">
        <v>0</v>
      </c>
      <c r="P202" s="76">
        <f t="shared" ref="P202" si="45">LN(M202/L202)/(I202*LN(2))</f>
        <v>20.296139132856055</v>
      </c>
      <c r="Q202" s="76" t="e">
        <f t="shared" ref="Q202" si="46">LN(O202/N202)/(I202*LN(2))</f>
        <v>#DIV/0!</v>
      </c>
    </row>
    <row r="203" spans="1:17" x14ac:dyDescent="0.25">
      <c r="A203" s="65">
        <v>206.3</v>
      </c>
      <c r="B203" s="28" t="s">
        <v>47</v>
      </c>
      <c r="C203" s="72">
        <v>44496</v>
      </c>
      <c r="D203" s="28">
        <v>4</v>
      </c>
      <c r="E203" s="73">
        <v>19.41</v>
      </c>
      <c r="F203" s="73">
        <v>10.44</v>
      </c>
      <c r="G203" s="39">
        <v>8130</v>
      </c>
      <c r="H203" s="39">
        <v>66700000</v>
      </c>
      <c r="I203" s="28">
        <v>0.67</v>
      </c>
      <c r="J203" s="85" t="s">
        <v>195</v>
      </c>
      <c r="K203" s="54" t="s">
        <v>425</v>
      </c>
      <c r="L203" s="39">
        <f>(80)/(0.000001)*(0.000893)/10</f>
        <v>7144</v>
      </c>
      <c r="M203" s="39">
        <f>(59+33+15)/SUM(0.0000001, 0.0000005, 0.000001)</f>
        <v>66875000</v>
      </c>
      <c r="N203" s="39">
        <f>(11)/(0.000001)*(0.000893)/10</f>
        <v>982.3</v>
      </c>
      <c r="O203" s="39">
        <f>(5+3)/SUM(0.000001, 0.0000005)</f>
        <v>5333333.333333333</v>
      </c>
      <c r="P203" s="76">
        <f t="shared" ref="P203" si="47">LN(M203/L203)/(I203*LN(2))</f>
        <v>19.690219829091731</v>
      </c>
      <c r="Q203" s="76">
        <f t="shared" ref="Q203" si="48">LN(O203/N203)/(I203*LN(2))</f>
        <v>18.517292805569941</v>
      </c>
    </row>
    <row r="204" spans="1:17" x14ac:dyDescent="0.25">
      <c r="A204" s="65">
        <v>206.4</v>
      </c>
      <c r="B204" s="28" t="s">
        <v>47</v>
      </c>
      <c r="C204" s="72">
        <v>44497</v>
      </c>
      <c r="D204" s="28">
        <v>5</v>
      </c>
      <c r="E204" s="73">
        <v>20.49</v>
      </c>
      <c r="F204" s="73">
        <v>10.44</v>
      </c>
      <c r="G204" s="39">
        <v>11200</v>
      </c>
      <c r="H204" s="39">
        <v>153000000</v>
      </c>
      <c r="I204" s="28">
        <v>0.67</v>
      </c>
      <c r="J204" s="85" t="s">
        <v>195</v>
      </c>
      <c r="K204" s="54" t="s">
        <v>432</v>
      </c>
      <c r="L204" s="39">
        <f>(133)/(0.000002)*(0.0015)/10</f>
        <v>9975</v>
      </c>
      <c r="M204" s="39">
        <f>(141+74)/SUM(0.000001, 0.0000005)</f>
        <v>143333333.33333334</v>
      </c>
      <c r="N204" s="39">
        <f>(17)/(0.000002)*(0.0015)/10</f>
        <v>1275</v>
      </c>
      <c r="O204" s="39">
        <f>(7+7)/SUM(0.000001, 0.0000005)</f>
        <v>9333333.333333334</v>
      </c>
      <c r="P204" s="76">
        <f t="shared" ref="P204" si="49">LN(M204/L204)/(I204*LN(2))</f>
        <v>20.612981779396129</v>
      </c>
      <c r="Q204" s="76">
        <f t="shared" ref="Q204" si="50">LN(O204/N204)/(I204*LN(2))</f>
        <v>19.16071561032</v>
      </c>
    </row>
    <row r="205" spans="1:17" x14ac:dyDescent="0.25">
      <c r="A205" s="65"/>
      <c r="B205" s="28"/>
      <c r="C205" s="72"/>
      <c r="D205" s="28"/>
      <c r="E205" s="73"/>
      <c r="F205" s="73"/>
      <c r="G205" s="39"/>
      <c r="H205" s="39"/>
      <c r="I205" s="28"/>
      <c r="J205" s="85"/>
      <c r="K205" s="28"/>
      <c r="L205" s="39"/>
      <c r="M205" s="39"/>
      <c r="N205" s="39"/>
      <c r="O205" s="39"/>
      <c r="P205" s="76"/>
      <c r="Q205" s="76"/>
    </row>
    <row r="206" spans="1:17" x14ac:dyDescent="0.25">
      <c r="A206" s="65" t="s">
        <v>408</v>
      </c>
      <c r="B206" s="28" t="s">
        <v>48</v>
      </c>
      <c r="C206" s="72">
        <v>44489</v>
      </c>
      <c r="D206" s="28">
        <v>1</v>
      </c>
      <c r="E206" s="73">
        <v>9.0500000000000007</v>
      </c>
      <c r="F206" s="73">
        <v>9.2200000000000006</v>
      </c>
      <c r="G206" s="39">
        <v>10600</v>
      </c>
      <c r="H206" s="39">
        <v>5600000</v>
      </c>
      <c r="I206" s="28">
        <v>1</v>
      </c>
      <c r="J206" s="85" t="s">
        <v>195</v>
      </c>
      <c r="K206" s="80" t="s">
        <v>418</v>
      </c>
      <c r="L206" s="39">
        <v>0</v>
      </c>
      <c r="M206" s="39">
        <f>(5+1)/SUM(0.00005, 0.00001, 0.000005)</f>
        <v>92307.692307692298</v>
      </c>
      <c r="N206" s="39">
        <v>10600</v>
      </c>
      <c r="O206" s="39">
        <f>(262+71+25+6)/SUM(0.00005, 0.00001, 0.000005, 0.000001)</f>
        <v>5515151.5151515147</v>
      </c>
      <c r="P206" s="76" t="e">
        <f t="shared" ref="P206" si="51">LN(M206/L206)/(I206*LN(2))</f>
        <v>#DIV/0!</v>
      </c>
      <c r="Q206" s="76">
        <f t="shared" ref="Q206" si="52">LN(O206/N206)/(I206*LN(2))</f>
        <v>9.023192445826492</v>
      </c>
    </row>
    <row r="207" spans="1:17" x14ac:dyDescent="0.25">
      <c r="A207" s="65" t="s">
        <v>478</v>
      </c>
      <c r="B207" s="28" t="s">
        <v>48</v>
      </c>
      <c r="C207" s="72">
        <v>44490</v>
      </c>
      <c r="D207" s="28">
        <v>2</v>
      </c>
      <c r="E207" s="73">
        <v>14.53</v>
      </c>
      <c r="F207" s="73">
        <v>9.2200000000000006</v>
      </c>
      <c r="G207" s="39">
        <v>7590</v>
      </c>
      <c r="H207" s="39">
        <v>180000000</v>
      </c>
      <c r="I207" s="28">
        <v>1</v>
      </c>
      <c r="J207" s="85" t="s">
        <v>195</v>
      </c>
      <c r="K207" s="81" t="s">
        <v>420</v>
      </c>
      <c r="L207" s="39">
        <f>(5)/(0.00002)*(0.0179)/10</f>
        <v>447.49999999999989</v>
      </c>
      <c r="M207" s="39">
        <v>180000000</v>
      </c>
      <c r="N207" s="39">
        <f>(80)/(0.00002)*(0.0179)/10</f>
        <v>7159.9999999999982</v>
      </c>
      <c r="O207" s="39">
        <v>0</v>
      </c>
      <c r="P207" s="76">
        <f t="shared" ref="P207" si="53">LN(M207/L207)/(I207*LN(2))</f>
        <v>18.617677793502232</v>
      </c>
      <c r="Q207" s="76" t="e">
        <f t="shared" ref="Q207" si="54">LN(O207/N207)/(I207*LN(2))</f>
        <v>#NUM!</v>
      </c>
    </row>
    <row r="208" spans="1:17" x14ac:dyDescent="0.25">
      <c r="A208" s="65" t="s">
        <v>479</v>
      </c>
      <c r="B208" s="28" t="s">
        <v>48</v>
      </c>
      <c r="C208" s="72">
        <v>44496</v>
      </c>
      <c r="D208" s="28">
        <v>3</v>
      </c>
      <c r="E208" s="73">
        <v>20.39</v>
      </c>
      <c r="F208" s="73">
        <v>9.2200000000000006</v>
      </c>
      <c r="G208" s="39">
        <v>5560</v>
      </c>
      <c r="H208" s="39">
        <v>72000000</v>
      </c>
      <c r="I208" s="28">
        <v>0.67</v>
      </c>
      <c r="J208" s="85" t="s">
        <v>195</v>
      </c>
      <c r="K208" s="80" t="s">
        <v>425</v>
      </c>
      <c r="L208" s="39">
        <f>(47)/(0.0000005)*(0.000556)/10</f>
        <v>5226.3999999999996</v>
      </c>
      <c r="M208" s="39">
        <f>(68)/(0.000001)</f>
        <v>68000000</v>
      </c>
      <c r="N208" s="39">
        <f>(3)/(0.0000005)*(0.000556)/10</f>
        <v>333.6</v>
      </c>
      <c r="O208" s="39">
        <f>4/(0.000001)</f>
        <v>4000000</v>
      </c>
      <c r="P208" s="76">
        <f t="shared" ref="P208" si="55">LN(M208/L208)/(I208*LN(2))</f>
        <v>20.399148628448849</v>
      </c>
      <c r="Q208" s="76">
        <f t="shared" ref="Q208" si="56">LN(O208/N208)/(I208*LN(2))</f>
        <v>20.2232732698013</v>
      </c>
    </row>
    <row r="209" spans="1:17" x14ac:dyDescent="0.25">
      <c r="A209" s="65" t="s">
        <v>480</v>
      </c>
      <c r="B209" s="28" t="s">
        <v>48</v>
      </c>
      <c r="C209" s="72">
        <v>44497</v>
      </c>
      <c r="D209" s="28">
        <v>4</v>
      </c>
      <c r="E209" s="73">
        <v>20.99</v>
      </c>
      <c r="F209" s="73">
        <v>9.2200000000000006</v>
      </c>
      <c r="G209" s="39">
        <v>4720</v>
      </c>
      <c r="H209" s="39">
        <v>80700000</v>
      </c>
      <c r="I209" s="28">
        <v>0.67</v>
      </c>
      <c r="J209" s="85" t="s">
        <v>195</v>
      </c>
      <c r="K209" s="80" t="s">
        <v>432</v>
      </c>
      <c r="L209" s="39">
        <f>(23)/(0.000001)*(0.00139)/10</f>
        <v>3197</v>
      </c>
      <c r="M209" s="39">
        <f>(70+36+9)/SUM(0.000001, 0.0000005, 0.0000001)</f>
        <v>71875000</v>
      </c>
      <c r="N209" s="39">
        <f>(11)/(0.000001)*(0.00139)/10</f>
        <v>1529</v>
      </c>
      <c r="O209" s="39">
        <f>(11+4+1)/SUM(0.000001, 0.0000005, 0.0000001)</f>
        <v>10000000</v>
      </c>
      <c r="P209" s="76">
        <f t="shared" ref="P209" si="57">LN(M209/L209)/(I209*LN(2))</f>
        <v>21.576841322948344</v>
      </c>
      <c r="Q209" s="76">
        <f t="shared" ref="Q209" si="58">LN(O209/N209)/(I209*LN(2))</f>
        <v>18.918095481866764</v>
      </c>
    </row>
    <row r="210" spans="1:17" x14ac:dyDescent="0.25">
      <c r="A210" s="65" t="s">
        <v>481</v>
      </c>
      <c r="B210" s="28" t="s">
        <v>48</v>
      </c>
      <c r="C210" s="72">
        <v>44501</v>
      </c>
      <c r="D210" s="28">
        <v>5</v>
      </c>
      <c r="E210" s="73">
        <v>20.65</v>
      </c>
      <c r="F210" s="73">
        <v>9.2200000000000006</v>
      </c>
      <c r="G210" s="39">
        <v>9170</v>
      </c>
      <c r="H210" s="39">
        <v>134000000</v>
      </c>
      <c r="I210" s="28">
        <v>0.67</v>
      </c>
      <c r="J210" s="85" t="s">
        <v>195</v>
      </c>
      <c r="K210" s="54" t="s">
        <v>440</v>
      </c>
      <c r="L210" s="39">
        <f>(66)/(0.000001)*(0.00124)/10</f>
        <v>8184</v>
      </c>
      <c r="M210" s="39">
        <f>(110+14)/SUM(0.000001, 0.0000001)</f>
        <v>112727272.72727272</v>
      </c>
      <c r="N210" s="39">
        <f>(8)/(0.000001)*(0.00124)/10</f>
        <v>992</v>
      </c>
      <c r="O210" s="39">
        <f>(24+2)/SUM(0.000001, 0.0000001)</f>
        <v>23636363.636363637</v>
      </c>
      <c r="P210" s="76">
        <f t="shared" ref="P210" si="59">LN(M210/L210)/(I210*LN(2))</f>
        <v>20.521896904799675</v>
      </c>
      <c r="Q210" s="76">
        <f t="shared" ref="Q210" si="60">LN(O210/N210)/(I210*LN(2))</f>
        <v>21.701952915415607</v>
      </c>
    </row>
    <row r="211" spans="1:17" x14ac:dyDescent="0.25">
      <c r="A211" s="65"/>
      <c r="B211" s="28"/>
      <c r="C211" s="72"/>
      <c r="D211" s="28"/>
      <c r="E211" s="73"/>
      <c r="F211" s="73"/>
      <c r="G211" s="39"/>
      <c r="H211" s="39"/>
      <c r="I211" s="28"/>
      <c r="J211" s="85"/>
      <c r="K211" s="28"/>
      <c r="L211" s="39"/>
      <c r="M211" s="39"/>
      <c r="N211" s="39"/>
      <c r="O211" s="39"/>
      <c r="P211" s="76"/>
      <c r="Q211" s="76"/>
    </row>
    <row r="212" spans="1:17" x14ac:dyDescent="0.25">
      <c r="A212" s="65" t="s">
        <v>406</v>
      </c>
      <c r="B212" s="28" t="s">
        <v>45</v>
      </c>
      <c r="C212" s="72">
        <v>44489</v>
      </c>
      <c r="D212" s="28">
        <v>1</v>
      </c>
      <c r="E212" s="73">
        <v>7.33</v>
      </c>
      <c r="F212" s="73">
        <v>5.43</v>
      </c>
      <c r="G212" s="39">
        <v>10500</v>
      </c>
      <c r="H212" s="39">
        <v>76000000</v>
      </c>
      <c r="I212" s="28">
        <v>1.75</v>
      </c>
      <c r="J212" s="85" t="s">
        <v>193</v>
      </c>
      <c r="K212" s="28"/>
      <c r="L212" s="39"/>
      <c r="M212" s="39"/>
      <c r="N212" s="39"/>
      <c r="O212" s="39"/>
      <c r="P212" s="76"/>
      <c r="Q212" s="76"/>
    </row>
    <row r="213" spans="1:17" x14ac:dyDescent="0.25">
      <c r="A213" s="65" t="s">
        <v>414</v>
      </c>
      <c r="B213" s="28" t="s">
        <v>45</v>
      </c>
      <c r="C213" s="72">
        <v>44490</v>
      </c>
      <c r="D213" s="28">
        <v>2</v>
      </c>
      <c r="E213" s="73">
        <v>6.61</v>
      </c>
      <c r="F213" s="73">
        <v>5.43</v>
      </c>
      <c r="G213" s="39">
        <v>6050</v>
      </c>
      <c r="H213" s="39">
        <v>1860000</v>
      </c>
      <c r="I213" s="28">
        <v>1.25</v>
      </c>
      <c r="J213" s="85" t="s">
        <v>193</v>
      </c>
      <c r="K213" s="28"/>
      <c r="L213" s="39"/>
      <c r="M213" s="39"/>
      <c r="N213" s="39"/>
      <c r="O213" s="39"/>
      <c r="P213" s="76"/>
      <c r="Q213" s="76"/>
    </row>
    <row r="214" spans="1:17" x14ac:dyDescent="0.25">
      <c r="A214" s="65" t="s">
        <v>424</v>
      </c>
      <c r="B214" s="28" t="s">
        <v>45</v>
      </c>
      <c r="C214" s="72">
        <v>44496</v>
      </c>
      <c r="D214" s="28">
        <v>3</v>
      </c>
      <c r="E214" s="73">
        <v>6.7</v>
      </c>
      <c r="F214" s="73">
        <v>5.43</v>
      </c>
      <c r="G214" s="39">
        <v>6880</v>
      </c>
      <c r="H214" s="39">
        <v>7310000</v>
      </c>
      <c r="I214" s="28">
        <v>1.5</v>
      </c>
      <c r="J214" s="85" t="s">
        <v>193</v>
      </c>
      <c r="K214" s="28"/>
      <c r="L214" s="39"/>
      <c r="M214" s="39"/>
      <c r="N214" s="39"/>
      <c r="O214" s="39"/>
      <c r="P214" s="76"/>
      <c r="Q214" s="76"/>
    </row>
    <row r="215" spans="1:17" x14ac:dyDescent="0.25">
      <c r="A215" s="65" t="s">
        <v>431</v>
      </c>
      <c r="B215" s="28" t="s">
        <v>45</v>
      </c>
      <c r="C215" s="72">
        <v>44497</v>
      </c>
      <c r="D215" s="28">
        <v>4</v>
      </c>
      <c r="E215" s="73">
        <v>7.56</v>
      </c>
      <c r="F215" s="73">
        <v>5.43</v>
      </c>
      <c r="G215" s="39">
        <v>10500</v>
      </c>
      <c r="H215" s="39">
        <v>27200000</v>
      </c>
      <c r="I215" s="28">
        <v>1.5</v>
      </c>
      <c r="J215" s="85" t="s">
        <v>195</v>
      </c>
      <c r="K215" s="81" t="s">
        <v>433</v>
      </c>
      <c r="L215" s="39">
        <v>0</v>
      </c>
      <c r="M215" s="39">
        <f>(11+3)/SUM(0.000005, 0.000001)</f>
        <v>2333333.3333333335</v>
      </c>
      <c r="N215" s="39">
        <v>10500</v>
      </c>
      <c r="O215" s="39">
        <f>(127+22)/SUM(0.000005, 0.000001)</f>
        <v>24833333.333333332</v>
      </c>
      <c r="P215" s="76" t="e">
        <f t="shared" ref="P215" si="61">LN(M215/L215)/(I215*LN(2))</f>
        <v>#DIV/0!</v>
      </c>
      <c r="Q215" s="76">
        <f t="shared" ref="Q215" si="62">LN(O215/N215)/(I215*LN(2))</f>
        <v>7.4717819210828891</v>
      </c>
    </row>
    <row r="216" spans="1:17" x14ac:dyDescent="0.25">
      <c r="A216" s="65" t="s">
        <v>436</v>
      </c>
      <c r="B216" s="28" t="s">
        <v>45</v>
      </c>
      <c r="C216" s="72">
        <v>44501</v>
      </c>
      <c r="D216" s="28">
        <v>5</v>
      </c>
      <c r="E216" s="73">
        <v>12.73</v>
      </c>
      <c r="F216" s="73">
        <v>5.43</v>
      </c>
      <c r="G216" s="39">
        <v>10200</v>
      </c>
      <c r="H216" s="39">
        <v>626000000</v>
      </c>
      <c r="I216" s="28">
        <v>1.25</v>
      </c>
      <c r="J216" s="85" t="s">
        <v>195</v>
      </c>
      <c r="K216" s="9" t="s">
        <v>442</v>
      </c>
      <c r="L216" s="39">
        <f>(9)/(0.000005)*(0.00638)/10</f>
        <v>1148.3999999999999</v>
      </c>
      <c r="M216" s="39">
        <f>314/(0.0000005)</f>
        <v>628000000</v>
      </c>
      <c r="N216" s="39">
        <f>(129)/(0.000005)*(0.00368)/10</f>
        <v>9494.3999999999978</v>
      </c>
      <c r="O216" s="39">
        <v>0</v>
      </c>
      <c r="P216" s="76">
        <f t="shared" ref="P216" si="63">LN(M216/L216)/(I216*LN(2))</f>
        <v>15.248623838316787</v>
      </c>
      <c r="Q216" s="76" t="e">
        <f t="shared" ref="Q216" si="64">LN(O216/N216)/(I216*LN(2))</f>
        <v>#NUM!</v>
      </c>
    </row>
    <row r="217" spans="1:17" x14ac:dyDescent="0.25">
      <c r="A217" s="65"/>
      <c r="B217" s="28"/>
      <c r="C217" s="72"/>
      <c r="D217" s="28"/>
      <c r="E217" s="73"/>
      <c r="F217" s="73"/>
      <c r="G217" s="39"/>
      <c r="H217" s="39"/>
      <c r="I217" s="28"/>
      <c r="J217" s="85"/>
      <c r="K217" s="28"/>
      <c r="L217" s="39"/>
      <c r="M217" s="39"/>
      <c r="N217" s="39"/>
      <c r="O217" s="39"/>
      <c r="P217" s="76"/>
      <c r="Q217" s="76"/>
    </row>
    <row r="218" spans="1:17" x14ac:dyDescent="0.25">
      <c r="A218" s="65" t="s">
        <v>393</v>
      </c>
      <c r="B218" s="28" t="s">
        <v>394</v>
      </c>
      <c r="C218" s="72">
        <v>44496</v>
      </c>
      <c r="D218" s="28">
        <v>1</v>
      </c>
      <c r="E218" s="73">
        <v>8.89</v>
      </c>
      <c r="F218" s="73">
        <v>11.24</v>
      </c>
      <c r="G218" s="39">
        <v>16100</v>
      </c>
      <c r="H218" s="39">
        <v>7650000</v>
      </c>
      <c r="I218" s="28">
        <v>1</v>
      </c>
      <c r="J218" s="85" t="s">
        <v>193</v>
      </c>
      <c r="K218" s="28"/>
      <c r="L218" s="39"/>
      <c r="M218" s="39"/>
      <c r="N218" s="39"/>
      <c r="O218" s="39"/>
      <c r="P218" s="76"/>
      <c r="Q218" s="76"/>
    </row>
    <row r="219" spans="1:17" x14ac:dyDescent="0.25">
      <c r="A219" s="65" t="s">
        <v>429</v>
      </c>
      <c r="B219" s="28" t="s">
        <v>394</v>
      </c>
      <c r="C219" s="72">
        <v>44497</v>
      </c>
      <c r="D219" s="28">
        <v>2</v>
      </c>
      <c r="E219" s="73">
        <v>9.77</v>
      </c>
      <c r="F219" s="73">
        <v>11.24</v>
      </c>
      <c r="G219" s="39">
        <v>6400</v>
      </c>
      <c r="H219" s="39">
        <v>5600000</v>
      </c>
      <c r="I219" s="28">
        <v>1</v>
      </c>
      <c r="J219" s="85" t="s">
        <v>193</v>
      </c>
      <c r="K219" s="28"/>
      <c r="L219" s="39"/>
      <c r="M219" s="39"/>
      <c r="N219" s="39"/>
      <c r="O219" s="39"/>
      <c r="P219" s="76"/>
      <c r="Q219" s="76"/>
    </row>
    <row r="220" spans="1:17" x14ac:dyDescent="0.25">
      <c r="A220" s="65" t="s">
        <v>435</v>
      </c>
      <c r="B220" s="28" t="s">
        <v>394</v>
      </c>
      <c r="C220" s="72">
        <v>44501</v>
      </c>
      <c r="D220" s="28">
        <v>3</v>
      </c>
      <c r="E220" s="73">
        <v>10.01</v>
      </c>
      <c r="F220" s="73">
        <v>11.24</v>
      </c>
      <c r="G220" s="39">
        <v>7320</v>
      </c>
      <c r="H220" s="39">
        <v>7560000</v>
      </c>
      <c r="I220" s="28">
        <v>1</v>
      </c>
      <c r="J220" s="85" t="s">
        <v>193</v>
      </c>
      <c r="K220" s="28"/>
      <c r="L220" s="39"/>
      <c r="M220" s="39"/>
      <c r="N220" s="39"/>
      <c r="O220" s="39"/>
      <c r="P220" s="76"/>
      <c r="Q220" s="76"/>
    </row>
    <row r="221" spans="1:17" x14ac:dyDescent="0.25">
      <c r="A221" s="65" t="s">
        <v>443</v>
      </c>
      <c r="B221" s="28" t="s">
        <v>394</v>
      </c>
      <c r="C221" s="72">
        <v>44502</v>
      </c>
      <c r="D221" s="28">
        <v>4</v>
      </c>
      <c r="E221" s="73">
        <v>9.99</v>
      </c>
      <c r="F221" s="73">
        <v>11.24</v>
      </c>
      <c r="G221" s="39">
        <v>5090</v>
      </c>
      <c r="H221" s="39">
        <v>5190000</v>
      </c>
      <c r="I221" s="28">
        <v>1</v>
      </c>
      <c r="J221" s="85" t="s">
        <v>193</v>
      </c>
      <c r="K221" s="28"/>
      <c r="L221" s="39"/>
      <c r="M221" s="39"/>
      <c r="N221" s="39"/>
      <c r="O221" s="39"/>
      <c r="P221" s="76"/>
      <c r="Q221" s="76"/>
    </row>
    <row r="222" spans="1:17" x14ac:dyDescent="0.25">
      <c r="A222" s="65" t="s">
        <v>449</v>
      </c>
      <c r="B222" s="28" t="s">
        <v>394</v>
      </c>
      <c r="C222" s="72">
        <v>44503</v>
      </c>
      <c r="D222" s="28">
        <v>5</v>
      </c>
      <c r="E222" s="73">
        <v>11.56</v>
      </c>
      <c r="F222" s="73">
        <v>11.24</v>
      </c>
      <c r="G222" s="39">
        <v>7320</v>
      </c>
      <c r="H222" s="39">
        <v>22200000</v>
      </c>
      <c r="I222" s="28">
        <v>1</v>
      </c>
      <c r="J222" s="85" t="s">
        <v>193</v>
      </c>
      <c r="K222" s="28"/>
      <c r="L222" s="39"/>
      <c r="M222" s="39"/>
      <c r="N222" s="39"/>
      <c r="O222" s="39"/>
      <c r="P222" s="76"/>
      <c r="Q222" s="76"/>
    </row>
    <row r="223" spans="1:17" x14ac:dyDescent="0.25">
      <c r="A223" s="65"/>
      <c r="B223" s="28"/>
      <c r="C223" s="72"/>
      <c r="D223" s="28"/>
      <c r="E223" s="73"/>
      <c r="F223" s="73"/>
      <c r="G223" s="39"/>
      <c r="H223" s="39"/>
      <c r="I223" s="28"/>
      <c r="J223" s="85"/>
      <c r="K223" s="28"/>
      <c r="L223" s="39"/>
      <c r="M223" s="39"/>
      <c r="N223" s="39"/>
      <c r="O223" s="39"/>
      <c r="P223" s="76"/>
      <c r="Q223" s="76"/>
    </row>
    <row r="224" spans="1:17" x14ac:dyDescent="0.25">
      <c r="A224" s="65" t="s">
        <v>384</v>
      </c>
      <c r="B224" s="28" t="s">
        <v>368</v>
      </c>
      <c r="C224" s="72">
        <v>44496</v>
      </c>
      <c r="D224" s="28">
        <v>1</v>
      </c>
      <c r="E224" s="73">
        <v>10.71</v>
      </c>
      <c r="F224" s="73">
        <v>10.17</v>
      </c>
      <c r="G224" s="39">
        <v>1240</v>
      </c>
      <c r="H224" s="39">
        <v>13300000</v>
      </c>
      <c r="I224" s="28">
        <v>1.25</v>
      </c>
      <c r="J224" s="85" t="s">
        <v>193</v>
      </c>
      <c r="K224" s="28"/>
      <c r="L224" s="39"/>
      <c r="M224" s="39"/>
      <c r="N224" s="39"/>
      <c r="O224" s="39"/>
      <c r="P224" s="76"/>
      <c r="Q224" s="76"/>
    </row>
    <row r="225" spans="1:17" x14ac:dyDescent="0.25">
      <c r="A225" s="65" t="s">
        <v>430</v>
      </c>
      <c r="B225" s="28" t="s">
        <v>368</v>
      </c>
      <c r="C225" s="72">
        <v>44494</v>
      </c>
      <c r="D225" s="28">
        <v>2</v>
      </c>
      <c r="E225" s="73">
        <v>10.73</v>
      </c>
      <c r="F225" s="73">
        <v>10.17</v>
      </c>
      <c r="G225" s="39">
        <v>5460</v>
      </c>
      <c r="H225" s="39">
        <v>9310000</v>
      </c>
      <c r="I225" s="28">
        <v>1</v>
      </c>
      <c r="J225" s="85" t="s">
        <v>193</v>
      </c>
      <c r="K225" s="28"/>
      <c r="L225" s="39"/>
      <c r="M225" s="39"/>
      <c r="N225" s="39"/>
      <c r="O225" s="39"/>
      <c r="P225" s="76"/>
      <c r="Q225" s="76"/>
    </row>
    <row r="226" spans="1:17" x14ac:dyDescent="0.25">
      <c r="A226" s="65" t="s">
        <v>434</v>
      </c>
      <c r="B226" s="28" t="s">
        <v>368</v>
      </c>
      <c r="C226" s="72">
        <v>44501</v>
      </c>
      <c r="D226" s="28">
        <v>3</v>
      </c>
      <c r="E226" s="73">
        <v>10.74</v>
      </c>
      <c r="F226" s="73">
        <v>10.17</v>
      </c>
      <c r="G226" s="39">
        <v>10100</v>
      </c>
      <c r="H226" s="39">
        <v>17300000</v>
      </c>
      <c r="I226" s="28">
        <v>1</v>
      </c>
      <c r="J226" s="85" t="s">
        <v>193</v>
      </c>
      <c r="K226" s="28"/>
      <c r="L226" s="39"/>
      <c r="M226" s="39"/>
      <c r="N226" s="39"/>
      <c r="O226" s="39"/>
      <c r="P226" s="76"/>
      <c r="Q226" s="76"/>
    </row>
    <row r="227" spans="1:17" x14ac:dyDescent="0.25">
      <c r="A227" s="65" t="s">
        <v>444</v>
      </c>
      <c r="B227" s="28" t="s">
        <v>368</v>
      </c>
      <c r="C227" s="72">
        <v>44502</v>
      </c>
      <c r="D227" s="28">
        <v>4</v>
      </c>
      <c r="E227" s="73">
        <v>11.51</v>
      </c>
      <c r="F227" s="73">
        <v>10.17</v>
      </c>
      <c r="G227" s="39">
        <v>6940</v>
      </c>
      <c r="H227" s="39">
        <v>20200000</v>
      </c>
      <c r="I227" s="28">
        <v>1</v>
      </c>
      <c r="J227" s="85" t="s">
        <v>195</v>
      </c>
      <c r="K227" s="54" t="s">
        <v>447</v>
      </c>
      <c r="L227" s="39">
        <f>(3)/(0.00001)*(0.00578)/10</f>
        <v>173.40000000000003</v>
      </c>
      <c r="M227" s="39">
        <f>(5+15)/SUM(0.000005, 0.000001)</f>
        <v>3333333.333333333</v>
      </c>
      <c r="N227" s="39">
        <f>(117)/(0.00001)*(0.00578)/10</f>
        <v>6762.6</v>
      </c>
      <c r="O227" s="39">
        <f>(84+17)/SUM(0.000005, 0.000001)</f>
        <v>16833333.333333332</v>
      </c>
      <c r="P227" s="76">
        <f t="shared" ref="P227" si="65">LN(M227/L227)/(I227*LN(2))</f>
        <v>14.230574075155907</v>
      </c>
      <c r="Q227" s="76">
        <f t="shared" ref="Q227" si="66">LN(O227/N227)/(I227*LN(2))</f>
        <v>11.281455244158092</v>
      </c>
    </row>
    <row r="228" spans="1:17" x14ac:dyDescent="0.25">
      <c r="A228" s="65" t="s">
        <v>450</v>
      </c>
      <c r="B228" s="28" t="s">
        <v>368</v>
      </c>
      <c r="C228" s="72">
        <v>44503</v>
      </c>
      <c r="D228" s="28">
        <v>5</v>
      </c>
      <c r="E228" s="73">
        <v>14.17</v>
      </c>
      <c r="F228" s="73">
        <v>10.17</v>
      </c>
      <c r="G228" s="39">
        <v>11100</v>
      </c>
      <c r="H228" s="39">
        <v>17500000</v>
      </c>
      <c r="I228" s="28">
        <v>0.75</v>
      </c>
      <c r="J228" s="85" t="s">
        <v>195</v>
      </c>
      <c r="K228" s="54" t="s">
        <v>470</v>
      </c>
      <c r="L228" s="39"/>
      <c r="M228" s="39"/>
      <c r="N228" s="39"/>
      <c r="O228" s="39"/>
      <c r="P228" s="76"/>
      <c r="Q228" s="76"/>
    </row>
    <row r="229" spans="1:17" x14ac:dyDescent="0.25">
      <c r="A229" s="65"/>
      <c r="B229" s="28"/>
      <c r="C229" s="72"/>
      <c r="D229" s="28"/>
      <c r="E229" s="73"/>
      <c r="F229" s="73"/>
      <c r="G229" s="39"/>
      <c r="H229" s="39"/>
      <c r="I229" s="28"/>
      <c r="J229" s="85"/>
      <c r="K229" s="28"/>
      <c r="L229" s="39"/>
      <c r="M229" s="39"/>
      <c r="N229" s="39"/>
      <c r="O229" s="39"/>
      <c r="P229" s="76"/>
      <c r="Q229" s="76"/>
    </row>
    <row r="230" spans="1:17" x14ac:dyDescent="0.25">
      <c r="A230" s="65" t="s">
        <v>386</v>
      </c>
      <c r="B230" s="28" t="s">
        <v>372</v>
      </c>
      <c r="C230" s="72">
        <v>44497</v>
      </c>
      <c r="D230" s="28">
        <v>1</v>
      </c>
      <c r="E230" s="73">
        <v>7.76</v>
      </c>
      <c r="F230" s="73">
        <v>5.6</v>
      </c>
      <c r="G230" s="39">
        <v>11900</v>
      </c>
      <c r="H230" s="39">
        <v>146000000</v>
      </c>
      <c r="I230" s="28">
        <v>1.75</v>
      </c>
      <c r="J230" s="85" t="s">
        <v>195</v>
      </c>
      <c r="K230" s="81" t="s">
        <v>433</v>
      </c>
      <c r="L230" s="39">
        <f>0</f>
        <v>0</v>
      </c>
      <c r="M230" s="39">
        <f>(20)/(0.000001)</f>
        <v>20000000</v>
      </c>
      <c r="N230" s="39">
        <f>11900</f>
        <v>11900</v>
      </c>
      <c r="O230" s="39">
        <f>(126)/(0.000001)</f>
        <v>126000000</v>
      </c>
      <c r="P230" s="76" t="e">
        <f t="shared" ref="P230" si="67">LN(M230/L230)/(I230*LN(2))</f>
        <v>#DIV/0!</v>
      </c>
      <c r="Q230" s="76">
        <f t="shared" ref="Q230" si="68">LN(O230/N230)/(I230*LN(2))</f>
        <v>7.6400997369950998</v>
      </c>
    </row>
    <row r="231" spans="1:17" x14ac:dyDescent="0.25">
      <c r="A231" s="65" t="s">
        <v>437</v>
      </c>
      <c r="B231" s="28" t="s">
        <v>372</v>
      </c>
      <c r="C231" s="72">
        <v>44501</v>
      </c>
      <c r="D231" s="28">
        <v>2</v>
      </c>
      <c r="E231" s="73" t="s">
        <v>212</v>
      </c>
      <c r="F231" s="73">
        <v>5.6</v>
      </c>
      <c r="G231" s="39">
        <v>8220</v>
      </c>
      <c r="H231" s="39" t="s">
        <v>212</v>
      </c>
      <c r="I231" s="28">
        <v>1.75</v>
      </c>
      <c r="J231" s="85" t="s">
        <v>195</v>
      </c>
      <c r="K231" s="54" t="s">
        <v>441</v>
      </c>
      <c r="L231" s="39"/>
      <c r="M231" s="39"/>
      <c r="N231" s="39"/>
      <c r="O231" s="39"/>
      <c r="P231" s="76"/>
      <c r="Q231" s="76"/>
    </row>
    <row r="232" spans="1:17" x14ac:dyDescent="0.25">
      <c r="A232" s="65" t="s">
        <v>466</v>
      </c>
      <c r="B232" s="28" t="s">
        <v>372</v>
      </c>
      <c r="C232" s="72">
        <v>44502</v>
      </c>
      <c r="D232" s="28">
        <v>2</v>
      </c>
      <c r="E232" s="73">
        <v>12.08</v>
      </c>
      <c r="F232" s="73">
        <v>5.6</v>
      </c>
      <c r="G232" s="39">
        <v>4110</v>
      </c>
      <c r="H232" s="39">
        <v>9530000000</v>
      </c>
      <c r="I232" s="28">
        <v>1.75</v>
      </c>
      <c r="J232" s="85" t="s">
        <v>195</v>
      </c>
      <c r="K232" s="9" t="s">
        <v>448</v>
      </c>
      <c r="L232" s="39"/>
      <c r="M232" s="39"/>
      <c r="N232" s="39"/>
      <c r="O232" s="39"/>
      <c r="P232" s="76" t="e">
        <f t="shared" ref="P232:P250" si="69">LN(M232/L232)/(I232*LN(2))</f>
        <v>#DIV/0!</v>
      </c>
      <c r="Q232" s="76" t="e">
        <f t="shared" ref="Q232:Q250" si="70">LN(O232/N232)/(I232*LN(2))</f>
        <v>#DIV/0!</v>
      </c>
    </row>
    <row r="233" spans="1:17" x14ac:dyDescent="0.25">
      <c r="A233" s="65" t="s">
        <v>454</v>
      </c>
      <c r="B233" s="28" t="s">
        <v>372</v>
      </c>
      <c r="C233" s="72">
        <v>44503</v>
      </c>
      <c r="D233" s="28">
        <v>3</v>
      </c>
      <c r="E233" s="73">
        <v>23.95</v>
      </c>
      <c r="F233" s="73">
        <v>5.6</v>
      </c>
      <c r="G233" s="39">
        <v>1680</v>
      </c>
      <c r="H233" s="39">
        <v>428000000</v>
      </c>
      <c r="I233" s="28">
        <v>0.75</v>
      </c>
      <c r="J233" s="85" t="s">
        <v>195</v>
      </c>
      <c r="K233" s="54" t="s">
        <v>456</v>
      </c>
      <c r="L233" s="39">
        <f>(10)/(0.00000001)*(0.0000105)/10</f>
        <v>1050</v>
      </c>
      <c r="M233" s="39">
        <f>(194)/(0.0000005)</f>
        <v>388000000</v>
      </c>
      <c r="N233" s="39">
        <f>(6)/(0.00000001)*(0.0000105)/10</f>
        <v>630</v>
      </c>
      <c r="O233" s="39">
        <f>(20)/(0.0000005)</f>
        <v>40000000</v>
      </c>
      <c r="P233" s="76">
        <f t="shared" si="69"/>
        <v>24.660410398610423</v>
      </c>
      <c r="Q233" s="76">
        <f t="shared" si="70"/>
        <v>21.272384861099013</v>
      </c>
    </row>
    <row r="234" spans="1:17" x14ac:dyDescent="0.25">
      <c r="A234" s="65" t="s">
        <v>471</v>
      </c>
      <c r="B234" s="28" t="s">
        <v>372</v>
      </c>
      <c r="C234" s="72">
        <v>44504</v>
      </c>
      <c r="D234" s="28">
        <v>3</v>
      </c>
      <c r="E234" s="73">
        <v>20.67</v>
      </c>
      <c r="F234" s="73">
        <v>5.6</v>
      </c>
      <c r="G234" s="39">
        <v>8230</v>
      </c>
      <c r="H234" s="39">
        <v>382000000</v>
      </c>
      <c r="I234" s="28">
        <v>0.75</v>
      </c>
      <c r="J234" s="85" t="s">
        <v>195</v>
      </c>
      <c r="K234" s="54" t="s">
        <v>456</v>
      </c>
      <c r="L234" s="39">
        <f>(361)/(0.00000005)*(0.0000105)/10</f>
        <v>7581</v>
      </c>
      <c r="M234" s="39">
        <f>(177)/(0.0000005)</f>
        <v>354000000</v>
      </c>
      <c r="N234" s="39">
        <f>(31)/(0.00000005)*(0.0000105)/10</f>
        <v>651</v>
      </c>
      <c r="O234" s="39">
        <f>(14)/(0.0000005)</f>
        <v>28000000</v>
      </c>
      <c r="P234" s="76">
        <f t="shared" ref="P234" si="71">LN(M234/L234)/(I234*LN(2))</f>
        <v>20.681335559654986</v>
      </c>
      <c r="Q234" s="76">
        <f t="shared" ref="Q234" si="72">LN(O234/N234)/(I234*LN(2))</f>
        <v>20.523213010954859</v>
      </c>
    </row>
    <row r="235" spans="1:17" x14ac:dyDescent="0.25">
      <c r="A235" s="65" t="s">
        <v>457</v>
      </c>
      <c r="B235" s="28" t="s">
        <v>372</v>
      </c>
      <c r="C235" s="72">
        <v>44504</v>
      </c>
      <c r="D235" s="28">
        <v>4</v>
      </c>
      <c r="E235" s="73">
        <v>19.43</v>
      </c>
      <c r="F235" s="73">
        <v>5.6</v>
      </c>
      <c r="G235" s="39">
        <v>8940</v>
      </c>
      <c r="H235" s="39">
        <v>74000000</v>
      </c>
      <c r="I235" s="28">
        <v>0.67</v>
      </c>
      <c r="J235" s="85" t="s">
        <v>195</v>
      </c>
      <c r="K235" s="54" t="s">
        <v>460</v>
      </c>
      <c r="L235" s="39">
        <f>(177)/(0.0000005)*(0.000234)/10</f>
        <v>8283.6</v>
      </c>
      <c r="M235" s="39">
        <f>(33+9+4)/SUM(0.0000005, 0.0000001, 0.00000005)</f>
        <v>70769230.769230783</v>
      </c>
      <c r="N235" s="39">
        <f>(14)/(0.0000005)*(0.000234)/10</f>
        <v>655.20000000000005</v>
      </c>
      <c r="O235" s="39">
        <f>(4+1)/SUM(0.0000005, 0.0000001)</f>
        <v>8333333.333333334</v>
      </c>
      <c r="P235" s="76">
        <f t="shared" si="69"/>
        <v>19.493398100520025</v>
      </c>
      <c r="Q235" s="76">
        <f t="shared" si="70"/>
        <v>20.3502547934688</v>
      </c>
    </row>
    <row r="236" spans="1:17" x14ac:dyDescent="0.25">
      <c r="A236" s="65" t="s">
        <v>464</v>
      </c>
      <c r="B236" s="28" t="s">
        <v>372</v>
      </c>
      <c r="C236" s="72">
        <v>44505</v>
      </c>
      <c r="D236" s="28">
        <v>5</v>
      </c>
      <c r="E236" s="73">
        <v>18.68</v>
      </c>
      <c r="F236" s="73">
        <v>5.6</v>
      </c>
      <c r="G236" s="39">
        <v>14300</v>
      </c>
      <c r="H236" s="39">
        <v>84000000</v>
      </c>
      <c r="I236" s="28">
        <v>0.67</v>
      </c>
      <c r="J236" s="85" t="s">
        <v>195</v>
      </c>
      <c r="K236" s="54" t="s">
        <v>455</v>
      </c>
      <c r="L236" s="39">
        <f>(98)/(0.000001)*(0.00135)/10</f>
        <v>13230</v>
      </c>
      <c r="M236" s="39">
        <f>(82+33)/SUM(0.000001, 0.0000005)</f>
        <v>76666666.666666672</v>
      </c>
      <c r="N236" s="39">
        <f>(8)/(0.000001)*(0.00135)/10</f>
        <v>1080</v>
      </c>
      <c r="O236" s="39">
        <f>(9+2)/SUM(0.000001, 0.0000005)</f>
        <v>7333333.333333333</v>
      </c>
      <c r="P236" s="76">
        <f t="shared" si="69"/>
        <v>18.657568176688585</v>
      </c>
      <c r="Q236" s="76">
        <f t="shared" si="70"/>
        <v>18.998838940581319</v>
      </c>
    </row>
    <row r="237" spans="1:17" x14ac:dyDescent="0.25">
      <c r="A237" s="65"/>
      <c r="B237" s="28"/>
      <c r="C237" s="72"/>
      <c r="D237" s="28"/>
      <c r="E237" s="73"/>
      <c r="F237" s="73"/>
      <c r="G237" s="39"/>
      <c r="H237" s="39"/>
      <c r="I237" s="28"/>
      <c r="J237" s="85"/>
      <c r="K237" s="28"/>
      <c r="L237" s="39"/>
      <c r="M237" s="39"/>
      <c r="N237" s="39"/>
      <c r="O237" s="39"/>
      <c r="P237" s="76"/>
      <c r="Q237" s="76"/>
    </row>
    <row r="238" spans="1:17" x14ac:dyDescent="0.25">
      <c r="A238" s="65" t="s">
        <v>385</v>
      </c>
      <c r="B238" s="28" t="s">
        <v>370</v>
      </c>
      <c r="C238" s="72">
        <v>44497</v>
      </c>
      <c r="D238" s="28">
        <v>1</v>
      </c>
      <c r="E238" s="73">
        <v>7.9</v>
      </c>
      <c r="F238" s="73">
        <v>6.12</v>
      </c>
      <c r="G238" s="39">
        <v>12100</v>
      </c>
      <c r="H238" s="39">
        <v>175000000</v>
      </c>
      <c r="I238" s="28">
        <v>1.75</v>
      </c>
      <c r="J238" s="85" t="s">
        <v>193</v>
      </c>
      <c r="K238" s="28"/>
      <c r="L238" s="39"/>
      <c r="M238" s="39"/>
      <c r="N238" s="39"/>
      <c r="O238" s="39"/>
      <c r="P238" s="76"/>
      <c r="Q238" s="76"/>
    </row>
    <row r="239" spans="1:17" x14ac:dyDescent="0.25">
      <c r="A239" s="65" t="s">
        <v>438</v>
      </c>
      <c r="B239" s="28" t="s">
        <v>370</v>
      </c>
      <c r="C239" s="72">
        <v>44501</v>
      </c>
      <c r="D239" s="28">
        <v>2</v>
      </c>
      <c r="E239" s="73">
        <v>7.09</v>
      </c>
      <c r="F239" s="73">
        <v>6.12</v>
      </c>
      <c r="G239" s="39">
        <v>7880</v>
      </c>
      <c r="H239" s="39">
        <v>3680000</v>
      </c>
      <c r="I239" s="28">
        <v>1.25</v>
      </c>
      <c r="J239" s="85" t="s">
        <v>193</v>
      </c>
      <c r="K239" s="28"/>
      <c r="L239" s="39"/>
      <c r="M239" s="39"/>
      <c r="N239" s="39"/>
      <c r="O239" s="39"/>
      <c r="P239" s="76"/>
      <c r="Q239" s="76"/>
    </row>
    <row r="240" spans="1:17" x14ac:dyDescent="0.25">
      <c r="A240" s="65" t="s">
        <v>445</v>
      </c>
      <c r="B240" s="28" t="s">
        <v>370</v>
      </c>
      <c r="C240" s="72">
        <v>44502</v>
      </c>
      <c r="D240" s="28">
        <v>3</v>
      </c>
      <c r="E240" s="73">
        <v>9.5</v>
      </c>
      <c r="F240" s="73">
        <v>6.12</v>
      </c>
      <c r="G240" s="39">
        <v>6090</v>
      </c>
      <c r="H240" s="39">
        <v>119000000</v>
      </c>
      <c r="I240" s="28">
        <v>1.5</v>
      </c>
      <c r="J240" s="85" t="s">
        <v>193</v>
      </c>
      <c r="K240" s="28"/>
      <c r="L240" s="39"/>
      <c r="M240" s="39"/>
      <c r="N240" s="39"/>
      <c r="O240" s="39"/>
      <c r="P240" s="76"/>
      <c r="Q240" s="76"/>
    </row>
    <row r="241" spans="1:17" x14ac:dyDescent="0.25">
      <c r="A241" s="65" t="s">
        <v>451</v>
      </c>
      <c r="B241" s="28" t="s">
        <v>370</v>
      </c>
      <c r="C241" s="72">
        <v>44503</v>
      </c>
      <c r="D241" s="28">
        <v>4</v>
      </c>
      <c r="E241" s="73">
        <v>11.61</v>
      </c>
      <c r="F241" s="73">
        <v>6.12</v>
      </c>
      <c r="G241" s="39">
        <v>8400</v>
      </c>
      <c r="H241" s="39">
        <v>26300000</v>
      </c>
      <c r="I241" s="28">
        <v>1</v>
      </c>
      <c r="J241" s="85" t="s">
        <v>195</v>
      </c>
      <c r="K241" s="54" t="s">
        <v>455</v>
      </c>
      <c r="L241" s="39">
        <f>(36)/(0.000001)*(0.00084)/10</f>
        <v>3024</v>
      </c>
      <c r="M241" s="39">
        <f>(98+30)/SUM(0.000005, 0.000001)</f>
        <v>21333333.333333332</v>
      </c>
      <c r="N241" s="39">
        <f>(64)/(0.000001)*(0.00084)/10</f>
        <v>5376</v>
      </c>
      <c r="O241" s="39">
        <f>(22+8)/SUM(0.000005, 0.000001)</f>
        <v>5000000</v>
      </c>
      <c r="P241" s="76">
        <f t="shared" si="69"/>
        <v>12.784363644381946</v>
      </c>
      <c r="Q241" s="76">
        <f t="shared" si="70"/>
        <v>9.8611792414327777</v>
      </c>
    </row>
    <row r="242" spans="1:17" x14ac:dyDescent="0.25">
      <c r="A242" s="88" t="s">
        <v>458</v>
      </c>
      <c r="B242" s="89" t="s">
        <v>370</v>
      </c>
      <c r="C242" s="90">
        <v>44504</v>
      </c>
      <c r="D242" s="89">
        <v>5</v>
      </c>
      <c r="E242" s="91">
        <v>10.88</v>
      </c>
      <c r="F242" s="91">
        <v>6.12</v>
      </c>
      <c r="G242" s="92">
        <v>7830</v>
      </c>
      <c r="H242" s="92">
        <v>2240000</v>
      </c>
      <c r="I242" s="89">
        <v>0.75</v>
      </c>
      <c r="J242" s="93" t="s">
        <v>195</v>
      </c>
      <c r="K242" s="54" t="s">
        <v>460</v>
      </c>
      <c r="L242" s="92">
        <f>(66)/(0.000005)*(0.0038)/10</f>
        <v>5015.9999999999991</v>
      </c>
      <c r="M242" s="92">
        <f>(68+26+7+2)/SUM(0.00005, 0.00001, 0.000005, 0.000001)</f>
        <v>1560606.0606060605</v>
      </c>
      <c r="N242" s="92">
        <f>(37)/(0.000005)*(0.0038)/10</f>
        <v>2811.9999999999995</v>
      </c>
      <c r="O242" s="92">
        <f>(36+7+2)/SUM(0.00005, 0.00001, 0.000005)</f>
        <v>692307.69230769225</v>
      </c>
      <c r="P242" s="76">
        <f t="shared" si="69"/>
        <v>11.041804459129201</v>
      </c>
      <c r="Q242" s="76">
        <f t="shared" si="70"/>
        <v>10.591563964737146</v>
      </c>
    </row>
    <row r="243" spans="1:17" x14ac:dyDescent="0.25">
      <c r="A243" s="65"/>
      <c r="B243" s="28"/>
      <c r="C243" s="72"/>
      <c r="D243" s="28"/>
      <c r="E243" s="73"/>
      <c r="F243" s="73"/>
      <c r="G243" s="39"/>
      <c r="H243" s="39"/>
      <c r="I243" s="28"/>
      <c r="J243" s="85"/>
      <c r="K243" s="28"/>
      <c r="L243" s="39"/>
      <c r="M243" s="39"/>
      <c r="N243" s="39"/>
      <c r="O243" s="39"/>
      <c r="P243" s="76"/>
      <c r="Q243" s="76"/>
    </row>
    <row r="244" spans="1:17" x14ac:dyDescent="0.25">
      <c r="A244" s="65" t="s">
        <v>407</v>
      </c>
      <c r="B244" s="28" t="s">
        <v>46</v>
      </c>
      <c r="C244" s="72">
        <v>44501</v>
      </c>
      <c r="D244" s="28">
        <v>1</v>
      </c>
      <c r="E244" s="73">
        <v>2.35</v>
      </c>
      <c r="F244" s="73">
        <v>2.04</v>
      </c>
      <c r="G244" s="39">
        <v>6950</v>
      </c>
      <c r="H244" s="39">
        <v>120000000</v>
      </c>
      <c r="I244" s="28">
        <v>6</v>
      </c>
      <c r="J244" s="85" t="s">
        <v>193</v>
      </c>
      <c r="K244" s="28"/>
      <c r="L244" s="39"/>
      <c r="M244" s="39"/>
      <c r="N244" s="39"/>
      <c r="O244" s="39"/>
      <c r="P244" s="76"/>
      <c r="Q244" s="76"/>
    </row>
    <row r="245" spans="1:17" x14ac:dyDescent="0.25">
      <c r="A245" s="65" t="s">
        <v>469</v>
      </c>
      <c r="B245" s="28" t="s">
        <v>46</v>
      </c>
      <c r="C245" s="72">
        <v>44502</v>
      </c>
      <c r="D245" s="28">
        <v>1</v>
      </c>
      <c r="E245" s="73">
        <v>2.4300000000000002</v>
      </c>
      <c r="F245" s="73">
        <v>2.04</v>
      </c>
      <c r="G245" s="39">
        <v>5110</v>
      </c>
      <c r="H245" s="39">
        <v>124000000</v>
      </c>
      <c r="I245" s="28">
        <v>6</v>
      </c>
      <c r="J245" s="85" t="s">
        <v>193</v>
      </c>
      <c r="K245" s="28"/>
      <c r="L245" s="39"/>
      <c r="M245" s="39"/>
      <c r="N245" s="39"/>
      <c r="O245" s="39"/>
      <c r="P245" s="76"/>
      <c r="Q245" s="76"/>
    </row>
    <row r="246" spans="1:17" x14ac:dyDescent="0.25">
      <c r="A246" s="65" t="s">
        <v>446</v>
      </c>
      <c r="B246" s="28" t="s">
        <v>46</v>
      </c>
      <c r="C246" s="72">
        <v>44502</v>
      </c>
      <c r="D246" s="28">
        <v>2</v>
      </c>
      <c r="E246" s="73">
        <v>4.09</v>
      </c>
      <c r="F246" s="73">
        <v>2.04</v>
      </c>
      <c r="G246" s="39">
        <v>10300</v>
      </c>
      <c r="H246" s="39">
        <v>1780000000</v>
      </c>
      <c r="I246" s="28">
        <v>4.25</v>
      </c>
      <c r="J246" s="85" t="s">
        <v>195</v>
      </c>
      <c r="K246" s="81" t="s">
        <v>433</v>
      </c>
      <c r="L246" s="39">
        <v>0</v>
      </c>
      <c r="M246" s="39">
        <f>(15+2)/SUM(0.00000005, 0.000000005)</f>
        <v>309090909.09090912</v>
      </c>
      <c r="N246" s="39">
        <f>(124)/(0.000001)*(0.000833)/10</f>
        <v>10329.200000000001</v>
      </c>
      <c r="O246" s="39">
        <f>(74+7)/SUM(0.00000005, 0.000000005)</f>
        <v>1472727272.7272727</v>
      </c>
      <c r="P246" s="76" t="e">
        <f t="shared" si="69"/>
        <v>#DIV/0!</v>
      </c>
      <c r="Q246" s="76">
        <f t="shared" si="70"/>
        <v>4.0285652335249802</v>
      </c>
    </row>
    <row r="247" spans="1:17" x14ac:dyDescent="0.25">
      <c r="A247" s="65" t="s">
        <v>452</v>
      </c>
      <c r="B247" s="28" t="s">
        <v>46</v>
      </c>
      <c r="C247" s="72">
        <v>44503</v>
      </c>
      <c r="D247" s="28">
        <v>3</v>
      </c>
      <c r="E247" s="73">
        <v>6.47</v>
      </c>
      <c r="F247" s="73">
        <v>2.04</v>
      </c>
      <c r="G247" s="39">
        <v>8320</v>
      </c>
      <c r="H247" s="39">
        <v>620000000</v>
      </c>
      <c r="I247" s="28">
        <v>2.5</v>
      </c>
      <c r="J247" s="85" t="s">
        <v>195</v>
      </c>
      <c r="K247" s="81" t="s">
        <v>456</v>
      </c>
      <c r="L247" s="39">
        <f>(11)/(0.00000005)*(0.0000562)/10</f>
        <v>1236.4000000000001</v>
      </c>
      <c r="M247" s="39">
        <f>(29)/(0.00000005)</f>
        <v>580000000</v>
      </c>
      <c r="N247" s="39">
        <f>(63)/(0.00000005)*(0.0000562)/10</f>
        <v>7081.2</v>
      </c>
      <c r="O247" s="39">
        <f>(2)/(0.00000005)</f>
        <v>40000000</v>
      </c>
      <c r="P247" s="76">
        <f t="shared" si="69"/>
        <v>7.5358191261472998</v>
      </c>
      <c r="Q247" s="76">
        <f t="shared" si="70"/>
        <v>4.985487406151222</v>
      </c>
    </row>
    <row r="248" spans="1:17" x14ac:dyDescent="0.25">
      <c r="A248" s="65" t="s">
        <v>459</v>
      </c>
      <c r="B248" s="28" t="s">
        <v>46</v>
      </c>
      <c r="C248" s="72">
        <v>44504</v>
      </c>
      <c r="D248" s="28">
        <v>4</v>
      </c>
      <c r="E248" s="73">
        <v>7.3</v>
      </c>
      <c r="F248" s="73">
        <v>2.04</v>
      </c>
      <c r="G248" s="39">
        <v>5310</v>
      </c>
      <c r="H248" s="39">
        <v>10500000</v>
      </c>
      <c r="I248" s="28">
        <v>1.5</v>
      </c>
      <c r="J248" s="85" t="s">
        <v>195</v>
      </c>
      <c r="K248" s="80" t="s">
        <v>461</v>
      </c>
      <c r="L248" s="39">
        <f>(33)/(0.0000001)*(0.000161)/10</f>
        <v>5313</v>
      </c>
      <c r="M248" s="39">
        <f>(107+48+13+5)/SUM(0.00001, 0.000005, 0.000001, 0.0000005)</f>
        <v>10484848.484848484</v>
      </c>
      <c r="N248" s="39">
        <v>0</v>
      </c>
      <c r="O248" s="39">
        <v>0</v>
      </c>
      <c r="P248" s="76">
        <f t="shared" si="69"/>
        <v>7.29766112008625</v>
      </c>
      <c r="Q248" s="76" t="e">
        <f t="shared" si="70"/>
        <v>#DIV/0!</v>
      </c>
    </row>
    <row r="249" spans="1:17" x14ac:dyDescent="0.25">
      <c r="A249" s="65" t="s">
        <v>467</v>
      </c>
      <c r="B249" s="28" t="s">
        <v>46</v>
      </c>
      <c r="C249" s="72">
        <v>44505</v>
      </c>
      <c r="D249" s="28">
        <v>4</v>
      </c>
      <c r="E249" s="73">
        <v>7.28</v>
      </c>
      <c r="F249" s="73">
        <v>2.04</v>
      </c>
      <c r="G249" s="39">
        <v>9700</v>
      </c>
      <c r="H249" s="39">
        <v>18800000</v>
      </c>
      <c r="I249" s="28">
        <v>1.5</v>
      </c>
      <c r="J249" s="85" t="s">
        <v>195</v>
      </c>
      <c r="K249" s="80" t="s">
        <v>468</v>
      </c>
      <c r="L249" s="39">
        <f>(303)/(0.0000005)*(0.00016)/10</f>
        <v>9696.0000000000018</v>
      </c>
      <c r="M249" s="39">
        <f>(94)/(0.000005)</f>
        <v>18800000</v>
      </c>
      <c r="N249" s="39"/>
      <c r="O249" s="39"/>
      <c r="P249" s="76">
        <f t="shared" si="69"/>
        <v>7.2807035617609994</v>
      </c>
      <c r="Q249" s="76" t="e">
        <f t="shared" si="70"/>
        <v>#DIV/0!</v>
      </c>
    </row>
    <row r="250" spans="1:17" x14ac:dyDescent="0.25">
      <c r="A250" s="65" t="s">
        <v>463</v>
      </c>
      <c r="B250" s="28" t="s">
        <v>46</v>
      </c>
      <c r="C250" s="72">
        <v>44505</v>
      </c>
      <c r="D250" s="28">
        <v>5</v>
      </c>
      <c r="E250" s="73">
        <v>7.2</v>
      </c>
      <c r="F250" s="73">
        <v>2.04</v>
      </c>
      <c r="G250" s="39">
        <v>17900</v>
      </c>
      <c r="H250" s="39">
        <v>9150000</v>
      </c>
      <c r="I250" s="28">
        <v>1.25</v>
      </c>
      <c r="J250" s="85" t="s">
        <v>195</v>
      </c>
      <c r="K250" s="28" t="s">
        <v>468</v>
      </c>
      <c r="L250" s="39">
        <f>(94)/(0.000005)*(0.00952)/10</f>
        <v>17897.599999999999</v>
      </c>
      <c r="M250" s="39">
        <f>(97+43+7+4)/SUM(0.00001, 0.000005, 0.000001, 0.0000005)</f>
        <v>9151515.1515151504</v>
      </c>
      <c r="N250" s="39"/>
      <c r="O250" s="39"/>
      <c r="P250" s="76">
        <f t="shared" si="69"/>
        <v>7.1984805353540642</v>
      </c>
      <c r="Q250" s="76" t="e">
        <f t="shared" si="70"/>
        <v>#DIV/0!</v>
      </c>
    </row>
  </sheetData>
  <mergeCells count="2">
    <mergeCell ref="K31:K35"/>
    <mergeCell ref="K28:K29"/>
  </mergeCells>
  <phoneticPr fontId="3" type="noConversion"/>
  <pageMargins left="0.7" right="0.7" top="0.75" bottom="0.75" header="0.3" footer="0.3"/>
  <pageSetup scale="3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titers- orig.fitness</vt:lpstr>
      <vt:lpstr>Passaging Prep</vt:lpstr>
      <vt:lpstr>Passaging Data</vt:lpstr>
      <vt:lpstr>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Scott, Luann (lscott@uidaho.edu)</dc:creator>
  <cp:keywords/>
  <dc:description/>
  <cp:lastModifiedBy>Altman, Emma (ealtman@uidaho.edu)</cp:lastModifiedBy>
  <cp:revision/>
  <cp:lastPrinted>2021-11-09T00:19:56Z</cp:lastPrinted>
  <dcterms:created xsi:type="dcterms:W3CDTF">2021-05-10T20:00:26Z</dcterms:created>
  <dcterms:modified xsi:type="dcterms:W3CDTF">2021-11-09T00:20:01Z</dcterms:modified>
  <cp:category/>
  <cp:contentStatus/>
</cp:coreProperties>
</file>