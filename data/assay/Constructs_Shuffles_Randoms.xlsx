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ltman\Dropbox\R01 phage research\Data\Emma\"/>
    </mc:Choice>
  </mc:AlternateContent>
  <xr:revisionPtr revIDLastSave="0" documentId="13_ncr:1_{5C71445C-AF11-406B-B3E4-AF01752193EF}" xr6:coauthVersionLast="45" xr6:coauthVersionMax="45" xr10:uidLastSave="{00000000-0000-0000-0000-000000000000}"/>
  <bookViews>
    <workbookView xWindow="-120" yWindow="-120" windowWidth="20730" windowHeight="11160" activeTab="4" xr2:uid="{8CDAD7E9-20E9-4A78-A5BC-552E8A1FD9F6}"/>
    <workbookView xWindow="0" yWindow="600" windowWidth="20490" windowHeight="10920" firstSheet="3" activeTab="3" xr2:uid="{B51E2BF0-F0A6-4567-A090-4E62B16536C4}"/>
  </bookViews>
  <sheets>
    <sheet name="Titers" sheetId="3" r:id="rId1"/>
    <sheet name="Construction Summary" sheetId="1" r:id="rId2"/>
    <sheet name="Observed Mutations" sheetId="2" r:id="rId3"/>
    <sheet name="Fitness Assays" sheetId="4" r:id="rId4"/>
    <sheet name="Summary" sheetId="5" r:id="rId5"/>
  </sheets>
  <definedNames>
    <definedName name="_xlnm._FilterDatabase" localSheetId="0" hidden="1">Titers!$E$1:$E$21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2" i="4" l="1"/>
  <c r="K292" i="4"/>
  <c r="J68" i="3"/>
  <c r="K68" i="3" s="1"/>
  <c r="K90" i="3"/>
  <c r="J90" i="3"/>
  <c r="AE292" i="4" l="1"/>
  <c r="J291" i="4" l="1"/>
  <c r="J289" i="4"/>
  <c r="J287" i="4"/>
  <c r="J290" i="4"/>
  <c r="J288" i="4"/>
  <c r="J286" i="4"/>
  <c r="K291" i="4"/>
  <c r="K290" i="4"/>
  <c r="AE290" i="4" s="1"/>
  <c r="K289" i="4"/>
  <c r="K288" i="4"/>
  <c r="K287" i="4"/>
  <c r="AE286" i="4"/>
  <c r="K286" i="4"/>
  <c r="K111" i="3"/>
  <c r="J111" i="3"/>
  <c r="AE291" i="4" l="1"/>
  <c r="AE287" i="4"/>
  <c r="AE289" i="4"/>
  <c r="AE288" i="4"/>
  <c r="J46" i="3"/>
  <c r="K46" i="3" s="1"/>
  <c r="X91" i="5"/>
  <c r="W91" i="5"/>
  <c r="X88" i="5"/>
  <c r="W88" i="5"/>
  <c r="X87" i="5"/>
  <c r="W87" i="5"/>
  <c r="AD284" i="4"/>
  <c r="AD283" i="4"/>
  <c r="AD282" i="4"/>
  <c r="AD281" i="4"/>
  <c r="AD280" i="4"/>
  <c r="AD279" i="4"/>
  <c r="AD278" i="4"/>
  <c r="J284" i="4"/>
  <c r="J283" i="4"/>
  <c r="J279" i="4"/>
  <c r="J280" i="4"/>
  <c r="J281" i="4"/>
  <c r="J278" i="4"/>
  <c r="J282" i="4" l="1"/>
  <c r="K284" i="4"/>
  <c r="K283" i="4"/>
  <c r="K282" i="4"/>
  <c r="AE282" i="4" s="1"/>
  <c r="K281" i="4"/>
  <c r="AE281" i="4" s="1"/>
  <c r="K280" i="4"/>
  <c r="AE280" i="4" s="1"/>
  <c r="K279" i="4"/>
  <c r="AE279" i="4" s="1"/>
  <c r="K278" i="4"/>
  <c r="AE278" i="4" s="1"/>
  <c r="AE283" i="4" l="1"/>
  <c r="AE284" i="4"/>
  <c r="X86" i="5"/>
  <c r="W86" i="5"/>
  <c r="X82" i="5"/>
  <c r="W82" i="5"/>
  <c r="X81" i="5"/>
  <c r="W81" i="5"/>
  <c r="X80" i="5"/>
  <c r="W80" i="5"/>
  <c r="X68" i="5"/>
  <c r="W68" i="5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D264" i="4"/>
  <c r="AD263" i="4"/>
  <c r="J276" i="4" l="1"/>
  <c r="F282" i="4" s="1"/>
  <c r="F289" i="4" s="1"/>
  <c r="J272" i="4"/>
  <c r="J264" i="4"/>
  <c r="J265" i="4"/>
  <c r="J266" i="4"/>
  <c r="J267" i="4"/>
  <c r="J268" i="4"/>
  <c r="J269" i="4"/>
  <c r="J270" i="4"/>
  <c r="J271" i="4"/>
  <c r="J273" i="4"/>
  <c r="J274" i="4"/>
  <c r="J275" i="4"/>
  <c r="J263" i="4"/>
  <c r="K276" i="4"/>
  <c r="AE276" i="4" s="1"/>
  <c r="K275" i="4"/>
  <c r="AE275" i="4" s="1"/>
  <c r="K274" i="4"/>
  <c r="K273" i="4"/>
  <c r="AE273" i="4" s="1"/>
  <c r="K272" i="4"/>
  <c r="AE272" i="4" s="1"/>
  <c r="K271" i="4"/>
  <c r="K270" i="4"/>
  <c r="K269" i="4"/>
  <c r="K268" i="4"/>
  <c r="K267" i="4"/>
  <c r="AE267" i="4" s="1"/>
  <c r="K266" i="4"/>
  <c r="AE266" i="4" s="1"/>
  <c r="K265" i="4"/>
  <c r="K264" i="4"/>
  <c r="AE264" i="4" s="1"/>
  <c r="K263" i="4"/>
  <c r="AE263" i="4" s="1"/>
  <c r="AE268" i="4" l="1"/>
  <c r="AE270" i="4"/>
  <c r="AE274" i="4"/>
  <c r="AE265" i="4"/>
  <c r="AE269" i="4"/>
  <c r="AE271" i="4"/>
  <c r="X54" i="5"/>
  <c r="W54" i="5"/>
  <c r="AD261" i="4"/>
  <c r="AD258" i="4"/>
  <c r="AD256" i="4"/>
  <c r="AD255" i="4"/>
  <c r="AD254" i="4"/>
  <c r="AD253" i="4"/>
  <c r="AD252" i="4"/>
  <c r="AD251" i="4"/>
  <c r="AD250" i="4"/>
  <c r="AD249" i="4"/>
  <c r="AD248" i="4"/>
  <c r="AD247" i="4"/>
  <c r="J252" i="4" l="1"/>
  <c r="J260" i="4" l="1"/>
  <c r="J261" i="4"/>
  <c r="F264" i="4" s="1"/>
  <c r="F283" i="4" s="1"/>
  <c r="J259" i="4"/>
  <c r="F273" i="4" s="1"/>
  <c r="F279" i="4" s="1"/>
  <c r="J258" i="4"/>
  <c r="F265" i="4" s="1"/>
  <c r="F284" i="4" s="1"/>
  <c r="J257" i="4"/>
  <c r="F269" i="4" s="1"/>
  <c r="F278" i="4" s="1"/>
  <c r="F290" i="4" s="1"/>
  <c r="J256" i="4"/>
  <c r="J255" i="4"/>
  <c r="J254" i="4"/>
  <c r="F263" i="4" s="1"/>
  <c r="F281" i="4" s="1"/>
  <c r="F288" i="4" s="1"/>
  <c r="J253" i="4"/>
  <c r="J251" i="4"/>
  <c r="J250" i="4"/>
  <c r="J249" i="4"/>
  <c r="J248" i="4"/>
  <c r="J247" i="4"/>
  <c r="F271" i="4" s="1"/>
  <c r="X4" i="5"/>
  <c r="W4" i="5"/>
  <c r="K261" i="4"/>
  <c r="K260" i="4"/>
  <c r="K259" i="4"/>
  <c r="AE259" i="4" s="1"/>
  <c r="K258" i="4"/>
  <c r="AE258" i="4" s="1"/>
  <c r="K257" i="4"/>
  <c r="AE257" i="4" s="1"/>
  <c r="K256" i="4"/>
  <c r="AE256" i="4" s="1"/>
  <c r="K255" i="4"/>
  <c r="K254" i="4"/>
  <c r="AE254" i="4" s="1"/>
  <c r="K253" i="4"/>
  <c r="AE253" i="4" s="1"/>
  <c r="K252" i="4"/>
  <c r="AE252" i="4" s="1"/>
  <c r="K251" i="4"/>
  <c r="AE251" i="4" s="1"/>
  <c r="K250" i="4"/>
  <c r="AE250" i="4" s="1"/>
  <c r="K249" i="4"/>
  <c r="AE249" i="4" s="1"/>
  <c r="K248" i="4"/>
  <c r="AE248" i="4" s="1"/>
  <c r="K247" i="4"/>
  <c r="AE247" i="4" s="1"/>
  <c r="J78" i="3"/>
  <c r="K78" i="3" s="1"/>
  <c r="J76" i="3"/>
  <c r="K76" i="3" s="1"/>
  <c r="J74" i="3"/>
  <c r="K74" i="3" s="1"/>
  <c r="J63" i="3"/>
  <c r="K63" i="3" s="1"/>
  <c r="X76" i="5"/>
  <c r="W76" i="5"/>
  <c r="X73" i="5"/>
  <c r="W73" i="5"/>
  <c r="X69" i="5"/>
  <c r="W69" i="5"/>
  <c r="X67" i="5"/>
  <c r="W67" i="5"/>
  <c r="X65" i="5"/>
  <c r="W65" i="5"/>
  <c r="X62" i="5"/>
  <c r="W62" i="5"/>
  <c r="X26" i="5"/>
  <c r="W26" i="5"/>
  <c r="AD245" i="4"/>
  <c r="AD244" i="4"/>
  <c r="AD243" i="4"/>
  <c r="AD242" i="4"/>
  <c r="AD241" i="4"/>
  <c r="AD240" i="4"/>
  <c r="AD239" i="4"/>
  <c r="AD238" i="4"/>
  <c r="AD237" i="4"/>
  <c r="AD235" i="4"/>
  <c r="AD234" i="4"/>
  <c r="AD233" i="4"/>
  <c r="AD231" i="4"/>
  <c r="AD230" i="4"/>
  <c r="AE261" i="4" l="1"/>
  <c r="AE255" i="4"/>
  <c r="AE260" i="4"/>
  <c r="J234" i="4"/>
  <c r="J231" i="4"/>
  <c r="J232" i="4"/>
  <c r="J233" i="4"/>
  <c r="J235" i="4"/>
  <c r="J236" i="4"/>
  <c r="J237" i="4"/>
  <c r="F249" i="4" s="1"/>
  <c r="F268" i="4" s="1"/>
  <c r="J238" i="4"/>
  <c r="J239" i="4"/>
  <c r="F251" i="4" s="1"/>
  <c r="F270" i="4" s="1"/>
  <c r="J240" i="4"/>
  <c r="J241" i="4"/>
  <c r="F248" i="4" s="1"/>
  <c r="F266" i="4" s="1"/>
  <c r="J242" i="4"/>
  <c r="F253" i="4" s="1"/>
  <c r="F275" i="4" s="1"/>
  <c r="J243" i="4"/>
  <c r="J244" i="4"/>
  <c r="J245" i="4"/>
  <c r="K245" i="4"/>
  <c r="K244" i="4"/>
  <c r="AE244" i="4" s="1"/>
  <c r="K243" i="4"/>
  <c r="AE243" i="4" s="1"/>
  <c r="K242" i="4"/>
  <c r="K241" i="4"/>
  <c r="K240" i="4"/>
  <c r="AE240" i="4" s="1"/>
  <c r="K239" i="4"/>
  <c r="AE239" i="4" s="1"/>
  <c r="K238" i="4"/>
  <c r="AE238" i="4" s="1"/>
  <c r="K237" i="4"/>
  <c r="AE237" i="4" s="1"/>
  <c r="K236" i="4"/>
  <c r="AE236" i="4" s="1"/>
  <c r="K235" i="4"/>
  <c r="K234" i="4"/>
  <c r="AE234" i="4" s="1"/>
  <c r="K233" i="4"/>
  <c r="AE233" i="4" s="1"/>
  <c r="K232" i="4"/>
  <c r="AE232" i="4" s="1"/>
  <c r="K231" i="4"/>
  <c r="AE231" i="4" s="1"/>
  <c r="K230" i="4"/>
  <c r="AE230" i="4" s="1"/>
  <c r="J230" i="4"/>
  <c r="AE235" i="4" l="1"/>
  <c r="AE242" i="4"/>
  <c r="AE241" i="4"/>
  <c r="AE245" i="4"/>
  <c r="AD228" i="4"/>
  <c r="AD227" i="4"/>
  <c r="AD226" i="4"/>
  <c r="AD225" i="4"/>
  <c r="AD224" i="4"/>
  <c r="AD223" i="4"/>
  <c r="AD221" i="4"/>
  <c r="AD220" i="4"/>
  <c r="AD219" i="4"/>
  <c r="AD218" i="4"/>
  <c r="J127" i="3"/>
  <c r="K127" i="3" s="1"/>
  <c r="J126" i="3"/>
  <c r="K126" i="3" s="1"/>
  <c r="J125" i="3"/>
  <c r="K125" i="3" s="1"/>
  <c r="J124" i="3"/>
  <c r="K124" i="3" s="1"/>
  <c r="J123" i="3"/>
  <c r="K123" i="3" s="1"/>
  <c r="J122" i="3"/>
  <c r="K122" i="3" s="1"/>
  <c r="J118" i="3"/>
  <c r="K118" i="3" s="1"/>
  <c r="J117" i="3"/>
  <c r="K117" i="3" s="1"/>
  <c r="J116" i="3"/>
  <c r="K116" i="3" s="1"/>
  <c r="J219" i="4" l="1"/>
  <c r="J227" i="4"/>
  <c r="K228" i="4"/>
  <c r="AE228" i="4" s="1"/>
  <c r="J228" i="4"/>
  <c r="K227" i="4"/>
  <c r="AE227" i="4" s="1"/>
  <c r="K226" i="4"/>
  <c r="J226" i="4"/>
  <c r="K225" i="4"/>
  <c r="AE225" i="4" s="1"/>
  <c r="J225" i="4"/>
  <c r="K224" i="4"/>
  <c r="J224" i="4"/>
  <c r="K223" i="4"/>
  <c r="J223" i="4"/>
  <c r="F243" i="4" s="1"/>
  <c r="F256" i="4" s="1"/>
  <c r="F267" i="4" s="1"/>
  <c r="K222" i="4"/>
  <c r="J222" i="4"/>
  <c r="K221" i="4"/>
  <c r="AE221" i="4" s="1"/>
  <c r="J221" i="4"/>
  <c r="K220" i="4"/>
  <c r="J220" i="4"/>
  <c r="K219" i="4"/>
  <c r="K218" i="4"/>
  <c r="J218" i="4"/>
  <c r="AE219" i="4" l="1"/>
  <c r="AE223" i="4"/>
  <c r="AE222" i="4"/>
  <c r="AE226" i="4"/>
  <c r="AE218" i="4"/>
  <c r="AE224" i="4"/>
  <c r="AE220" i="4"/>
  <c r="X64" i="5"/>
  <c r="W64" i="5"/>
  <c r="W61" i="5"/>
  <c r="X61" i="5"/>
  <c r="X60" i="5"/>
  <c r="X56" i="5"/>
  <c r="X55" i="5"/>
  <c r="W60" i="5"/>
  <c r="W56" i="5"/>
  <c r="W55" i="5"/>
  <c r="AD216" i="4"/>
  <c r="AD215" i="4"/>
  <c r="AD214" i="4"/>
  <c r="AD213" i="4"/>
  <c r="AD212" i="4"/>
  <c r="AD211" i="4"/>
  <c r="AD210" i="4"/>
  <c r="AD209" i="4"/>
  <c r="AD208" i="4"/>
  <c r="AD207" i="4"/>
  <c r="AD206" i="4"/>
  <c r="AD205" i="4"/>
  <c r="AD204" i="4"/>
  <c r="AD203" i="4"/>
  <c r="AD202" i="4"/>
  <c r="AD201" i="4"/>
  <c r="J210" i="4"/>
  <c r="AD199" i="4" l="1"/>
  <c r="AD198" i="4"/>
  <c r="AD196" i="4"/>
  <c r="AD195" i="4"/>
  <c r="AD194" i="4"/>
  <c r="AD193" i="4"/>
  <c r="AD192" i="4"/>
  <c r="AD191" i="4"/>
  <c r="AD190" i="4"/>
  <c r="AD189" i="4"/>
  <c r="AD188" i="4"/>
  <c r="AD187" i="4"/>
  <c r="AD186" i="4"/>
  <c r="AD185" i="4"/>
  <c r="AD184" i="4"/>
  <c r="J213" i="4" l="1"/>
  <c r="J190" i="4"/>
  <c r="J184" i="4"/>
  <c r="F213" i="4" s="1"/>
  <c r="J216" i="4"/>
  <c r="J215" i="4"/>
  <c r="J214" i="4"/>
  <c r="J212" i="4"/>
  <c r="J211" i="4"/>
  <c r="J209" i="4"/>
  <c r="J208" i="4"/>
  <c r="J207" i="4"/>
  <c r="J206" i="4"/>
  <c r="J205" i="4"/>
  <c r="J204" i="4"/>
  <c r="J203" i="4"/>
  <c r="J202" i="4"/>
  <c r="J197" i="4"/>
  <c r="J191" i="4"/>
  <c r="J187" i="4"/>
  <c r="K216" i="4"/>
  <c r="AE216" i="4" s="1"/>
  <c r="K215" i="4"/>
  <c r="AE215" i="4" s="1"/>
  <c r="K214" i="4"/>
  <c r="AE214" i="4" s="1"/>
  <c r="K213" i="4"/>
  <c r="AE213" i="4" s="1"/>
  <c r="K212" i="4"/>
  <c r="AE212" i="4" s="1"/>
  <c r="K211" i="4"/>
  <c r="AE211" i="4" s="1"/>
  <c r="K210" i="4"/>
  <c r="AE210" i="4" s="1"/>
  <c r="K209" i="4"/>
  <c r="AE209" i="4" s="1"/>
  <c r="K208" i="4"/>
  <c r="AE208" i="4" s="1"/>
  <c r="K207" i="4"/>
  <c r="AE207" i="4" s="1"/>
  <c r="K206" i="4"/>
  <c r="AE206" i="4" s="1"/>
  <c r="K205" i="4"/>
  <c r="AE205" i="4" s="1"/>
  <c r="K204" i="4"/>
  <c r="AE204" i="4" s="1"/>
  <c r="K203" i="4"/>
  <c r="AE203" i="4" s="1"/>
  <c r="K202" i="4"/>
  <c r="AE202" i="4" s="1"/>
  <c r="K201" i="4"/>
  <c r="AE201" i="4" s="1"/>
  <c r="J201" i="4"/>
  <c r="F219" i="4" l="1"/>
  <c r="F234" i="4" s="1"/>
  <c r="K199" i="4"/>
  <c r="J199" i="4"/>
  <c r="K198" i="4"/>
  <c r="AE198" i="4" s="1"/>
  <c r="J198" i="4"/>
  <c r="F209" i="4" s="1"/>
  <c r="F227" i="4" s="1"/>
  <c r="F238" i="4" s="1"/>
  <c r="K197" i="4"/>
  <c r="K196" i="4"/>
  <c r="J196" i="4"/>
  <c r="K195" i="4"/>
  <c r="J195" i="4"/>
  <c r="K194" i="4"/>
  <c r="AE194" i="4" s="1"/>
  <c r="J194" i="4"/>
  <c r="K193" i="4"/>
  <c r="AE193" i="4" s="1"/>
  <c r="J193" i="4"/>
  <c r="K192" i="4"/>
  <c r="J192" i="4"/>
  <c r="F208" i="4" s="1"/>
  <c r="F225" i="4" s="1"/>
  <c r="F240" i="4" s="1"/>
  <c r="K191" i="4"/>
  <c r="K190" i="4"/>
  <c r="K189" i="4"/>
  <c r="AE189" i="4" s="1"/>
  <c r="J189" i="4"/>
  <c r="K188" i="4"/>
  <c r="J188" i="4"/>
  <c r="F215" i="4" s="1"/>
  <c r="F222" i="4" s="1"/>
  <c r="F231" i="4" s="1"/>
  <c r="F250" i="4" s="1"/>
  <c r="F274" i="4" s="1"/>
  <c r="F280" i="4" s="1"/>
  <c r="F286" i="4" s="1"/>
  <c r="K187" i="4"/>
  <c r="K186" i="4"/>
  <c r="J186" i="4"/>
  <c r="F212" i="4" s="1"/>
  <c r="F224" i="4" s="1"/>
  <c r="F235" i="4" s="1"/>
  <c r="K185" i="4"/>
  <c r="AE185" i="4" s="1"/>
  <c r="J185" i="4"/>
  <c r="K184" i="4"/>
  <c r="AE184" i="4" l="1"/>
  <c r="AE188" i="4"/>
  <c r="AE192" i="4"/>
  <c r="AE191" i="4"/>
  <c r="AE196" i="4"/>
  <c r="AE197" i="4"/>
  <c r="AE187" i="4"/>
  <c r="AE186" i="4"/>
  <c r="AE190" i="4"/>
  <c r="AE195" i="4"/>
  <c r="AE199" i="4"/>
  <c r="X51" i="5"/>
  <c r="X50" i="5"/>
  <c r="X49" i="5"/>
  <c r="X47" i="5"/>
  <c r="X46" i="5"/>
  <c r="X44" i="5"/>
  <c r="X42" i="5"/>
  <c r="W51" i="5"/>
  <c r="AD182" i="4"/>
  <c r="AD181" i="4"/>
  <c r="AD180" i="4"/>
  <c r="AD179" i="4"/>
  <c r="AD178" i="4"/>
  <c r="AD176" i="4"/>
  <c r="AD175" i="4"/>
  <c r="AD173" i="4"/>
  <c r="AD172" i="4"/>
  <c r="AD171" i="4"/>
  <c r="AD170" i="4"/>
  <c r="J89" i="3"/>
  <c r="K89" i="3" s="1"/>
  <c r="J93" i="3"/>
  <c r="K93" i="3" s="1"/>
  <c r="J96" i="3"/>
  <c r="K96" i="3" s="1"/>
  <c r="J98" i="3"/>
  <c r="K98" i="3" s="1"/>
  <c r="J114" i="3"/>
  <c r="K114" i="3" l="1"/>
  <c r="J182" i="4"/>
  <c r="F190" i="4" s="1"/>
  <c r="J180" i="4"/>
  <c r="K182" i="4"/>
  <c r="K181" i="4"/>
  <c r="J181" i="4"/>
  <c r="F197" i="4" s="1"/>
  <c r="F211" i="4" s="1"/>
  <c r="F228" i="4" s="1"/>
  <c r="F245" i="4" s="1"/>
  <c r="K180" i="4"/>
  <c r="AE180" i="4" s="1"/>
  <c r="K179" i="4"/>
  <c r="AE179" i="4" s="1"/>
  <c r="J179" i="4"/>
  <c r="K178" i="4"/>
  <c r="AE178" i="4" s="1"/>
  <c r="J178" i="4"/>
  <c r="F193" i="4" s="1"/>
  <c r="F214" i="4" s="1"/>
  <c r="F220" i="4" s="1"/>
  <c r="F236" i="4" s="1"/>
  <c r="F255" i="4" s="1"/>
  <c r="K177" i="4"/>
  <c r="AE177" i="4" s="1"/>
  <c r="J177" i="4"/>
  <c r="F187" i="4" s="1"/>
  <c r="F207" i="4" s="1"/>
  <c r="F226" i="4" s="1"/>
  <c r="F230" i="4" s="1"/>
  <c r="K176" i="4"/>
  <c r="AE176" i="4" s="1"/>
  <c r="J176" i="4"/>
  <c r="F185" i="4" s="1"/>
  <c r="F202" i="4" s="1"/>
  <c r="K175" i="4"/>
  <c r="AE175" i="4" s="1"/>
  <c r="J175" i="4"/>
  <c r="F189" i="4" s="1"/>
  <c r="F205" i="4" s="1"/>
  <c r="K174" i="4"/>
  <c r="AE174" i="4" s="1"/>
  <c r="J174" i="4"/>
  <c r="F195" i="4" s="1"/>
  <c r="F216" i="4" s="1"/>
  <c r="F221" i="4" s="1"/>
  <c r="F232" i="4" s="1"/>
  <c r="F252" i="4" s="1"/>
  <c r="F272" i="4" s="1"/>
  <c r="K173" i="4"/>
  <c r="AE173" i="4" s="1"/>
  <c r="J173" i="4"/>
  <c r="F194" i="4" s="1"/>
  <c r="F203" i="4" s="1"/>
  <c r="K172" i="4"/>
  <c r="AE172" i="4" s="1"/>
  <c r="J172" i="4"/>
  <c r="F196" i="4" s="1"/>
  <c r="F201" i="4" s="1"/>
  <c r="K171" i="4"/>
  <c r="AE171" i="4" s="1"/>
  <c r="J171" i="4"/>
  <c r="F191" i="4" s="1"/>
  <c r="F206" i="4" s="1"/>
  <c r="F218" i="4" s="1"/>
  <c r="F233" i="4" s="1"/>
  <c r="K170" i="4"/>
  <c r="J170" i="4"/>
  <c r="F199" i="4" s="1"/>
  <c r="F204" i="4" s="1"/>
  <c r="J106" i="3"/>
  <c r="K106" i="3" s="1"/>
  <c r="J104" i="3"/>
  <c r="K104" i="3" s="1"/>
  <c r="J103" i="3"/>
  <c r="K103" i="3" s="1"/>
  <c r="J99" i="3"/>
  <c r="K99" i="3" s="1"/>
  <c r="J91" i="3"/>
  <c r="K91" i="3" s="1"/>
  <c r="J87" i="3"/>
  <c r="K87" i="3" s="1"/>
  <c r="J86" i="3"/>
  <c r="K86" i="3" s="1"/>
  <c r="J82" i="3"/>
  <c r="K82" i="3" s="1"/>
  <c r="J81" i="3"/>
  <c r="K81" i="3" s="1"/>
  <c r="J80" i="3"/>
  <c r="K80" i="3" s="1"/>
  <c r="AE170" i="4" l="1"/>
  <c r="AE182" i="4"/>
  <c r="AE181" i="4"/>
  <c r="K160" i="4"/>
  <c r="X40" i="5"/>
  <c r="X39" i="5"/>
  <c r="X38" i="5"/>
  <c r="W50" i="5"/>
  <c r="W49" i="5"/>
  <c r="W47" i="5"/>
  <c r="W46" i="5"/>
  <c r="W44" i="5"/>
  <c r="W42" i="5"/>
  <c r="W40" i="5"/>
  <c r="W39" i="5"/>
  <c r="W38" i="5"/>
  <c r="AD168" i="4"/>
  <c r="AD167" i="4"/>
  <c r="AD166" i="4"/>
  <c r="AD165" i="4"/>
  <c r="AD164" i="4"/>
  <c r="AD163" i="4"/>
  <c r="AD162" i="4"/>
  <c r="AD161" i="4"/>
  <c r="AD160" i="4"/>
  <c r="AD159" i="4"/>
  <c r="AD158" i="4"/>
  <c r="AE160" i="4" l="1"/>
  <c r="J160" i="4"/>
  <c r="J161" i="4"/>
  <c r="J164" i="4"/>
  <c r="F180" i="4" s="1"/>
  <c r="J165" i="4"/>
  <c r="J145" i="4"/>
  <c r="J72" i="3"/>
  <c r="J61" i="3"/>
  <c r="K168" i="4"/>
  <c r="AE168" i="4" s="1"/>
  <c r="J168" i="4"/>
  <c r="K167" i="4"/>
  <c r="AE167" i="4" s="1"/>
  <c r="J167" i="4"/>
  <c r="K166" i="4"/>
  <c r="AE166" i="4" s="1"/>
  <c r="J166" i="4"/>
  <c r="K165" i="4"/>
  <c r="AE165" i="4" s="1"/>
  <c r="K164" i="4"/>
  <c r="AE164" i="4" s="1"/>
  <c r="K163" i="4"/>
  <c r="AE163" i="4" s="1"/>
  <c r="J163" i="4"/>
  <c r="K162" i="4"/>
  <c r="AE162" i="4" s="1"/>
  <c r="J162" i="4"/>
  <c r="K161" i="4"/>
  <c r="AE161" i="4" s="1"/>
  <c r="K159" i="4"/>
  <c r="AE159" i="4" s="1"/>
  <c r="J159" i="4"/>
  <c r="K158" i="4"/>
  <c r="AE158" i="4" s="1"/>
  <c r="J158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K61" i="3" l="1"/>
  <c r="K72" i="3"/>
  <c r="K156" i="4"/>
  <c r="J156" i="4"/>
  <c r="K155" i="4"/>
  <c r="AE155" i="4" s="1"/>
  <c r="J155" i="4"/>
  <c r="K154" i="4"/>
  <c r="AE154" i="4" s="1"/>
  <c r="J154" i="4"/>
  <c r="K153" i="4"/>
  <c r="J153" i="4"/>
  <c r="K152" i="4"/>
  <c r="J152" i="4"/>
  <c r="K151" i="4"/>
  <c r="J151" i="4"/>
  <c r="K150" i="4"/>
  <c r="AE150" i="4" s="1"/>
  <c r="J150" i="4"/>
  <c r="K149" i="4"/>
  <c r="J149" i="4"/>
  <c r="K148" i="4"/>
  <c r="J148" i="4"/>
  <c r="K147" i="4"/>
  <c r="AE147" i="4" s="1"/>
  <c r="J147" i="4"/>
  <c r="K146" i="4"/>
  <c r="AE146" i="4" s="1"/>
  <c r="J146" i="4"/>
  <c r="K145" i="4"/>
  <c r="X33" i="5"/>
  <c r="W33" i="5"/>
  <c r="X36" i="5"/>
  <c r="W36" i="5"/>
  <c r="X35" i="5"/>
  <c r="W35" i="5"/>
  <c r="X34" i="5"/>
  <c r="W34" i="5"/>
  <c r="X31" i="5"/>
  <c r="W31" i="5"/>
  <c r="X30" i="5"/>
  <c r="W30" i="5"/>
  <c r="X29" i="5"/>
  <c r="W29" i="5"/>
  <c r="X28" i="5"/>
  <c r="W28" i="5"/>
  <c r="X27" i="5"/>
  <c r="W27" i="5"/>
  <c r="X25" i="5"/>
  <c r="W25" i="5"/>
  <c r="X24" i="5"/>
  <c r="W24" i="5"/>
  <c r="X23" i="5"/>
  <c r="W23" i="5"/>
  <c r="X22" i="5"/>
  <c r="W22" i="5"/>
  <c r="X20" i="5"/>
  <c r="W20" i="5"/>
  <c r="X19" i="5"/>
  <c r="W19" i="5"/>
  <c r="X18" i="5"/>
  <c r="W18" i="5"/>
  <c r="X17" i="5"/>
  <c r="W17" i="5"/>
  <c r="X16" i="5"/>
  <c r="W16" i="5"/>
  <c r="X15" i="5"/>
  <c r="W15" i="5"/>
  <c r="X14" i="5"/>
  <c r="W14" i="5"/>
  <c r="X13" i="5"/>
  <c r="W13" i="5"/>
  <c r="X12" i="5"/>
  <c r="X11" i="5"/>
  <c r="X10" i="5"/>
  <c r="X9" i="5"/>
  <c r="X8" i="5"/>
  <c r="W12" i="5"/>
  <c r="W11" i="5"/>
  <c r="W10" i="5"/>
  <c r="W9" i="5"/>
  <c r="W8" i="5"/>
  <c r="X7" i="5"/>
  <c r="W7" i="5"/>
  <c r="X6" i="5"/>
  <c r="W6" i="5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J141" i="4"/>
  <c r="F148" i="4" s="1"/>
  <c r="J135" i="4"/>
  <c r="F145" i="4" s="1"/>
  <c r="F161" i="4" s="1"/>
  <c r="F160" i="4" l="1"/>
  <c r="AE145" i="4"/>
  <c r="AE153" i="4"/>
  <c r="AE151" i="4"/>
  <c r="AE156" i="4"/>
  <c r="AE148" i="4"/>
  <c r="AE149" i="4"/>
  <c r="J131" i="4"/>
  <c r="F152" i="4" s="1"/>
  <c r="J133" i="4" l="1"/>
  <c r="F156" i="4" s="1"/>
  <c r="F159" i="4" s="1"/>
  <c r="K133" i="4"/>
  <c r="AE133" i="4" s="1"/>
  <c r="J140" i="4"/>
  <c r="F151" i="4" s="1"/>
  <c r="F162" i="4" s="1"/>
  <c r="K140" i="4"/>
  <c r="AE140" i="4" s="1"/>
  <c r="K141" i="4"/>
  <c r="AE141" i="4" s="1"/>
  <c r="J142" i="4"/>
  <c r="F149" i="4" s="1"/>
  <c r="F167" i="4" s="1"/>
  <c r="K142" i="4"/>
  <c r="AE142" i="4" s="1"/>
  <c r="J143" i="4"/>
  <c r="K143" i="4"/>
  <c r="AE143" i="4" s="1"/>
  <c r="J71" i="3"/>
  <c r="K71" i="3" s="1"/>
  <c r="J70" i="3"/>
  <c r="K70" i="3" s="1"/>
  <c r="J69" i="3"/>
  <c r="K69" i="3" s="1"/>
  <c r="J67" i="3"/>
  <c r="K67" i="3" s="1"/>
  <c r="J66" i="3"/>
  <c r="K66" i="3" s="1"/>
  <c r="J64" i="3"/>
  <c r="K64" i="3" s="1"/>
  <c r="J58" i="3"/>
  <c r="K58" i="3" s="1"/>
  <c r="J56" i="3"/>
  <c r="K56" i="3" s="1"/>
  <c r="J55" i="3"/>
  <c r="K55" i="3" s="1"/>
  <c r="J54" i="3"/>
  <c r="K54" i="3" s="1"/>
  <c r="K139" i="4"/>
  <c r="J139" i="4"/>
  <c r="K138" i="4"/>
  <c r="AE138" i="4" s="1"/>
  <c r="J138" i="4"/>
  <c r="K137" i="4"/>
  <c r="J137" i="4"/>
  <c r="K136" i="4"/>
  <c r="AE136" i="4" s="1"/>
  <c r="J136" i="4"/>
  <c r="F154" i="4" s="1"/>
  <c r="F158" i="4" s="1"/>
  <c r="K135" i="4"/>
  <c r="K134" i="4"/>
  <c r="J134" i="4"/>
  <c r="K132" i="4"/>
  <c r="AE132" i="4" s="1"/>
  <c r="J132" i="4"/>
  <c r="K131" i="4"/>
  <c r="K130" i="4"/>
  <c r="J130" i="4"/>
  <c r="F150" i="4" s="1"/>
  <c r="F166" i="4" s="1"/>
  <c r="K129" i="4"/>
  <c r="J129" i="4"/>
  <c r="F155" i="4" s="1"/>
  <c r="F165" i="4" s="1"/>
  <c r="K128" i="4"/>
  <c r="AE128" i="4" s="1"/>
  <c r="J128" i="4"/>
  <c r="F147" i="4" s="1"/>
  <c r="F163" i="4" s="1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E137" i="4" l="1"/>
  <c r="AE130" i="4"/>
  <c r="AE135" i="4"/>
  <c r="AE131" i="4"/>
  <c r="AE129" i="4"/>
  <c r="AE134" i="4"/>
  <c r="AE139" i="4"/>
  <c r="K126" i="4"/>
  <c r="AE126" i="4" s="1"/>
  <c r="J126" i="4"/>
  <c r="K125" i="4"/>
  <c r="J125" i="4"/>
  <c r="K124" i="4"/>
  <c r="AE124" i="4" s="1"/>
  <c r="J124" i="4"/>
  <c r="K123" i="4"/>
  <c r="J123" i="4"/>
  <c r="K122" i="4"/>
  <c r="J122" i="4"/>
  <c r="K121" i="4"/>
  <c r="AE121" i="4" s="1"/>
  <c r="J121" i="4"/>
  <c r="K120" i="4"/>
  <c r="AE120" i="4" s="1"/>
  <c r="J120" i="4"/>
  <c r="K119" i="4"/>
  <c r="J119" i="4"/>
  <c r="K118" i="4"/>
  <c r="J118" i="4"/>
  <c r="K117" i="4"/>
  <c r="J117" i="4"/>
  <c r="K116" i="4"/>
  <c r="AE116" i="4" s="1"/>
  <c r="J116" i="4"/>
  <c r="K115" i="4"/>
  <c r="AE115" i="4" s="1"/>
  <c r="J115" i="4"/>
  <c r="AD112" i="4"/>
  <c r="AD113" i="4"/>
  <c r="AD111" i="4"/>
  <c r="AD110" i="4"/>
  <c r="AD109" i="4"/>
  <c r="AD108" i="4"/>
  <c r="AD107" i="4"/>
  <c r="AD106" i="4"/>
  <c r="AD105" i="4"/>
  <c r="AD104" i="4"/>
  <c r="AD103" i="4"/>
  <c r="AD102" i="4"/>
  <c r="AD101" i="4"/>
  <c r="K113" i="4"/>
  <c r="J113" i="4"/>
  <c r="K112" i="4"/>
  <c r="J112" i="4"/>
  <c r="K111" i="4"/>
  <c r="J111" i="4"/>
  <c r="K110" i="4"/>
  <c r="AE110" i="4" s="1"/>
  <c r="J110" i="4"/>
  <c r="K109" i="4"/>
  <c r="J109" i="4"/>
  <c r="K108" i="4"/>
  <c r="J108" i="4"/>
  <c r="K107" i="4"/>
  <c r="J107" i="4"/>
  <c r="K106" i="4"/>
  <c r="AE106" i="4" s="1"/>
  <c r="J106" i="4"/>
  <c r="K105" i="4"/>
  <c r="J105" i="4"/>
  <c r="K104" i="4"/>
  <c r="J104" i="4"/>
  <c r="K103" i="4"/>
  <c r="J103" i="4"/>
  <c r="K102" i="4"/>
  <c r="AE102" i="4" s="1"/>
  <c r="J102" i="4"/>
  <c r="K101" i="4"/>
  <c r="J101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E101" i="4" l="1"/>
  <c r="AE105" i="4"/>
  <c r="AE109" i="4"/>
  <c r="AE107" i="4"/>
  <c r="AE111" i="4"/>
  <c r="AE119" i="4"/>
  <c r="AE125" i="4"/>
  <c r="AE118" i="4"/>
  <c r="AE123" i="4"/>
  <c r="AE117" i="4"/>
  <c r="AE122" i="4"/>
  <c r="AE108" i="4"/>
  <c r="AE104" i="4"/>
  <c r="AE103" i="4"/>
  <c r="AE113" i="4"/>
  <c r="AE112" i="4"/>
  <c r="K96" i="4"/>
  <c r="K97" i="4"/>
  <c r="K98" i="4"/>
  <c r="K99" i="4"/>
  <c r="J96" i="4"/>
  <c r="F108" i="4" s="1"/>
  <c r="F118" i="4" s="1"/>
  <c r="F143" i="4" s="1"/>
  <c r="J97" i="4"/>
  <c r="F110" i="4" s="1"/>
  <c r="F116" i="4" s="1"/>
  <c r="J98" i="4"/>
  <c r="J99" i="4"/>
  <c r="F106" i="4" s="1"/>
  <c r="F123" i="4" s="1"/>
  <c r="K95" i="4"/>
  <c r="J95" i="4"/>
  <c r="K94" i="4"/>
  <c r="J94" i="4"/>
  <c r="K93" i="4"/>
  <c r="J93" i="4"/>
  <c r="F113" i="4" s="1"/>
  <c r="F119" i="4" s="1"/>
  <c r="F132" i="4" s="1"/>
  <c r="K92" i="4"/>
  <c r="AE92" i="4" s="1"/>
  <c r="J92" i="4"/>
  <c r="F107" i="4" s="1"/>
  <c r="F125" i="4" s="1"/>
  <c r="F137" i="4" s="1"/>
  <c r="K91" i="4"/>
  <c r="J91" i="4"/>
  <c r="F111" i="4" s="1"/>
  <c r="F121" i="4" s="1"/>
  <c r="F138" i="4" s="1"/>
  <c r="F146" i="4" s="1"/>
  <c r="F244" i="4" s="1"/>
  <c r="K90" i="4"/>
  <c r="J90" i="4"/>
  <c r="F103" i="4" s="1"/>
  <c r="F126" i="4" s="1"/>
  <c r="K89" i="4"/>
  <c r="J89" i="4"/>
  <c r="F102" i="4" s="1"/>
  <c r="F124" i="4" s="1"/>
  <c r="K88" i="4"/>
  <c r="J88" i="4"/>
  <c r="F101" i="4" s="1"/>
  <c r="F120" i="4" s="1"/>
  <c r="F134" i="4" s="1"/>
  <c r="K87" i="4"/>
  <c r="J87" i="4"/>
  <c r="F104" i="4" s="1"/>
  <c r="F122" i="4" s="1"/>
  <c r="K86" i="4"/>
  <c r="J86" i="4"/>
  <c r="F112" i="4" s="1"/>
  <c r="F115" i="4" s="1"/>
  <c r="K85" i="4"/>
  <c r="J85" i="4"/>
  <c r="K84" i="4"/>
  <c r="AE84" i="4" s="1"/>
  <c r="J84" i="4"/>
  <c r="AE99" i="4" l="1"/>
  <c r="AE98" i="4"/>
  <c r="AE97" i="4"/>
  <c r="AE96" i="4"/>
  <c r="AE94" i="4"/>
  <c r="AE90" i="4"/>
  <c r="AE88" i="4"/>
  <c r="AE86" i="4"/>
  <c r="AE93" i="4"/>
  <c r="AE85" i="4"/>
  <c r="AE87" i="4"/>
  <c r="AE89" i="4"/>
  <c r="AE91" i="4"/>
  <c r="AE95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K82" i="4" l="1"/>
  <c r="J82" i="4"/>
  <c r="K81" i="4"/>
  <c r="J81" i="4"/>
  <c r="K80" i="4"/>
  <c r="J80" i="4"/>
  <c r="K79" i="4"/>
  <c r="AE79" i="4" s="1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AD59" i="4"/>
  <c r="AD58" i="4"/>
  <c r="AD69" i="4"/>
  <c r="AD68" i="4"/>
  <c r="AD67" i="4"/>
  <c r="AD66" i="4"/>
  <c r="AD65" i="4"/>
  <c r="AD64" i="4"/>
  <c r="AD63" i="4"/>
  <c r="AD62" i="4"/>
  <c r="AD61" i="4"/>
  <c r="AD60" i="4"/>
  <c r="AE72" i="4" l="1"/>
  <c r="AE76" i="4"/>
  <c r="AE71" i="4"/>
  <c r="AE75" i="4"/>
  <c r="AE73" i="4"/>
  <c r="AE77" i="4"/>
  <c r="AE81" i="4"/>
  <c r="AE80" i="4"/>
  <c r="AE78" i="4"/>
  <c r="AE74" i="4"/>
  <c r="AE82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K69" i="4" l="1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AE58" i="4" l="1"/>
  <c r="AE59" i="4"/>
  <c r="AE60" i="4"/>
  <c r="AE61" i="4"/>
  <c r="AE62" i="4"/>
  <c r="AE63" i="4"/>
  <c r="AE64" i="4"/>
  <c r="AE65" i="4"/>
  <c r="AE66" i="4"/>
  <c r="AE67" i="4"/>
  <c r="AE68" i="4"/>
  <c r="AE69" i="4"/>
  <c r="AD43" i="4"/>
  <c r="AD42" i="4"/>
  <c r="AD41" i="4"/>
  <c r="AD40" i="4"/>
  <c r="AD39" i="4"/>
  <c r="AD38" i="4"/>
  <c r="AD37" i="4"/>
  <c r="AD36" i="4"/>
  <c r="J21" i="3"/>
  <c r="K21" i="3" s="1"/>
  <c r="J53" i="4"/>
  <c r="K53" i="4"/>
  <c r="J54" i="4"/>
  <c r="F66" i="4" s="1"/>
  <c r="F82" i="4" s="1"/>
  <c r="K54" i="4"/>
  <c r="J55" i="4"/>
  <c r="F59" i="4" s="1"/>
  <c r="F79" i="4" s="1"/>
  <c r="F95" i="4" s="1"/>
  <c r="F105" i="4" s="1"/>
  <c r="K55" i="4"/>
  <c r="J56" i="4"/>
  <c r="F69" i="4" s="1"/>
  <c r="F75" i="4" s="1"/>
  <c r="K56" i="4"/>
  <c r="AE56" i="4" s="1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52" i="4"/>
  <c r="J52" i="4"/>
  <c r="F64" i="4" s="1"/>
  <c r="F77" i="4" s="1"/>
  <c r="K51" i="4"/>
  <c r="J51" i="4"/>
  <c r="F61" i="4" s="1"/>
  <c r="F78" i="4" s="1"/>
  <c r="K50" i="4"/>
  <c r="J50" i="4"/>
  <c r="F58" i="4" s="1"/>
  <c r="F71" i="4" s="1"/>
  <c r="F85" i="4" s="1"/>
  <c r="K49" i="4"/>
  <c r="J49" i="4"/>
  <c r="F63" i="4" s="1"/>
  <c r="F74" i="4" s="1"/>
  <c r="F98" i="4" s="1"/>
  <c r="K48" i="4"/>
  <c r="J48" i="4"/>
  <c r="F65" i="4" s="1"/>
  <c r="F76" i="4" s="1"/>
  <c r="F94" i="4" s="1"/>
  <c r="K47" i="4"/>
  <c r="J47" i="4"/>
  <c r="F67" i="4" s="1"/>
  <c r="F81" i="4" s="1"/>
  <c r="K46" i="4"/>
  <c r="J46" i="4"/>
  <c r="F62" i="4" s="1"/>
  <c r="F72" i="4" s="1"/>
  <c r="K45" i="4"/>
  <c r="J45" i="4"/>
  <c r="F68" i="4" s="1"/>
  <c r="F73" i="4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7" i="3"/>
  <c r="K47" i="3" s="1"/>
  <c r="J48" i="3"/>
  <c r="K48" i="3" s="1"/>
  <c r="J49" i="3"/>
  <c r="K49" i="3" s="1"/>
  <c r="J50" i="3"/>
  <c r="K50" i="3" s="1"/>
  <c r="J51" i="3"/>
  <c r="K51" i="3" s="1"/>
  <c r="J52" i="3"/>
  <c r="K52" i="3" s="1"/>
  <c r="J26" i="3"/>
  <c r="K26" i="3" s="1"/>
  <c r="J27" i="3"/>
  <c r="K27" i="3" s="1"/>
  <c r="J28" i="3"/>
  <c r="K28" i="3" s="1"/>
  <c r="AE39" i="4" l="1"/>
  <c r="AE54" i="4"/>
  <c r="AE43" i="4"/>
  <c r="AE55" i="4"/>
  <c r="AE47" i="4"/>
  <c r="AE51" i="4"/>
  <c r="AE38" i="4"/>
  <c r="AE42" i="4"/>
  <c r="AE36" i="4"/>
  <c r="AE53" i="4"/>
  <c r="AE37" i="4"/>
  <c r="AE41" i="4"/>
  <c r="AE40" i="4"/>
  <c r="AE52" i="4"/>
  <c r="AE50" i="4"/>
  <c r="AE49" i="4"/>
  <c r="AE48" i="4"/>
  <c r="AE46" i="4"/>
  <c r="AE45" i="4"/>
  <c r="J25" i="3" l="1"/>
  <c r="K25" i="3" s="1"/>
  <c r="AD34" i="4"/>
  <c r="AD33" i="4"/>
  <c r="AD32" i="4"/>
  <c r="AD31" i="4"/>
  <c r="AD30" i="4"/>
  <c r="AD29" i="4"/>
  <c r="AD28" i="4"/>
  <c r="AD27" i="4"/>
  <c r="K28" i="4"/>
  <c r="K29" i="4"/>
  <c r="K30" i="4"/>
  <c r="K31" i="4"/>
  <c r="K32" i="4"/>
  <c r="K33" i="4"/>
  <c r="K34" i="4"/>
  <c r="K27" i="4"/>
  <c r="AE27" i="4" s="1"/>
  <c r="J28" i="4"/>
  <c r="J29" i="4"/>
  <c r="J30" i="4"/>
  <c r="J31" i="4"/>
  <c r="J32" i="4"/>
  <c r="J33" i="4"/>
  <c r="J34" i="4"/>
  <c r="J27" i="4"/>
  <c r="AE31" i="4" l="1"/>
  <c r="AE28" i="4"/>
  <c r="AE32" i="4"/>
  <c r="AE30" i="4"/>
  <c r="AE29" i="4"/>
  <c r="AE34" i="4"/>
  <c r="AE33" i="4"/>
  <c r="J18" i="4"/>
  <c r="K18" i="4"/>
  <c r="AD18" i="4"/>
  <c r="AE18" i="4" l="1"/>
  <c r="AD25" i="4"/>
  <c r="AD24" i="4"/>
  <c r="AD23" i="4"/>
  <c r="AD22" i="4"/>
  <c r="AD21" i="4"/>
  <c r="AD20" i="4"/>
  <c r="AD19" i="4"/>
  <c r="K19" i="4"/>
  <c r="K20" i="4"/>
  <c r="K21" i="4"/>
  <c r="K22" i="4"/>
  <c r="K23" i="4"/>
  <c r="K24" i="4"/>
  <c r="K25" i="4"/>
  <c r="J19" i="4"/>
  <c r="J20" i="4"/>
  <c r="J21" i="4"/>
  <c r="J22" i="4"/>
  <c r="J23" i="4"/>
  <c r="J24" i="4"/>
  <c r="J25" i="4"/>
  <c r="J9" i="4"/>
  <c r="F25" i="4" s="1"/>
  <c r="AD16" i="4"/>
  <c r="AD15" i="4"/>
  <c r="AD14" i="4"/>
  <c r="AD13" i="4"/>
  <c r="AD12" i="4"/>
  <c r="AD11" i="4"/>
  <c r="AD10" i="4"/>
  <c r="AD9" i="4"/>
  <c r="J10" i="4"/>
  <c r="F23" i="4" s="1"/>
  <c r="J11" i="4"/>
  <c r="F21" i="4" s="1"/>
  <c r="J12" i="4"/>
  <c r="F24" i="4" s="1"/>
  <c r="J13" i="4"/>
  <c r="F18" i="4" s="1"/>
  <c r="F31" i="4" s="1"/>
  <c r="F42" i="4" s="1"/>
  <c r="J14" i="4"/>
  <c r="F19" i="4" s="1"/>
  <c r="J15" i="4"/>
  <c r="F20" i="4" s="1"/>
  <c r="J16" i="4"/>
  <c r="F22" i="4" s="1"/>
  <c r="F27" i="4" l="1"/>
  <c r="F39" i="4" s="1"/>
  <c r="F53" i="4" s="1"/>
  <c r="F60" i="4" s="1"/>
  <c r="F80" i="4" s="1"/>
  <c r="F84" i="4" s="1"/>
  <c r="F109" i="4" s="1"/>
  <c r="F117" i="4" s="1"/>
  <c r="F139" i="4" s="1"/>
  <c r="F153" i="4" s="1"/>
  <c r="F168" i="4" s="1"/>
  <c r="F179" i="4" s="1"/>
  <c r="F28" i="4"/>
  <c r="F38" i="4" s="1"/>
  <c r="F30" i="4"/>
  <c r="F36" i="4" s="1"/>
  <c r="F32" i="4"/>
  <c r="F43" i="4" s="1"/>
  <c r="AE21" i="4"/>
  <c r="AE25" i="4"/>
  <c r="AE22" i="4"/>
  <c r="AE19" i="4"/>
  <c r="AE23" i="4"/>
  <c r="F29" i="4"/>
  <c r="F40" i="4" s="1"/>
  <c r="F34" i="4"/>
  <c r="F37" i="4" s="1"/>
  <c r="AE20" i="4"/>
  <c r="AE24" i="4"/>
  <c r="F33" i="4"/>
  <c r="F41" i="4" s="1"/>
  <c r="J9" i="3" l="1"/>
  <c r="K9" i="3" s="1"/>
  <c r="K16" i="4" l="1"/>
  <c r="AE16" i="4" s="1"/>
  <c r="K15" i="4"/>
  <c r="AE15" i="4" s="1"/>
  <c r="K14" i="4"/>
  <c r="AE14" i="4" s="1"/>
  <c r="K13" i="4"/>
  <c r="AE13" i="4" s="1"/>
  <c r="K12" i="4"/>
  <c r="AE12" i="4" s="1"/>
  <c r="K11" i="4"/>
  <c r="AE11" i="4" s="1"/>
  <c r="K10" i="4"/>
  <c r="AE10" i="4" s="1"/>
  <c r="K9" i="4"/>
  <c r="AE9" i="4" l="1"/>
  <c r="J23" i="3"/>
  <c r="K23" i="3" s="1"/>
  <c r="J19" i="3"/>
  <c r="K19" i="3" s="1"/>
  <c r="J18" i="3"/>
  <c r="K18" i="3" s="1"/>
  <c r="J16" i="3"/>
  <c r="K16" i="3" s="1"/>
  <c r="J14" i="3"/>
  <c r="K14" i="3" s="1"/>
  <c r="J13" i="3"/>
  <c r="K13" i="3" s="1"/>
  <c r="J12" i="3"/>
  <c r="K12" i="3" s="1"/>
  <c r="J11" i="3"/>
  <c r="K11" i="3" s="1"/>
  <c r="J10" i="3"/>
  <c r="K10" i="3" s="1"/>
  <c r="J8" i="3"/>
  <c r="K8" i="3" s="1"/>
  <c r="J7" i="3"/>
  <c r="K7" i="3" s="1"/>
  <c r="J5" i="3"/>
  <c r="K5" i="3" s="1"/>
  <c r="J4" i="3"/>
  <c r="K4" i="3" s="1"/>
  <c r="J2" i="3"/>
  <c r="K2" i="3" s="1"/>
</calcChain>
</file>

<file path=xl/sharedStrings.xml><?xml version="1.0" encoding="utf-8"?>
<sst xmlns="http://schemas.openxmlformats.org/spreadsheetml/2006/main" count="950" uniqueCount="271">
  <si>
    <t>sample #</t>
  </si>
  <si>
    <t>construct</t>
  </si>
  <si>
    <t>plaque #</t>
  </si>
  <si>
    <t>date picked</t>
  </si>
  <si>
    <t>date titered</t>
  </si>
  <si>
    <t>counts</t>
  </si>
  <si>
    <t>dil</t>
  </si>
  <si>
    <t>titer</t>
  </si>
  <si>
    <r>
      <t>for 10</t>
    </r>
    <r>
      <rPr>
        <b/>
        <vertAlign val="superscript"/>
        <sz val="11"/>
        <color theme="1"/>
        <rFont val="Calibri"/>
        <family val="2"/>
        <scheme val="minor"/>
      </rPr>
      <t xml:space="preserve">5  </t>
    </r>
    <r>
      <rPr>
        <b/>
        <sz val="11"/>
        <color theme="1"/>
        <rFont val="Calibri"/>
        <family val="2"/>
        <scheme val="minor"/>
      </rPr>
      <t>(mL)</t>
    </r>
  </si>
  <si>
    <t>notes</t>
  </si>
  <si>
    <t>wt Sanger2mut</t>
  </si>
  <si>
    <t>F random 25% rep 1</t>
  </si>
  <si>
    <t>F random 25% rep 2</t>
  </si>
  <si>
    <t>tmtc</t>
  </si>
  <si>
    <t>F random 25% rep 3</t>
  </si>
  <si>
    <t>F random 50% rep 1</t>
  </si>
  <si>
    <t>F random 50% rep 2</t>
  </si>
  <si>
    <t>F random 50% rep 3</t>
  </si>
  <si>
    <t>F random 75% rep 1</t>
  </si>
  <si>
    <t>F random 75% rep 2</t>
  </si>
  <si>
    <t>F random 75% rep 3</t>
  </si>
  <si>
    <t>F random 100% rep 1</t>
  </si>
  <si>
    <t>F random 100% rep 2</t>
  </si>
  <si>
    <t>F random 100% rep 3</t>
  </si>
  <si>
    <t>F random max rep 1</t>
  </si>
  <si>
    <t>F random max rep 2</t>
  </si>
  <si>
    <t>F random max rep 3</t>
  </si>
  <si>
    <t>G random 25% rep 1</t>
  </si>
  <si>
    <t>G random 25% rep 2</t>
  </si>
  <si>
    <t>redo at 5e-7</t>
  </si>
  <si>
    <t>G random 25% rep 3</t>
  </si>
  <si>
    <t>redo at 5e-6</t>
  </si>
  <si>
    <t>G random 50% rep 1</t>
  </si>
  <si>
    <t>G random 50% rep 2</t>
  </si>
  <si>
    <t>G random 50% rep 3</t>
  </si>
  <si>
    <t>redo at 5e-7, 2e-7</t>
  </si>
  <si>
    <t>G random 75% rep 1</t>
  </si>
  <si>
    <t>redo at 2e-6</t>
  </si>
  <si>
    <t>G random 75% rep 2</t>
  </si>
  <si>
    <t>G random 75% rep 3</t>
  </si>
  <si>
    <t>G random 100% rep 1</t>
  </si>
  <si>
    <t>G random 100% rep 2</t>
  </si>
  <si>
    <t>none</t>
  </si>
  <si>
    <t>redo at 1e-3, 1e-4</t>
  </si>
  <si>
    <t>redo at 1e-2, 1e-1</t>
  </si>
  <si>
    <t>?????????</t>
  </si>
  <si>
    <t>G random 100% rep 3</t>
  </si>
  <si>
    <t>redo at 2e-6, 5e-6</t>
  </si>
  <si>
    <t>G random max rep 1</t>
  </si>
  <si>
    <t>G random max rep 2</t>
  </si>
  <si>
    <t>G random max rep 3</t>
  </si>
  <si>
    <t>Construct</t>
  </si>
  <si>
    <t>plq number</t>
  </si>
  <si>
    <t>fully sequenced?</t>
  </si>
  <si>
    <t>checked against order?</t>
  </si>
  <si>
    <t>F shuffle 25% rep 1</t>
  </si>
  <si>
    <t>F shuffle 25% rep 2</t>
  </si>
  <si>
    <t>F shuffle 25% rep 3</t>
  </si>
  <si>
    <t>F shuffle 50% rep 1</t>
  </si>
  <si>
    <t>F shuffle 50% rep 2</t>
  </si>
  <si>
    <t>F shuffle 50% rep 3</t>
  </si>
  <si>
    <t>F shuffle 75% rep 1</t>
  </si>
  <si>
    <t>F shuffle 75% rep 2</t>
  </si>
  <si>
    <t>F shuffle 75% rep 3</t>
  </si>
  <si>
    <t>F shuffle 100% rep 1</t>
  </si>
  <si>
    <t>F shuffle 100% rep 2</t>
  </si>
  <si>
    <t>F shuffle 100% rep 3</t>
  </si>
  <si>
    <t>G shuffle 25% rep 1</t>
  </si>
  <si>
    <t>G shuffle 25% rep 2</t>
  </si>
  <si>
    <t>G shuffle 25% rep 3</t>
  </si>
  <si>
    <t>G shuffle 50% rep 1</t>
  </si>
  <si>
    <t>G shuffle 50% rep 2</t>
  </si>
  <si>
    <t>G shuffle 50% rep 3</t>
  </si>
  <si>
    <t>G shuffle 75% rep 1</t>
  </si>
  <si>
    <t>G shuffle 75% rep 2</t>
  </si>
  <si>
    <t>G shuffle 75% rep 3</t>
  </si>
  <si>
    <t>G shuffle 100% rep 1</t>
  </si>
  <si>
    <t>G shuffle 100% rep 2</t>
  </si>
  <si>
    <t>G shuffle 100% rep 3</t>
  </si>
  <si>
    <t>H shuffle 25% rep 1</t>
  </si>
  <si>
    <t>H shuffle 25% rep 2</t>
  </si>
  <si>
    <t>H shuffle 25% rep 3</t>
  </si>
  <si>
    <t>H shuffle 50% rep 1</t>
  </si>
  <si>
    <t>H shuffle 50% rep 2</t>
  </si>
  <si>
    <t>H shuffle 50% rep 3</t>
  </si>
  <si>
    <t>H shuffle 75% rep 1</t>
  </si>
  <si>
    <t>H shuffle 75% rep 2</t>
  </si>
  <si>
    <t>H shuffle 75% rep 3</t>
  </si>
  <si>
    <t>H shuffle 100% rep 1</t>
  </si>
  <si>
    <t>H shuffle 100% rep 2</t>
  </si>
  <si>
    <t>H shuffle 100% rep 3</t>
  </si>
  <si>
    <t>H random 25% rep 1</t>
  </si>
  <si>
    <t>H random 25% rep 2</t>
  </si>
  <si>
    <t>H random 25% rep 3</t>
  </si>
  <si>
    <t>H random 50% rep 1</t>
  </si>
  <si>
    <t>H random 50% rep 2</t>
  </si>
  <si>
    <t>H random 50% rep 3</t>
  </si>
  <si>
    <t>H random 75% rep 1</t>
  </si>
  <si>
    <t>H random 75% rep 2</t>
  </si>
  <si>
    <t>H random 75% rep 3</t>
  </si>
  <si>
    <t>H random 100% rep 1</t>
  </si>
  <si>
    <t>H random 100% rep 2</t>
  </si>
  <si>
    <t>H random 100% rep 3</t>
  </si>
  <si>
    <t>H random max rep 1</t>
  </si>
  <si>
    <t>H random max rep 2</t>
  </si>
  <si>
    <t>H random max rep 3</t>
  </si>
  <si>
    <t>R01 construct observed mutations</t>
  </si>
  <si>
    <t>Nucleotide location</t>
  </si>
  <si>
    <t>wt nuc</t>
  </si>
  <si>
    <t>mut nuc</t>
  </si>
  <si>
    <t>Obs1</t>
  </si>
  <si>
    <t>Obs2</t>
  </si>
  <si>
    <t>Obs3</t>
  </si>
  <si>
    <t>Obs4</t>
  </si>
  <si>
    <t>Obs5</t>
  </si>
  <si>
    <t>Obs6</t>
  </si>
  <si>
    <t>Obs7</t>
  </si>
  <si>
    <t>Obs8</t>
  </si>
  <si>
    <t>Notes</t>
  </si>
  <si>
    <t>t</t>
  </si>
  <si>
    <t>c</t>
  </si>
  <si>
    <t>Hramaxr3-1</t>
  </si>
  <si>
    <t>a</t>
  </si>
  <si>
    <t>Hra100r2-2</t>
  </si>
  <si>
    <t>Hra75r1</t>
  </si>
  <si>
    <t>Hramaxr1</t>
  </si>
  <si>
    <t>Gra25r3</t>
  </si>
  <si>
    <t>Gramaxr2</t>
  </si>
  <si>
    <t>Hsh25r3</t>
  </si>
  <si>
    <t>Hsh50r1</t>
  </si>
  <si>
    <t>Hsh100r2</t>
  </si>
  <si>
    <t>Hsh100r2-2</t>
  </si>
  <si>
    <t>Lu found het in 2/3 preps of F3</t>
  </si>
  <si>
    <t>Hra100r2</t>
  </si>
  <si>
    <t>Hramaxr3-2</t>
  </si>
  <si>
    <t>Hsh100r2-3</t>
  </si>
  <si>
    <t>g</t>
  </si>
  <si>
    <t>Hra50r1-2 (O/N evo)</t>
  </si>
  <si>
    <r>
      <t>One-Flask Fitness Assays @ 37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</si>
  <si>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Grew 180 ul 50X C (27Feb20) in 50 ml phage LB + 2 mM CaCl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to O.D. ~0.300, then aliquoted 1.5 ml into each of 16 flasks</t>
    </r>
  </si>
  <si>
    <r>
      <t>Added 10</t>
    </r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phage to each assay according to titers (unless noted for low titer phages)</t>
    </r>
  </si>
  <si>
    <t>Took 500 ul T=0 samples at 8' onto ice</t>
  </si>
  <si>
    <t>At T=40', sampled 500 ul of each assay onto ice and diluted for plating in phage LB</t>
  </si>
  <si>
    <t>T0</t>
  </si>
  <si>
    <t>Date</t>
  </si>
  <si>
    <t>flask #</t>
  </si>
  <si>
    <t>Plaque #</t>
  </si>
  <si>
    <r>
      <t>for 10</t>
    </r>
    <r>
      <rPr>
        <b/>
        <vertAlign val="superscript"/>
        <sz val="11"/>
        <color theme="1"/>
        <rFont val="Calibri"/>
        <family val="2"/>
        <scheme val="minor"/>
      </rPr>
      <t xml:space="preserve">5  </t>
    </r>
    <r>
      <rPr>
        <b/>
        <sz val="11"/>
        <color theme="1"/>
        <rFont val="Calibri"/>
        <family val="2"/>
        <scheme val="minor"/>
      </rPr>
      <t>(uL)</t>
    </r>
  </si>
  <si>
    <t>actual # of phage added to assay</t>
  </si>
  <si>
    <t>T0 titer</t>
  </si>
  <si>
    <t>T40 titer</t>
  </si>
  <si>
    <t>fitness</t>
  </si>
  <si>
    <t>comment</t>
  </si>
  <si>
    <t>plate 1e-6, 5e-7</t>
  </si>
  <si>
    <t>plate 5e-6, 2e-6</t>
  </si>
  <si>
    <t>plate 1e-5, 5e-5, 1e-4</t>
  </si>
  <si>
    <t>plate 5e-6, 1e-5, 5e-5</t>
  </si>
  <si>
    <t>plate 1e-6, 2e-6</t>
  </si>
  <si>
    <t>plate 5e-7, 2e-7</t>
  </si>
  <si>
    <t>plate 5e-6, 7e-6, 1e-5</t>
  </si>
  <si>
    <t>10^-1 3.77</t>
  </si>
  <si>
    <t>10^-1 10.7</t>
  </si>
  <si>
    <t>Sample #</t>
  </si>
  <si>
    <t>????</t>
  </si>
  <si>
    <t>&gt;200</t>
  </si>
  <si>
    <t>several large plaques on 7e-4 and 5e-4 plates</t>
  </si>
  <si>
    <t>for 10^4 3.33E-02</t>
  </si>
  <si>
    <t>for 10^4 8.33E-03</t>
  </si>
  <si>
    <t>pate 1e-4, 5e-5</t>
  </si>
  <si>
    <t>plate 5e-5, 2e-5</t>
  </si>
  <si>
    <t>done</t>
  </si>
  <si>
    <t>plate 5e-5, 7e-5</t>
  </si>
  <si>
    <t>plate 5e-4, 1e-4</t>
  </si>
  <si>
    <t>pate 1e-6, 7e-7</t>
  </si>
  <si>
    <t>variant average</t>
  </si>
  <si>
    <t>Sang2mut avg for variant</t>
  </si>
  <si>
    <t>for 10^4 8.93E-01</t>
  </si>
  <si>
    <t>??</t>
  </si>
  <si>
    <t>T=0 plate wasn't solid when counted</t>
  </si>
  <si>
    <t>for 10^4 2.38E00</t>
  </si>
  <si>
    <t>Lu did assay</t>
  </si>
  <si>
    <t>redo at 1e-6</t>
  </si>
  <si>
    <t>redo at 1e-4, 5e-4</t>
  </si>
  <si>
    <t>Sanger2mut-3</t>
  </si>
  <si>
    <t>redo at -3, 5e-3, -2</t>
  </si>
  <si>
    <t>plate 5e-6</t>
  </si>
  <si>
    <t>plate -5, 5e-5, -4</t>
  </si>
  <si>
    <t>plate 1e-6, 7e-7</t>
  </si>
  <si>
    <t>plate 5e-6, 7e-6</t>
  </si>
  <si>
    <t>plate 5e-5, 1e-4, 5e-4</t>
  </si>
  <si>
    <t>plate 5e-7</t>
  </si>
  <si>
    <t>plate 53-7</t>
  </si>
  <si>
    <t>plate 1e-4, 5e-5</t>
  </si>
  <si>
    <t>Lu</t>
  </si>
  <si>
    <t>reassembling</t>
  </si>
  <si>
    <t>plate 1e-5, 2e-5</t>
  </si>
  <si>
    <t>plate 1e-6</t>
  </si>
  <si>
    <t>plate 7e-7</t>
  </si>
  <si>
    <t>plate 2e-6</t>
  </si>
  <si>
    <t>plate 2e-5</t>
  </si>
  <si>
    <t>plate 5e-7, 7e-7</t>
  </si>
  <si>
    <t>plate 5e-4, 2e-4</t>
  </si>
  <si>
    <t>plate 5e-6, 7e-6, 2e-6</t>
  </si>
  <si>
    <t>plate5e-6, 2e-6</t>
  </si>
  <si>
    <t>wt Sanger2mut plq 1</t>
  </si>
  <si>
    <t>wt Sanger2mut plq 3</t>
  </si>
  <si>
    <t>wt Sanger2mut plq 3 (10^3)</t>
  </si>
  <si>
    <t>wait for next plq</t>
  </si>
  <si>
    <t>plate 1e-5</t>
  </si>
  <si>
    <t>plate 1e-4</t>
  </si>
  <si>
    <t>plate 5e-4</t>
  </si>
  <si>
    <t>plate 5e-5</t>
  </si>
  <si>
    <t>136-1</t>
  </si>
  <si>
    <t>1-1</t>
  </si>
  <si>
    <t>plate 1e-5, 1e-6</t>
  </si>
  <si>
    <t>145-1</t>
  </si>
  <si>
    <t>145-2</t>
  </si>
  <si>
    <t>145-3</t>
  </si>
  <si>
    <t>9-1</t>
  </si>
  <si>
    <t>9-2</t>
  </si>
  <si>
    <t>9-3</t>
  </si>
  <si>
    <t>faint</t>
  </si>
  <si>
    <t xml:space="preserve">plate 1e-3, 1e-4 </t>
  </si>
  <si>
    <t>very faint</t>
  </si>
  <si>
    <t>redo -3, 5e-3, -2</t>
  </si>
  <si>
    <t>???</t>
  </si>
  <si>
    <t>unable to count WT</t>
  </si>
  <si>
    <t>Photo?</t>
  </si>
  <si>
    <t>for 10^3</t>
  </si>
  <si>
    <t>plate 5e--7</t>
  </si>
  <si>
    <t>plate 2e-7, 1e-7</t>
  </si>
  <si>
    <t>10^3 phage added</t>
  </si>
  <si>
    <t>10^4 phage added</t>
  </si>
  <si>
    <t>plate from freezer</t>
  </si>
  <si>
    <t>for 10^4 1.3E-1, for 10^3 1.3e-2</t>
  </si>
  <si>
    <t>plate -6</t>
  </si>
  <si>
    <t>possible evo on T=40 plate, plate 5e-3</t>
  </si>
  <si>
    <t>plate5e-7</t>
  </si>
  <si>
    <t>plate 2e-7</t>
  </si>
  <si>
    <t>plate -6, 5e-7</t>
  </si>
  <si>
    <t>plate -3, 5e-4, -4, use plq 3</t>
  </si>
  <si>
    <t>10^3 phage added first assay, red font indicates replate (due to low titer) w mutation!</t>
  </si>
  <si>
    <t>NEED TO SEQ</t>
  </si>
  <si>
    <t>possible evo on T=40 plate</t>
  </si>
  <si>
    <t>plq has mutation!!!</t>
  </si>
  <si>
    <t>evo plqs on 9/23, 2/3 are WT, 3 has mut @ 2430 C--&gt;T</t>
  </si>
  <si>
    <t>10^3 phage added, repick plaque from orig due to low titer</t>
  </si>
  <si>
    <t>10^4 7.25e-2</t>
  </si>
  <si>
    <t>seq freeze down</t>
  </si>
  <si>
    <t>sequencing</t>
  </si>
  <si>
    <t>Hra50r3-1-1</t>
  </si>
  <si>
    <t># times assembled</t>
  </si>
  <si>
    <t>very tiny plqs</t>
  </si>
  <si>
    <t>made 6/29 (G2sh75r2), 9/29 (WT G2), 10/18</t>
  </si>
  <si>
    <t>made 6/29, 7/24, 8/18, 8/18 (O/N,  G2 WT), 9/29 (G2 WT), 10/18</t>
  </si>
  <si>
    <t>made 7/20 (F2shuf75r1), 10/18</t>
  </si>
  <si>
    <t>made 6/29, 7/24, 8/5; very tiny plqs</t>
  </si>
  <si>
    <t>made 8/4, 8/5, 8/18 (O/N evo G2 WT), 10/18</t>
  </si>
  <si>
    <t>made 8/4, 8/5, 8/18</t>
  </si>
  <si>
    <t>made 8/4, 8/5, 8/18 (possible contamination), 10/18</t>
  </si>
  <si>
    <t>made 6/29 (G2sh75r2), 9/29 (no plq, possible contamination), 10/18</t>
  </si>
  <si>
    <t>made 3/16 (H2sh50r1), 9/29 (no plqs, possible contamination), 10/18</t>
  </si>
  <si>
    <t>made 8/4, 8/5</t>
  </si>
  <si>
    <t>10^4 phage put into 10/14 assay, evolution plqs are actually F 25% shuffle rep 1, plate + seq freezer stock</t>
  </si>
  <si>
    <t>8.13e-2 for 10^4</t>
  </si>
  <si>
    <t>evo plqs on T=40 plates (contamination Fsh25r1)</t>
  </si>
  <si>
    <t>evo plqs on T=40 plates (2 WT plq, 1 2430C--&gt;T mut)</t>
  </si>
  <si>
    <t>made 7/30, 9/29; use orig plq (very small/faint)</t>
  </si>
  <si>
    <t>sequencing 3-9-2</t>
  </si>
  <si>
    <t>sequence next phage for low titer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</si>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</sst>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quotePrefix="1"/>
    <xf numFmtId="0" fontId="0" fillId="0" borderId="0" xfId="0" applyFont="1"/>
    <xf numFmtId="0" fontId="0" fillId="0" borderId="1" xfId="0" applyBorder="1" applyAlignment="1">
      <alignment horizontal="righ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right"/>
    </xf>
    <xf numFmtId="0" fontId="0" fillId="0" borderId="1" xfId="0" applyBorder="1"/>
    <xf numFmtId="15" fontId="0" fillId="0" borderId="1" xfId="0" applyNumberFormat="1" applyBorder="1"/>
    <xf numFmtId="15" fontId="0" fillId="0" borderId="1" xfId="0" applyNumberFormat="1" applyFont="1" applyBorder="1" applyAlignment="1">
      <alignment horizontal="right"/>
    </xf>
    <xf numFmtId="11" fontId="0" fillId="0" borderId="1" xfId="0" applyNumberFormat="1" applyBorder="1"/>
    <xf numFmtId="11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ill="1" applyBorder="1"/>
    <xf numFmtId="15" fontId="0" fillId="0" borderId="1" xfId="0" applyNumberFormat="1" applyFont="1" applyBorder="1" applyAlignment="1"/>
    <xf numFmtId="0" fontId="0" fillId="0" borderId="1" xfId="0" applyFont="1" applyBorder="1" applyAlignment="1"/>
    <xf numFmtId="11" fontId="0" fillId="0" borderId="1" xfId="0" applyNumberFormat="1" applyFont="1" applyBorder="1" applyAlignment="1"/>
    <xf numFmtId="15" fontId="0" fillId="0" borderId="1" xfId="0" applyNumberFormat="1" applyBorder="1" applyAlignment="1"/>
    <xf numFmtId="0" fontId="0" fillId="0" borderId="1" xfId="0" applyBorder="1" applyAlignment="1"/>
    <xf numFmtId="11" fontId="0" fillId="0" borderId="1" xfId="0" applyNumberFormat="1" applyBorder="1" applyAlignment="1"/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1" fontId="1" fillId="0" borderId="1" xfId="0" applyNumberFormat="1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16" fontId="0" fillId="0" borderId="1" xfId="0" applyNumberFormat="1" applyBorder="1"/>
    <xf numFmtId="49" fontId="0" fillId="0" borderId="2" xfId="0" applyNumberFormat="1" applyBorder="1" applyAlignment="1">
      <alignment horizontal="center"/>
    </xf>
    <xf numFmtId="11" fontId="0" fillId="0" borderId="1" xfId="0" applyNumberFormat="1" applyFont="1" applyBorder="1" applyAlignment="1">
      <alignment horizontal="right"/>
    </xf>
    <xf numFmtId="15" fontId="0" fillId="0" borderId="0" xfId="0" applyNumberFormat="1" applyBorder="1"/>
    <xf numFmtId="0" fontId="0" fillId="0" borderId="0" xfId="0" applyBorder="1"/>
    <xf numFmtId="15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11" fontId="0" fillId="0" borderId="5" xfId="0" applyNumberFormat="1" applyBorder="1"/>
    <xf numFmtId="11" fontId="0" fillId="0" borderId="5" xfId="0" applyNumberFormat="1" applyFont="1" applyBorder="1" applyAlignment="1"/>
    <xf numFmtId="0" fontId="0" fillId="0" borderId="5" xfId="0" applyFill="1" applyBorder="1"/>
    <xf numFmtId="0" fontId="0" fillId="0" borderId="1" xfId="0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 applyBorder="1"/>
    <xf numFmtId="164" fontId="0" fillId="0" borderId="1" xfId="0" applyNumberFormat="1" applyBorder="1"/>
    <xf numFmtId="11" fontId="0" fillId="0" borderId="0" xfId="0" applyNumberFormat="1" applyBorder="1"/>
    <xf numFmtId="164" fontId="0" fillId="0" borderId="1" xfId="0" applyNumberFormat="1" applyFill="1" applyBorder="1"/>
    <xf numFmtId="15" fontId="0" fillId="0" borderId="1" xfId="0" applyNumberFormat="1" applyFill="1" applyBorder="1"/>
    <xf numFmtId="164" fontId="1" fillId="0" borderId="1" xfId="0" applyNumberFormat="1" applyFont="1" applyBorder="1"/>
    <xf numFmtId="15" fontId="1" fillId="0" borderId="1" xfId="0" applyNumberFormat="1" applyFont="1" applyBorder="1"/>
    <xf numFmtId="0" fontId="1" fillId="0" borderId="1" xfId="0" applyFont="1" applyFill="1" applyBorder="1"/>
    <xf numFmtId="11" fontId="1" fillId="0" borderId="1" xfId="0" applyNumberFormat="1" applyFont="1" applyBorder="1"/>
    <xf numFmtId="164" fontId="1" fillId="0" borderId="1" xfId="0" applyNumberFormat="1" applyFont="1" applyFill="1" applyBorder="1"/>
    <xf numFmtId="15" fontId="1" fillId="0" borderId="1" xfId="0" applyNumberFormat="1" applyFont="1" applyFill="1" applyBorder="1"/>
    <xf numFmtId="11" fontId="0" fillId="0" borderId="1" xfId="0" applyNumberFormat="1" applyFont="1" applyBorder="1"/>
    <xf numFmtId="0" fontId="0" fillId="0" borderId="0" xfId="0" applyFill="1" applyBorder="1" applyAlignment="1">
      <alignment horizontal="center"/>
    </xf>
    <xf numFmtId="0" fontId="0" fillId="0" borderId="2" xfId="0" applyFont="1" applyBorder="1"/>
    <xf numFmtId="0" fontId="0" fillId="0" borderId="0" xfId="0" applyFill="1" applyBorder="1"/>
    <xf numFmtId="11" fontId="0" fillId="0" borderId="0" xfId="0" applyNumberFormat="1" applyFont="1" applyBorder="1" applyAlignment="1"/>
    <xf numFmtId="0" fontId="0" fillId="2" borderId="0" xfId="0" applyFill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0" fillId="0" borderId="0" xfId="0" applyNumberFormat="1"/>
    <xf numFmtId="0" fontId="0" fillId="3" borderId="1" xfId="0" applyFill="1" applyBorder="1"/>
    <xf numFmtId="11" fontId="0" fillId="3" borderId="1" xfId="0" applyNumberFormat="1" applyFill="1" applyBorder="1"/>
    <xf numFmtId="2" fontId="0" fillId="3" borderId="1" xfId="0" applyNumberFormat="1" applyFill="1" applyBorder="1"/>
    <xf numFmtId="0" fontId="0" fillId="0" borderId="1" xfId="0" applyNumberFormat="1" applyFont="1" applyBorder="1" applyAlignment="1">
      <alignment horizontal="right"/>
    </xf>
    <xf numFmtId="0" fontId="0" fillId="0" borderId="1" xfId="0" applyNumberFormat="1" applyBorder="1"/>
    <xf numFmtId="0" fontId="0" fillId="0" borderId="0" xfId="0" applyFont="1" applyBorder="1"/>
    <xf numFmtId="0" fontId="1" fillId="0" borderId="3" xfId="0" applyFont="1" applyBorder="1" applyAlignment="1">
      <alignment horizontal="center"/>
    </xf>
    <xf numFmtId="11" fontId="1" fillId="0" borderId="1" xfId="0" applyNumberFormat="1" applyFont="1" applyBorder="1" applyAlignment="1">
      <alignment horizontal="center" wrapText="1"/>
    </xf>
    <xf numFmtId="0" fontId="0" fillId="0" borderId="0" xfId="0" applyNumberFormat="1"/>
    <xf numFmtId="0" fontId="1" fillId="0" borderId="3" xfId="0" applyNumberFormat="1" applyFont="1" applyBorder="1" applyAlignment="1">
      <alignment horizontal="center"/>
    </xf>
    <xf numFmtId="0" fontId="0" fillId="0" borderId="5" xfId="0" applyNumberFormat="1" applyBorder="1"/>
    <xf numFmtId="0" fontId="0" fillId="0" borderId="0" xfId="0" applyNumberFormat="1" applyBorder="1"/>
    <xf numFmtId="0" fontId="0" fillId="4" borderId="1" xfId="0" applyFill="1" applyBorder="1"/>
    <xf numFmtId="0" fontId="0" fillId="4" borderId="1" xfId="0" applyNumberFormat="1" applyFill="1" applyBorder="1"/>
    <xf numFmtId="11" fontId="0" fillId="4" borderId="1" xfId="0" applyNumberFormat="1" applyFill="1" applyBorder="1"/>
    <xf numFmtId="2" fontId="0" fillId="4" borderId="1" xfId="0" applyNumberFormat="1" applyFill="1" applyBorder="1"/>
    <xf numFmtId="11" fontId="0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/>
    <xf numFmtId="11" fontId="0" fillId="0" borderId="1" xfId="0" applyNumberFormat="1" applyFont="1" applyFill="1" applyBorder="1" applyAlignment="1"/>
    <xf numFmtId="11" fontId="0" fillId="0" borderId="1" xfId="0" applyNumberFormat="1" applyFill="1" applyBorder="1"/>
    <xf numFmtId="0" fontId="0" fillId="0" borderId="1" xfId="0" applyNumberFormat="1" applyFill="1" applyBorder="1"/>
    <xf numFmtId="2" fontId="0" fillId="0" borderId="1" xfId="0" applyNumberFormat="1" applyFill="1" applyBorder="1"/>
    <xf numFmtId="0" fontId="0" fillId="0" borderId="0" xfId="0" applyFill="1"/>
    <xf numFmtId="2" fontId="0" fillId="0" borderId="0" xfId="0" applyNumberFormat="1"/>
    <xf numFmtId="2" fontId="0" fillId="0" borderId="0" xfId="0" applyNumberFormat="1" applyFill="1" applyBorder="1"/>
    <xf numFmtId="11" fontId="0" fillId="0" borderId="1" xfId="0" applyNumberFormat="1" applyFont="1" applyFill="1" applyBorder="1"/>
    <xf numFmtId="0" fontId="0" fillId="0" borderId="1" xfId="0" applyNumberFormat="1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15" fontId="0" fillId="0" borderId="0" xfId="0" applyNumberFormat="1" applyFill="1" applyBorder="1"/>
    <xf numFmtId="11" fontId="0" fillId="0" borderId="0" xfId="0" applyNumberFormat="1" applyFont="1" applyBorder="1"/>
    <xf numFmtId="11" fontId="0" fillId="0" borderId="0" xfId="0" applyNumberFormat="1" applyFont="1" applyFill="1" applyBorder="1" applyAlignment="1"/>
    <xf numFmtId="11" fontId="0" fillId="0" borderId="0" xfId="0" applyNumberFormat="1" applyFill="1" applyBorder="1"/>
    <xf numFmtId="0" fontId="0" fillId="0" borderId="0" xfId="0" applyNumberFormat="1" applyFill="1" applyBorder="1"/>
    <xf numFmtId="0" fontId="1" fillId="0" borderId="3" xfId="0" applyFont="1" applyBorder="1" applyAlignment="1">
      <alignment horizontal="center"/>
    </xf>
    <xf numFmtId="0" fontId="0" fillId="5" borderId="1" xfId="0" applyFill="1" applyBorder="1"/>
    <xf numFmtId="15" fontId="0" fillId="5" borderId="1" xfId="0" applyNumberFormat="1" applyFill="1" applyBorder="1"/>
    <xf numFmtId="11" fontId="0" fillId="5" borderId="1" xfId="0" applyNumberFormat="1" applyFont="1" applyFill="1" applyBorder="1"/>
    <xf numFmtId="11" fontId="0" fillId="5" borderId="1" xfId="0" applyNumberFormat="1" applyFill="1" applyBorder="1"/>
    <xf numFmtId="0" fontId="0" fillId="2" borderId="1" xfId="0" applyFill="1" applyBorder="1"/>
    <xf numFmtId="0" fontId="0" fillId="0" borderId="1" xfId="0" applyNumberFormat="1" applyFont="1" applyBorder="1"/>
    <xf numFmtId="11" fontId="1" fillId="6" borderId="1" xfId="0" applyNumberFormat="1" applyFont="1" applyFill="1" applyBorder="1"/>
    <xf numFmtId="15" fontId="0" fillId="0" borderId="1" xfId="0" applyNumberFormat="1" applyFont="1" applyBorder="1"/>
    <xf numFmtId="11" fontId="1" fillId="0" borderId="1" xfId="0" applyNumberFormat="1" applyFont="1" applyFill="1" applyBorder="1"/>
    <xf numFmtId="0" fontId="1" fillId="0" borderId="0" xfId="0" applyFont="1"/>
    <xf numFmtId="0" fontId="0" fillId="7" borderId="1" xfId="0" applyFont="1" applyFill="1" applyBorder="1"/>
    <xf numFmtId="0" fontId="0" fillId="2" borderId="1" xfId="0" applyFont="1" applyFill="1" applyBorder="1"/>
    <xf numFmtId="0" fontId="0" fillId="5" borderId="1" xfId="0" applyFont="1" applyFill="1" applyBorder="1"/>
    <xf numFmtId="15" fontId="0" fillId="5" borderId="1" xfId="0" applyNumberFormat="1" applyFont="1" applyFill="1" applyBorder="1"/>
    <xf numFmtId="11" fontId="0" fillId="8" borderId="1" xfId="0" applyNumberFormat="1" applyFill="1" applyBorder="1"/>
    <xf numFmtId="11" fontId="1" fillId="9" borderId="1" xfId="0" applyNumberFormat="1" applyFont="1" applyFill="1" applyBorder="1"/>
    <xf numFmtId="2" fontId="0" fillId="8" borderId="1" xfId="0" applyNumberFormat="1" applyFill="1" applyBorder="1"/>
    <xf numFmtId="0" fontId="0" fillId="8" borderId="1" xfId="0" applyFill="1" applyBorder="1"/>
    <xf numFmtId="2" fontId="0" fillId="0" borderId="1" xfId="0" applyNumberFormat="1" applyFont="1" applyFill="1" applyBorder="1"/>
    <xf numFmtId="0" fontId="1" fillId="0" borderId="3" xfId="0" applyFont="1" applyBorder="1" applyAlignment="1">
      <alignment horizontal="center"/>
    </xf>
    <xf numFmtId="0" fontId="0" fillId="8" borderId="1" xfId="0" applyFont="1" applyFill="1" applyBorder="1"/>
    <xf numFmtId="11" fontId="0" fillId="9" borderId="1" xfId="0" applyNumberFormat="1" applyFont="1" applyFill="1" applyBorder="1"/>
    <xf numFmtId="0" fontId="0" fillId="10" borderId="1" xfId="0" applyFill="1" applyBorder="1"/>
    <xf numFmtId="49" fontId="0" fillId="0" borderId="1" xfId="0" applyNumberFormat="1" applyFont="1" applyFill="1" applyBorder="1"/>
    <xf numFmtId="15" fontId="0" fillId="0" borderId="1" xfId="0" applyNumberFormat="1" applyFont="1" applyFill="1" applyBorder="1"/>
    <xf numFmtId="15" fontId="0" fillId="10" borderId="1" xfId="0" applyNumberFormat="1" applyFill="1" applyBorder="1"/>
    <xf numFmtId="15" fontId="0" fillId="0" borderId="0" xfId="0" applyNumberFormat="1" applyFont="1"/>
    <xf numFmtId="164" fontId="0" fillId="0" borderId="1" xfId="0" applyNumberFormat="1" applyFont="1" applyFill="1" applyBorder="1"/>
    <xf numFmtId="0" fontId="0" fillId="0" borderId="0" xfId="0" applyNumberFormat="1" applyFill="1"/>
    <xf numFmtId="1" fontId="0" fillId="0" borderId="0" xfId="0" applyNumberFormat="1" applyFill="1" applyBorder="1"/>
    <xf numFmtId="1" fontId="0" fillId="0" borderId="0" xfId="0" applyNumberFormat="1"/>
    <xf numFmtId="15" fontId="1" fillId="0" borderId="0" xfId="0" applyNumberFormat="1" applyFont="1"/>
    <xf numFmtId="49" fontId="1" fillId="0" borderId="1" xfId="0" applyNumberFormat="1" applyFont="1" applyFill="1" applyBorder="1"/>
    <xf numFmtId="11" fontId="0" fillId="6" borderId="1" xfId="0" applyNumberFormat="1" applyFont="1" applyFill="1" applyBorder="1"/>
    <xf numFmtId="11" fontId="0" fillId="11" borderId="1" xfId="0" applyNumberFormat="1" applyFont="1" applyFill="1" applyBorder="1"/>
    <xf numFmtId="0" fontId="0" fillId="0" borderId="6" xfId="0" applyFill="1" applyBorder="1"/>
    <xf numFmtId="11" fontId="0" fillId="12" borderId="1" xfId="0" applyNumberFormat="1" applyFont="1" applyFill="1" applyBorder="1"/>
    <xf numFmtId="0" fontId="0" fillId="0" borderId="7" xfId="0" applyFill="1" applyBorder="1"/>
    <xf numFmtId="2" fontId="5" fillId="4" borderId="1" xfId="0" applyNumberFormat="1" applyFont="1" applyFill="1" applyBorder="1"/>
    <xf numFmtId="0" fontId="5" fillId="4" borderId="1" xfId="0" applyFont="1" applyFill="1" applyBorder="1"/>
    <xf numFmtId="0" fontId="5" fillId="0" borderId="1" xfId="0" applyFont="1" applyFill="1" applyBorder="1"/>
    <xf numFmtId="2" fontId="5" fillId="0" borderId="1" xfId="0" applyNumberFormat="1" applyFont="1" applyFill="1" applyBorder="1"/>
    <xf numFmtId="15" fontId="0" fillId="0" borderId="0" xfId="0" applyNumberFormat="1" applyFill="1"/>
    <xf numFmtId="0" fontId="0" fillId="0" borderId="8" xfId="0" applyNumberFormat="1" applyFill="1" applyBorder="1"/>
    <xf numFmtId="0" fontId="5" fillId="0" borderId="1" xfId="0" applyFont="1" applyBorder="1"/>
    <xf numFmtId="11" fontId="0" fillId="6" borderId="1" xfId="0" applyNumberFormat="1" applyFill="1" applyBorder="1"/>
    <xf numFmtId="11" fontId="0" fillId="12" borderId="1" xfId="0" applyNumberFormat="1" applyFill="1" applyBorder="1"/>
    <xf numFmtId="11" fontId="1" fillId="5" borderId="1" xfId="0" applyNumberFormat="1" applyFont="1" applyFill="1" applyBorder="1"/>
    <xf numFmtId="0" fontId="1" fillId="2" borderId="1" xfId="0" applyFont="1" applyFill="1" applyBorder="1"/>
    <xf numFmtId="16" fontId="1" fillId="2" borderId="1" xfId="0" applyNumberFormat="1" applyFont="1" applyFill="1" applyBorder="1"/>
    <xf numFmtId="15" fontId="1" fillId="2" borderId="1" xfId="0" applyNumberFormat="1" applyFont="1" applyFill="1" applyBorder="1"/>
    <xf numFmtId="0" fontId="1" fillId="5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C17F-343E-46B7-BC1E-0B2DCC1A2AB1}">
  <sheetPr>
    <pageSetUpPr fitToPage="1"/>
  </sheetPr>
  <dimension ref="A1:L127"/>
  <sheetViews>
    <sheetView topLeftCell="A76" workbookViewId="0">
      <selection activeCell="A90" sqref="A90"/>
    </sheetView>
    <sheetView workbookViewId="1"/>
  </sheetViews>
  <sheetFormatPr defaultRowHeight="15" x14ac:dyDescent="0.25"/>
  <cols>
    <col min="1" max="1" width="8.85546875" bestFit="1" customWidth="1"/>
    <col min="2" max="2" width="19.42578125" bestFit="1" customWidth="1"/>
    <col min="3" max="3" width="8.5703125" bestFit="1" customWidth="1"/>
    <col min="4" max="4" width="11.28515625" customWidth="1"/>
    <col min="5" max="5" width="16.140625" customWidth="1"/>
    <col min="6" max="6" width="9.42578125" customWidth="1"/>
    <col min="7" max="7" width="8.28515625" customWidth="1"/>
    <col min="8" max="8" width="6.85546875" customWidth="1"/>
    <col min="9" max="9" width="8.28515625" customWidth="1"/>
    <col min="10" max="10" width="8.5703125" customWidth="1"/>
    <col min="11" max="11" width="11.28515625" bestFit="1" customWidth="1"/>
    <col min="12" max="12" width="28.140625" bestFit="1" customWidth="1"/>
  </cols>
  <sheetData>
    <row r="1" spans="1:12" ht="17.25" x14ac:dyDescent="0.25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5</v>
      </c>
      <c r="I1" s="62" t="s">
        <v>6</v>
      </c>
      <c r="J1" s="62" t="s">
        <v>7</v>
      </c>
      <c r="K1" s="62" t="s">
        <v>8</v>
      </c>
      <c r="L1" s="62" t="s">
        <v>9</v>
      </c>
    </row>
    <row r="2" spans="1:12" x14ac:dyDescent="0.25">
      <c r="A2" s="3">
        <v>100</v>
      </c>
      <c r="B2" s="4" t="s">
        <v>10</v>
      </c>
      <c r="C2" s="5">
        <v>1</v>
      </c>
      <c r="D2" s="14">
        <v>43908</v>
      </c>
      <c r="E2" s="14">
        <v>44077</v>
      </c>
      <c r="F2" s="15">
        <v>130</v>
      </c>
      <c r="G2" s="16">
        <v>5.0000000000000004E-6</v>
      </c>
      <c r="H2" s="15">
        <v>22</v>
      </c>
      <c r="I2" s="16">
        <v>9.9999999999999995E-7</v>
      </c>
      <c r="J2" s="16">
        <f>F2/G2</f>
        <v>25999999.999999996</v>
      </c>
      <c r="K2" s="10">
        <f>100000/J2</f>
        <v>3.8461538461538468E-3</v>
      </c>
      <c r="L2" s="11"/>
    </row>
    <row r="3" spans="1:12" x14ac:dyDescent="0.25">
      <c r="A3" s="6">
        <v>101</v>
      </c>
      <c r="B3" s="6" t="s">
        <v>11</v>
      </c>
      <c r="C3" s="6">
        <v>1</v>
      </c>
      <c r="D3" s="7">
        <v>44040</v>
      </c>
      <c r="E3" s="7">
        <v>44076</v>
      </c>
      <c r="F3" s="6">
        <v>40</v>
      </c>
      <c r="G3" s="9">
        <v>9.9999999999999995E-7</v>
      </c>
      <c r="H3" s="6">
        <v>275</v>
      </c>
      <c r="I3" s="9">
        <v>1.0000000000000001E-5</v>
      </c>
      <c r="J3" s="9"/>
      <c r="K3" s="10"/>
      <c r="L3" s="12"/>
    </row>
    <row r="4" spans="1:12" x14ac:dyDescent="0.25">
      <c r="A4" s="6">
        <v>101</v>
      </c>
      <c r="B4" s="6" t="s">
        <v>11</v>
      </c>
      <c r="C4" s="6">
        <v>1</v>
      </c>
      <c r="D4" s="17">
        <v>44040</v>
      </c>
      <c r="E4" s="14">
        <v>44077</v>
      </c>
      <c r="F4" s="18">
        <v>65</v>
      </c>
      <c r="G4" s="19">
        <v>1.9999999999999999E-6</v>
      </c>
      <c r="H4" s="18"/>
      <c r="I4" s="19"/>
      <c r="J4" s="19">
        <f>F4/G4</f>
        <v>32500000</v>
      </c>
      <c r="K4" s="10">
        <f t="shared" ref="K4:K23" si="0">100000/J4</f>
        <v>3.0769230769230769E-3</v>
      </c>
      <c r="L4" s="12"/>
    </row>
    <row r="5" spans="1:12" x14ac:dyDescent="0.25">
      <c r="A5" s="6">
        <v>102</v>
      </c>
      <c r="B5" s="6" t="s">
        <v>12</v>
      </c>
      <c r="C5" s="6">
        <v>1</v>
      </c>
      <c r="D5" s="7">
        <v>44040</v>
      </c>
      <c r="E5" s="7">
        <v>44076</v>
      </c>
      <c r="F5" s="6">
        <v>93</v>
      </c>
      <c r="G5" s="9">
        <v>9.9999999999999995E-7</v>
      </c>
      <c r="H5" s="6" t="s">
        <v>13</v>
      </c>
      <c r="I5" s="9">
        <v>1.0000000000000001E-5</v>
      </c>
      <c r="J5" s="9">
        <f>F5/G5</f>
        <v>93000000</v>
      </c>
      <c r="K5" s="10">
        <f t="shared" si="0"/>
        <v>1.0752688172043011E-3</v>
      </c>
      <c r="L5" s="12"/>
    </row>
    <row r="6" spans="1:12" x14ac:dyDescent="0.25">
      <c r="A6" s="6">
        <v>103</v>
      </c>
      <c r="B6" s="6" t="s">
        <v>14</v>
      </c>
      <c r="C6" s="6">
        <v>1</v>
      </c>
      <c r="D6" s="7">
        <v>44040</v>
      </c>
      <c r="E6" s="7">
        <v>44076</v>
      </c>
      <c r="F6" s="6">
        <v>34</v>
      </c>
      <c r="G6" s="9">
        <v>9.9999999999999995E-7</v>
      </c>
      <c r="H6" s="6" t="s">
        <v>13</v>
      </c>
      <c r="I6" s="9">
        <v>1.0000000000000001E-5</v>
      </c>
      <c r="J6" s="9"/>
      <c r="K6" s="10"/>
      <c r="L6" s="12"/>
    </row>
    <row r="7" spans="1:12" x14ac:dyDescent="0.25">
      <c r="A7" s="6">
        <v>103</v>
      </c>
      <c r="B7" s="6" t="s">
        <v>14</v>
      </c>
      <c r="C7" s="6">
        <v>1</v>
      </c>
      <c r="D7" s="7">
        <v>44040</v>
      </c>
      <c r="E7" s="8">
        <v>44077</v>
      </c>
      <c r="F7" s="6">
        <v>73</v>
      </c>
      <c r="G7" s="9">
        <v>1.9999999999999999E-6</v>
      </c>
      <c r="H7" s="6">
        <v>209</v>
      </c>
      <c r="I7" s="9">
        <v>5.0000000000000004E-6</v>
      </c>
      <c r="J7" s="9">
        <f t="shared" ref="J7:J14" si="1">F7/G7</f>
        <v>36500000</v>
      </c>
      <c r="K7" s="10">
        <f t="shared" si="0"/>
        <v>2.7397260273972603E-3</v>
      </c>
      <c r="L7" s="12"/>
    </row>
    <row r="8" spans="1:12" x14ac:dyDescent="0.25">
      <c r="A8" s="6">
        <v>104</v>
      </c>
      <c r="B8" s="6" t="s">
        <v>15</v>
      </c>
      <c r="C8" s="6">
        <v>1</v>
      </c>
      <c r="D8" s="7">
        <v>44040</v>
      </c>
      <c r="E8" s="7">
        <v>44076</v>
      </c>
      <c r="F8" s="6">
        <v>90</v>
      </c>
      <c r="G8" s="9">
        <v>9.9999999999999995E-7</v>
      </c>
      <c r="H8" s="6" t="s">
        <v>13</v>
      </c>
      <c r="I8" s="9">
        <v>1.0000000000000001E-5</v>
      </c>
      <c r="J8" s="9">
        <f t="shared" si="1"/>
        <v>90000000</v>
      </c>
      <c r="K8" s="10">
        <f t="shared" si="0"/>
        <v>1.1111111111111111E-3</v>
      </c>
      <c r="L8" s="12"/>
    </row>
    <row r="9" spans="1:12" x14ac:dyDescent="0.25">
      <c r="A9" s="6">
        <v>105</v>
      </c>
      <c r="B9" s="6" t="s">
        <v>16</v>
      </c>
      <c r="C9" s="6">
        <v>1</v>
      </c>
      <c r="D9" s="7">
        <v>44040</v>
      </c>
      <c r="E9" s="7">
        <v>44076</v>
      </c>
      <c r="F9" s="6">
        <v>165</v>
      </c>
      <c r="G9" s="9">
        <v>1.0000000000000001E-5</v>
      </c>
      <c r="H9" s="6">
        <v>18</v>
      </c>
      <c r="I9" s="9">
        <v>9.9999999999999995E-7</v>
      </c>
      <c r="J9" s="9">
        <f t="shared" si="1"/>
        <v>16499999.999999998</v>
      </c>
      <c r="K9" s="10">
        <f t="shared" si="0"/>
        <v>6.0606060606060615E-3</v>
      </c>
      <c r="L9" s="12"/>
    </row>
    <row r="10" spans="1:12" x14ac:dyDescent="0.25">
      <c r="A10" s="6">
        <v>106</v>
      </c>
      <c r="B10" s="6" t="s">
        <v>17</v>
      </c>
      <c r="C10" s="6">
        <v>1</v>
      </c>
      <c r="D10" s="7">
        <v>44040</v>
      </c>
      <c r="E10" s="7">
        <v>44076</v>
      </c>
      <c r="F10" s="6">
        <v>166</v>
      </c>
      <c r="G10" s="9">
        <v>9.9999999999999995E-7</v>
      </c>
      <c r="H10" s="6" t="s">
        <v>13</v>
      </c>
      <c r="I10" s="9">
        <v>1.0000000000000001E-5</v>
      </c>
      <c r="J10" s="9">
        <f t="shared" si="1"/>
        <v>166000000</v>
      </c>
      <c r="K10" s="10">
        <f t="shared" si="0"/>
        <v>6.0240963855421692E-4</v>
      </c>
      <c r="L10" s="12"/>
    </row>
    <row r="11" spans="1:12" x14ac:dyDescent="0.25">
      <c r="A11" s="6">
        <v>107</v>
      </c>
      <c r="B11" s="6" t="s">
        <v>18</v>
      </c>
      <c r="C11" s="6">
        <v>1</v>
      </c>
      <c r="D11" s="7">
        <v>44040</v>
      </c>
      <c r="E11" s="7">
        <v>44076</v>
      </c>
      <c r="F11" s="6">
        <v>138</v>
      </c>
      <c r="G11" s="9">
        <v>1.0000000000000001E-5</v>
      </c>
      <c r="H11" s="6">
        <v>12</v>
      </c>
      <c r="I11" s="9">
        <v>9.9999999999999995E-7</v>
      </c>
      <c r="J11" s="9">
        <f t="shared" si="1"/>
        <v>13799999.999999998</v>
      </c>
      <c r="K11" s="10">
        <f t="shared" si="0"/>
        <v>7.2463768115942039E-3</v>
      </c>
      <c r="L11" s="12"/>
    </row>
    <row r="12" spans="1:12" x14ac:dyDescent="0.25">
      <c r="A12" s="6">
        <v>108</v>
      </c>
      <c r="B12" s="6" t="s">
        <v>19</v>
      </c>
      <c r="C12" s="6">
        <v>1</v>
      </c>
      <c r="D12" s="7">
        <v>44040</v>
      </c>
      <c r="E12" s="7">
        <v>44076</v>
      </c>
      <c r="F12" s="6">
        <v>140</v>
      </c>
      <c r="G12" s="9">
        <v>1.0000000000000001E-5</v>
      </c>
      <c r="H12" s="6">
        <v>10</v>
      </c>
      <c r="I12" s="9">
        <v>9.9999999999999995E-7</v>
      </c>
      <c r="J12" s="9">
        <f t="shared" si="1"/>
        <v>13999999.999999998</v>
      </c>
      <c r="K12" s="10">
        <f t="shared" si="0"/>
        <v>7.1428571428571435E-3</v>
      </c>
      <c r="L12" s="12"/>
    </row>
    <row r="13" spans="1:12" x14ac:dyDescent="0.25">
      <c r="A13" s="6">
        <v>109</v>
      </c>
      <c r="B13" s="6" t="s">
        <v>20</v>
      </c>
      <c r="C13" s="6">
        <v>1</v>
      </c>
      <c r="D13" s="7">
        <v>44040</v>
      </c>
      <c r="E13" s="7">
        <v>44076</v>
      </c>
      <c r="F13" s="6">
        <v>56</v>
      </c>
      <c r="G13" s="9">
        <v>1.0000000000000001E-5</v>
      </c>
      <c r="H13" s="6"/>
      <c r="I13" s="6"/>
      <c r="J13" s="9">
        <f t="shared" si="1"/>
        <v>5600000</v>
      </c>
      <c r="K13" s="10">
        <f t="shared" si="0"/>
        <v>1.7857142857142856E-2</v>
      </c>
      <c r="L13" s="12"/>
    </row>
    <row r="14" spans="1:12" x14ac:dyDescent="0.25">
      <c r="A14" s="6">
        <v>110</v>
      </c>
      <c r="B14" s="6" t="s">
        <v>21</v>
      </c>
      <c r="C14" s="6">
        <v>1</v>
      </c>
      <c r="D14" s="7">
        <v>44040</v>
      </c>
      <c r="E14" s="7">
        <v>44076</v>
      </c>
      <c r="F14" s="6">
        <v>147</v>
      </c>
      <c r="G14" s="9">
        <v>1.0000000000000001E-5</v>
      </c>
      <c r="H14" s="6">
        <v>16</v>
      </c>
      <c r="I14" s="9">
        <v>9.9999999999999995E-7</v>
      </c>
      <c r="J14" s="9">
        <f t="shared" si="1"/>
        <v>14699999.999999998</v>
      </c>
      <c r="K14" s="10">
        <f t="shared" si="0"/>
        <v>6.8027210884353748E-3</v>
      </c>
      <c r="L14" s="12"/>
    </row>
    <row r="15" spans="1:12" x14ac:dyDescent="0.25">
      <c r="A15" s="6">
        <v>111</v>
      </c>
      <c r="B15" s="6" t="s">
        <v>22</v>
      </c>
      <c r="C15" s="6">
        <v>1</v>
      </c>
      <c r="D15" s="7">
        <v>44040</v>
      </c>
      <c r="E15" s="7">
        <v>44076</v>
      </c>
      <c r="F15" s="6">
        <v>14</v>
      </c>
      <c r="G15" s="9">
        <v>1.0000000000000001E-5</v>
      </c>
      <c r="H15" s="6"/>
      <c r="I15" s="6"/>
      <c r="J15" s="9"/>
      <c r="K15" s="10"/>
      <c r="L15" s="12"/>
    </row>
    <row r="16" spans="1:12" x14ac:dyDescent="0.25">
      <c r="A16" s="6">
        <v>111</v>
      </c>
      <c r="B16" s="6" t="s">
        <v>22</v>
      </c>
      <c r="C16" s="6">
        <v>1</v>
      </c>
      <c r="D16" s="7">
        <v>44040</v>
      </c>
      <c r="E16" s="8">
        <v>44077</v>
      </c>
      <c r="F16" s="6">
        <v>79</v>
      </c>
      <c r="G16" s="9">
        <v>5.0000000000000002E-5</v>
      </c>
      <c r="H16" s="6"/>
      <c r="I16" s="6"/>
      <c r="J16" s="9">
        <f>F16/G16</f>
        <v>1580000</v>
      </c>
      <c r="K16" s="10">
        <f t="shared" si="0"/>
        <v>6.3291139240506333E-2</v>
      </c>
      <c r="L16" s="12"/>
    </row>
    <row r="17" spans="1:12" x14ac:dyDescent="0.25">
      <c r="A17" s="6">
        <v>112</v>
      </c>
      <c r="B17" s="29" t="s">
        <v>23</v>
      </c>
      <c r="C17" s="6">
        <v>1</v>
      </c>
      <c r="D17" s="7">
        <v>44040</v>
      </c>
      <c r="E17" s="7">
        <v>44076</v>
      </c>
      <c r="F17" s="30">
        <v>40</v>
      </c>
      <c r="G17" s="9">
        <v>1.0000000000000001E-5</v>
      </c>
      <c r="H17" s="6"/>
      <c r="I17" s="6"/>
      <c r="J17" s="9"/>
      <c r="K17" s="10"/>
      <c r="L17" s="12"/>
    </row>
    <row r="18" spans="1:12" x14ac:dyDescent="0.25">
      <c r="A18" s="6">
        <v>112</v>
      </c>
      <c r="B18" s="29" t="s">
        <v>23</v>
      </c>
      <c r="C18" s="6">
        <v>1</v>
      </c>
      <c r="D18" s="7">
        <v>44040</v>
      </c>
      <c r="E18" s="7">
        <v>44077</v>
      </c>
      <c r="F18" s="30">
        <v>77</v>
      </c>
      <c r="G18" s="9">
        <v>2.0000000000000002E-5</v>
      </c>
      <c r="H18" s="6"/>
      <c r="I18" s="6"/>
      <c r="J18" s="9">
        <f>F18/G18</f>
        <v>3849999.9999999995</v>
      </c>
      <c r="K18" s="10">
        <f>100000/J18</f>
        <v>2.5974025974025976E-2</v>
      </c>
      <c r="L18" s="12"/>
    </row>
    <row r="19" spans="1:12" x14ac:dyDescent="0.25">
      <c r="A19" s="6">
        <v>113</v>
      </c>
      <c r="B19" s="29" t="s">
        <v>24</v>
      </c>
      <c r="C19" s="6">
        <v>1</v>
      </c>
      <c r="D19" s="7">
        <v>44040</v>
      </c>
      <c r="E19" s="7">
        <v>44076</v>
      </c>
      <c r="F19" s="30">
        <v>106</v>
      </c>
      <c r="G19" s="9">
        <v>1.0000000000000001E-5</v>
      </c>
      <c r="H19" s="6"/>
      <c r="I19" s="6"/>
      <c r="J19" s="9">
        <f>F19/G19</f>
        <v>10600000</v>
      </c>
      <c r="K19" s="10">
        <f>100000/J19</f>
        <v>9.433962264150943E-3</v>
      </c>
      <c r="L19" s="12"/>
    </row>
    <row r="20" spans="1:12" x14ac:dyDescent="0.25">
      <c r="A20" s="6">
        <v>114</v>
      </c>
      <c r="B20" s="29" t="s">
        <v>25</v>
      </c>
      <c r="C20" s="6">
        <v>1</v>
      </c>
      <c r="D20" s="7">
        <v>44040</v>
      </c>
      <c r="E20" s="7">
        <v>44076</v>
      </c>
      <c r="F20" s="30">
        <v>10</v>
      </c>
      <c r="G20" s="9">
        <v>9.9999999999999995E-7</v>
      </c>
      <c r="H20" s="6"/>
      <c r="I20" s="6"/>
      <c r="J20" s="9"/>
      <c r="K20" s="10"/>
      <c r="L20" s="12"/>
    </row>
    <row r="21" spans="1:12" x14ac:dyDescent="0.25">
      <c r="A21" s="6">
        <v>114</v>
      </c>
      <c r="B21" s="29" t="s">
        <v>25</v>
      </c>
      <c r="C21" s="6">
        <v>1</v>
      </c>
      <c r="D21" s="7">
        <v>44040</v>
      </c>
      <c r="E21" s="8">
        <v>44077</v>
      </c>
      <c r="F21" s="30">
        <v>78</v>
      </c>
      <c r="G21" s="9">
        <v>1.0000000000000001E-5</v>
      </c>
      <c r="H21" s="6">
        <v>28</v>
      </c>
      <c r="I21" s="9">
        <v>5.0000000000000004E-6</v>
      </c>
      <c r="J21" s="9">
        <f>F21/G21</f>
        <v>7799999.9999999991</v>
      </c>
      <c r="K21" s="10">
        <f>100000/J21</f>
        <v>1.2820512820512822E-2</v>
      </c>
      <c r="L21" s="12"/>
    </row>
    <row r="22" spans="1:12" x14ac:dyDescent="0.25">
      <c r="A22" s="6">
        <v>115</v>
      </c>
      <c r="B22" s="29" t="s">
        <v>26</v>
      </c>
      <c r="C22" s="6">
        <v>1</v>
      </c>
      <c r="D22" s="7">
        <v>44040</v>
      </c>
      <c r="E22" s="31">
        <v>44076</v>
      </c>
      <c r="F22" s="30">
        <v>16</v>
      </c>
      <c r="G22" s="9">
        <v>9.9999999999999995E-7</v>
      </c>
      <c r="H22" s="6"/>
      <c r="I22" s="6"/>
      <c r="J22" s="9"/>
      <c r="K22" s="10"/>
      <c r="L22" s="12"/>
    </row>
    <row r="23" spans="1:12" x14ac:dyDescent="0.25">
      <c r="A23" s="13">
        <v>115</v>
      </c>
      <c r="B23" s="29" t="s">
        <v>26</v>
      </c>
      <c r="C23" s="6">
        <v>1</v>
      </c>
      <c r="D23" s="7">
        <v>44040</v>
      </c>
      <c r="E23" s="31">
        <v>44077</v>
      </c>
      <c r="F23" s="30">
        <v>57</v>
      </c>
      <c r="G23" s="9">
        <v>5.0000000000000004E-6</v>
      </c>
      <c r="H23" s="6"/>
      <c r="I23" s="6"/>
      <c r="J23" s="9">
        <f>F23/G23</f>
        <v>11399999.999999998</v>
      </c>
      <c r="K23" s="10">
        <f t="shared" si="0"/>
        <v>8.7719298245614048E-3</v>
      </c>
      <c r="L23" s="6"/>
    </row>
    <row r="25" spans="1:12" x14ac:dyDescent="0.25">
      <c r="A25" s="23">
        <v>116</v>
      </c>
      <c r="B25" s="23" t="s">
        <v>27</v>
      </c>
      <c r="C25" s="23">
        <v>1</v>
      </c>
      <c r="D25" s="49">
        <v>44046</v>
      </c>
      <c r="E25" s="50">
        <v>44083</v>
      </c>
      <c r="F25" s="51">
        <v>77</v>
      </c>
      <c r="G25" s="52">
        <v>9.9999999999999995E-7</v>
      </c>
      <c r="H25" s="23"/>
      <c r="I25" s="23"/>
      <c r="J25" s="52">
        <f>F25/G25</f>
        <v>77000000</v>
      </c>
      <c r="K25" s="52">
        <f>(100000)/J25</f>
        <v>1.2987012987012987E-3</v>
      </c>
      <c r="L25" s="6"/>
    </row>
    <row r="26" spans="1:12" x14ac:dyDescent="0.25">
      <c r="A26" s="6">
        <v>117</v>
      </c>
      <c r="B26" s="6" t="s">
        <v>28</v>
      </c>
      <c r="C26" s="6">
        <v>1</v>
      </c>
      <c r="D26" s="45">
        <v>44046</v>
      </c>
      <c r="E26" s="7">
        <v>44083</v>
      </c>
      <c r="F26" s="13">
        <v>184</v>
      </c>
      <c r="G26" s="9">
        <v>9.9999999999999995E-7</v>
      </c>
      <c r="H26" s="6"/>
      <c r="I26" s="6"/>
      <c r="J26" s="55">
        <f t="shared" ref="J26:J52" si="2">F26/G26</f>
        <v>184000000</v>
      </c>
      <c r="K26" s="55">
        <f t="shared" ref="K26:K52" si="3">(100000)/J26</f>
        <v>5.4347826086956522E-4</v>
      </c>
      <c r="L26" s="6" t="s">
        <v>29</v>
      </c>
    </row>
    <row r="27" spans="1:12" x14ac:dyDescent="0.25">
      <c r="A27" s="23">
        <v>117</v>
      </c>
      <c r="B27" s="23" t="s">
        <v>28</v>
      </c>
      <c r="C27" s="23">
        <v>1</v>
      </c>
      <c r="D27" s="49">
        <v>44046</v>
      </c>
      <c r="E27" s="50">
        <v>44084</v>
      </c>
      <c r="F27" s="51">
        <v>129</v>
      </c>
      <c r="G27" s="52">
        <v>4.9999999999999998E-7</v>
      </c>
      <c r="H27" s="23"/>
      <c r="I27" s="23"/>
      <c r="J27" s="52">
        <f t="shared" si="2"/>
        <v>258000000</v>
      </c>
      <c r="K27" s="52">
        <f t="shared" si="3"/>
        <v>3.875968992248062E-4</v>
      </c>
      <c r="L27" s="6"/>
    </row>
    <row r="28" spans="1:12" x14ac:dyDescent="0.25">
      <c r="A28" s="6">
        <v>118</v>
      </c>
      <c r="B28" s="6" t="s">
        <v>30</v>
      </c>
      <c r="C28" s="6">
        <v>2</v>
      </c>
      <c r="D28" s="7">
        <v>44073</v>
      </c>
      <c r="E28" s="7">
        <v>44083</v>
      </c>
      <c r="F28" s="13">
        <v>160</v>
      </c>
      <c r="G28" s="9">
        <v>1.0000000000000001E-5</v>
      </c>
      <c r="H28" s="6"/>
      <c r="I28" s="12"/>
      <c r="J28" s="55">
        <f t="shared" si="2"/>
        <v>15999999.999999998</v>
      </c>
      <c r="K28" s="55">
        <f t="shared" si="3"/>
        <v>6.2500000000000003E-3</v>
      </c>
      <c r="L28" s="6" t="s">
        <v>31</v>
      </c>
    </row>
    <row r="29" spans="1:12" x14ac:dyDescent="0.25">
      <c r="A29" s="23">
        <v>118</v>
      </c>
      <c r="B29" s="23" t="s">
        <v>30</v>
      </c>
      <c r="C29" s="23">
        <v>2</v>
      </c>
      <c r="D29" s="50">
        <v>44073</v>
      </c>
      <c r="E29" s="50">
        <v>44084</v>
      </c>
      <c r="F29" s="51">
        <v>58</v>
      </c>
      <c r="G29" s="52">
        <v>5.0000000000000004E-6</v>
      </c>
      <c r="H29" s="6"/>
      <c r="I29" s="6"/>
      <c r="J29" s="52">
        <f t="shared" si="2"/>
        <v>11599999.999999998</v>
      </c>
      <c r="K29" s="52">
        <f t="shared" si="3"/>
        <v>8.6206896551724154E-3</v>
      </c>
      <c r="L29" s="6"/>
    </row>
    <row r="30" spans="1:12" x14ac:dyDescent="0.25">
      <c r="A30" s="6">
        <v>119</v>
      </c>
      <c r="B30" s="13" t="s">
        <v>32</v>
      </c>
      <c r="C30" s="13">
        <v>1</v>
      </c>
      <c r="D30" s="47">
        <v>44046</v>
      </c>
      <c r="E30" s="48">
        <v>44083</v>
      </c>
      <c r="F30" s="6">
        <v>140</v>
      </c>
      <c r="G30" s="9">
        <v>9.9999999999999995E-7</v>
      </c>
      <c r="H30" s="6"/>
      <c r="I30" s="12"/>
      <c r="J30" s="55">
        <f t="shared" si="2"/>
        <v>140000000</v>
      </c>
      <c r="K30" s="55">
        <f t="shared" si="3"/>
        <v>7.1428571428571429E-4</v>
      </c>
      <c r="L30" s="6" t="s">
        <v>29</v>
      </c>
    </row>
    <row r="31" spans="1:12" x14ac:dyDescent="0.25">
      <c r="A31" s="23">
        <v>119</v>
      </c>
      <c r="B31" s="51" t="s">
        <v>32</v>
      </c>
      <c r="C31" s="51">
        <v>1</v>
      </c>
      <c r="D31" s="53">
        <v>44046</v>
      </c>
      <c r="E31" s="50">
        <v>44084</v>
      </c>
      <c r="F31" s="23">
        <v>64</v>
      </c>
      <c r="G31" s="52">
        <v>4.9999999999999998E-7</v>
      </c>
      <c r="H31" s="6"/>
      <c r="I31" s="6"/>
      <c r="J31" s="52">
        <f t="shared" si="2"/>
        <v>128000000</v>
      </c>
      <c r="K31" s="52">
        <f t="shared" si="3"/>
        <v>7.8125000000000004E-4</v>
      </c>
      <c r="L31" s="6"/>
    </row>
    <row r="32" spans="1:12" x14ac:dyDescent="0.25">
      <c r="A32" s="23">
        <v>120</v>
      </c>
      <c r="B32" s="51" t="s">
        <v>33</v>
      </c>
      <c r="C32" s="51">
        <v>1</v>
      </c>
      <c r="D32" s="53">
        <v>44046</v>
      </c>
      <c r="E32" s="54">
        <v>44083</v>
      </c>
      <c r="F32" s="51">
        <v>53</v>
      </c>
      <c r="G32" s="52">
        <v>1.0000000000000001E-5</v>
      </c>
      <c r="H32" s="23"/>
      <c r="I32" s="23"/>
      <c r="J32" s="52">
        <f t="shared" si="2"/>
        <v>5300000</v>
      </c>
      <c r="K32" s="52">
        <f t="shared" si="3"/>
        <v>1.8867924528301886E-2</v>
      </c>
      <c r="L32" s="6"/>
    </row>
    <row r="33" spans="1:12" x14ac:dyDescent="0.25">
      <c r="A33" s="6">
        <v>121</v>
      </c>
      <c r="B33" s="13" t="s">
        <v>34</v>
      </c>
      <c r="C33" s="13">
        <v>1</v>
      </c>
      <c r="D33" s="47">
        <v>44046</v>
      </c>
      <c r="E33" s="48">
        <v>44083</v>
      </c>
      <c r="F33" s="13">
        <v>219</v>
      </c>
      <c r="G33" s="9">
        <v>9.9999999999999995E-7</v>
      </c>
      <c r="H33" s="6"/>
      <c r="I33" s="12"/>
      <c r="J33" s="55">
        <f t="shared" si="2"/>
        <v>219000000</v>
      </c>
      <c r="K33" s="55">
        <f t="shared" si="3"/>
        <v>4.5662100456621003E-4</v>
      </c>
      <c r="L33" s="6" t="s">
        <v>35</v>
      </c>
    </row>
    <row r="34" spans="1:12" x14ac:dyDescent="0.25">
      <c r="A34" s="23">
        <v>121</v>
      </c>
      <c r="B34" s="51" t="s">
        <v>34</v>
      </c>
      <c r="C34" s="51">
        <v>1</v>
      </c>
      <c r="D34" s="53">
        <v>44046</v>
      </c>
      <c r="E34" s="50">
        <v>44084</v>
      </c>
      <c r="F34" s="51">
        <v>101</v>
      </c>
      <c r="G34" s="52">
        <v>4.9999999999999998E-7</v>
      </c>
      <c r="H34" s="6">
        <v>43</v>
      </c>
      <c r="I34" s="9">
        <v>1.9999999999999999E-7</v>
      </c>
      <c r="J34" s="52">
        <f t="shared" si="2"/>
        <v>202000000</v>
      </c>
      <c r="K34" s="52">
        <f t="shared" si="3"/>
        <v>4.9504950495049506E-4</v>
      </c>
      <c r="L34" s="6"/>
    </row>
    <row r="35" spans="1:12" x14ac:dyDescent="0.25">
      <c r="A35" s="6">
        <v>122</v>
      </c>
      <c r="B35" s="13" t="s">
        <v>36</v>
      </c>
      <c r="C35" s="13">
        <v>1</v>
      </c>
      <c r="D35" s="47">
        <v>44046</v>
      </c>
      <c r="E35" s="48">
        <v>44083</v>
      </c>
      <c r="F35" s="13">
        <v>36</v>
      </c>
      <c r="G35" s="9">
        <v>9.9999999999999995E-7</v>
      </c>
      <c r="H35" s="6"/>
      <c r="I35" s="12"/>
      <c r="J35" s="55">
        <f t="shared" si="2"/>
        <v>36000000</v>
      </c>
      <c r="K35" s="55">
        <f t="shared" si="3"/>
        <v>2.7777777777777779E-3</v>
      </c>
      <c r="L35" s="6" t="s">
        <v>37</v>
      </c>
    </row>
    <row r="36" spans="1:12" x14ac:dyDescent="0.25">
      <c r="A36" s="23">
        <v>122</v>
      </c>
      <c r="B36" s="51" t="s">
        <v>36</v>
      </c>
      <c r="C36" s="51">
        <v>1</v>
      </c>
      <c r="D36" s="53">
        <v>44046</v>
      </c>
      <c r="E36" s="50">
        <v>44084</v>
      </c>
      <c r="F36" s="51">
        <v>88</v>
      </c>
      <c r="G36" s="52">
        <v>1.9999999999999999E-6</v>
      </c>
      <c r="H36" s="6"/>
      <c r="I36" s="6"/>
      <c r="J36" s="52">
        <f t="shared" si="2"/>
        <v>44000000</v>
      </c>
      <c r="K36" s="52">
        <f t="shared" si="3"/>
        <v>2.2727272727272726E-3</v>
      </c>
      <c r="L36" s="6"/>
    </row>
    <row r="37" spans="1:12" x14ac:dyDescent="0.25">
      <c r="A37" s="6">
        <v>123</v>
      </c>
      <c r="B37" s="13" t="s">
        <v>38</v>
      </c>
      <c r="C37" s="13">
        <v>1</v>
      </c>
      <c r="D37" s="47">
        <v>44046</v>
      </c>
      <c r="E37" s="48">
        <v>44083</v>
      </c>
      <c r="F37" s="13">
        <v>34</v>
      </c>
      <c r="G37" s="9">
        <v>9.9999999999999995E-7</v>
      </c>
      <c r="H37" s="6"/>
      <c r="I37" s="12"/>
      <c r="J37" s="55">
        <f t="shared" si="2"/>
        <v>34000000</v>
      </c>
      <c r="K37" s="55">
        <f t="shared" si="3"/>
        <v>2.9411764705882353E-3</v>
      </c>
      <c r="L37" s="6" t="s">
        <v>37</v>
      </c>
    </row>
    <row r="38" spans="1:12" x14ac:dyDescent="0.25">
      <c r="A38" s="23">
        <v>123</v>
      </c>
      <c r="B38" s="51" t="s">
        <v>38</v>
      </c>
      <c r="C38" s="51">
        <v>1</v>
      </c>
      <c r="D38" s="53">
        <v>44046</v>
      </c>
      <c r="E38" s="50">
        <v>44084</v>
      </c>
      <c r="F38" s="51">
        <v>73</v>
      </c>
      <c r="G38" s="52">
        <v>1.9999999999999999E-6</v>
      </c>
      <c r="H38" s="6"/>
      <c r="I38" s="6"/>
      <c r="J38" s="52">
        <f t="shared" si="2"/>
        <v>36500000</v>
      </c>
      <c r="K38" s="52">
        <f t="shared" si="3"/>
        <v>2.7397260273972603E-3</v>
      </c>
      <c r="L38" s="6"/>
    </row>
    <row r="39" spans="1:12" x14ac:dyDescent="0.25">
      <c r="A39" s="6">
        <v>124</v>
      </c>
      <c r="B39" s="13" t="s">
        <v>39</v>
      </c>
      <c r="C39" s="13">
        <v>1</v>
      </c>
      <c r="D39" s="47">
        <v>44046</v>
      </c>
      <c r="E39" s="48">
        <v>44083</v>
      </c>
      <c r="F39" s="13">
        <v>125</v>
      </c>
      <c r="G39" s="9">
        <v>9.9999999999999995E-7</v>
      </c>
      <c r="H39" s="6"/>
      <c r="I39" s="6"/>
      <c r="J39" s="55">
        <f t="shared" si="2"/>
        <v>125000000</v>
      </c>
      <c r="K39" s="55">
        <f t="shared" si="3"/>
        <v>8.0000000000000004E-4</v>
      </c>
      <c r="L39" s="6" t="s">
        <v>29</v>
      </c>
    </row>
    <row r="40" spans="1:12" x14ac:dyDescent="0.25">
      <c r="A40" s="23">
        <v>124</v>
      </c>
      <c r="B40" s="51" t="s">
        <v>39</v>
      </c>
      <c r="C40" s="51">
        <v>1</v>
      </c>
      <c r="D40" s="53">
        <v>44046</v>
      </c>
      <c r="E40" s="50">
        <v>44084</v>
      </c>
      <c r="F40" s="51">
        <v>85</v>
      </c>
      <c r="G40" s="52">
        <v>4.9999999999999998E-7</v>
      </c>
      <c r="H40" s="6"/>
      <c r="I40" s="6"/>
      <c r="J40" s="52">
        <f t="shared" si="2"/>
        <v>170000000</v>
      </c>
      <c r="K40" s="52">
        <f t="shared" si="3"/>
        <v>5.8823529411764701E-4</v>
      </c>
      <c r="L40" s="6"/>
    </row>
    <row r="41" spans="1:12" x14ac:dyDescent="0.25">
      <c r="A41" s="23">
        <v>125</v>
      </c>
      <c r="B41" s="51" t="s">
        <v>40</v>
      </c>
      <c r="C41" s="51">
        <v>1</v>
      </c>
      <c r="D41" s="53">
        <v>44046</v>
      </c>
      <c r="E41" s="54">
        <v>44083</v>
      </c>
      <c r="F41" s="51">
        <v>112</v>
      </c>
      <c r="G41" s="52">
        <v>9.9999999999999995E-7</v>
      </c>
      <c r="H41" s="23"/>
      <c r="I41" s="23"/>
      <c r="J41" s="52">
        <f t="shared" si="2"/>
        <v>112000000</v>
      </c>
      <c r="K41" s="52">
        <f t="shared" si="3"/>
        <v>8.9285714285714283E-4</v>
      </c>
      <c r="L41" s="23"/>
    </row>
    <row r="42" spans="1:12" x14ac:dyDescent="0.25">
      <c r="A42" s="100">
        <v>126</v>
      </c>
      <c r="B42" s="100" t="s">
        <v>41</v>
      </c>
      <c r="C42" s="100">
        <v>2</v>
      </c>
      <c r="D42" s="101">
        <v>44074</v>
      </c>
      <c r="E42" s="101">
        <v>44083</v>
      </c>
      <c r="F42" s="100" t="s">
        <v>42</v>
      </c>
      <c r="G42" s="100"/>
      <c r="H42" s="100"/>
      <c r="I42" s="100"/>
      <c r="J42" s="102"/>
      <c r="K42" s="102"/>
      <c r="L42" s="100" t="s">
        <v>43</v>
      </c>
    </row>
    <row r="43" spans="1:12" x14ac:dyDescent="0.25">
      <c r="A43" s="100">
        <v>126</v>
      </c>
      <c r="B43" s="100" t="s">
        <v>41</v>
      </c>
      <c r="C43" s="100">
        <v>2</v>
      </c>
      <c r="D43" s="101">
        <v>44074</v>
      </c>
      <c r="E43" s="101">
        <v>44084</v>
      </c>
      <c r="F43" s="100" t="s">
        <v>42</v>
      </c>
      <c r="G43" s="103">
        <v>1E-3</v>
      </c>
      <c r="H43" s="100" t="s">
        <v>42</v>
      </c>
      <c r="I43" s="103">
        <v>1E-4</v>
      </c>
      <c r="J43" s="102"/>
      <c r="K43" s="102"/>
      <c r="L43" s="100" t="s">
        <v>44</v>
      </c>
    </row>
    <row r="44" spans="1:12" x14ac:dyDescent="0.25">
      <c r="A44" s="100">
        <v>126</v>
      </c>
      <c r="B44" s="100" t="s">
        <v>41</v>
      </c>
      <c r="C44" s="100">
        <v>2</v>
      </c>
      <c r="D44" s="101">
        <v>44074</v>
      </c>
      <c r="E44" s="101">
        <v>44087</v>
      </c>
      <c r="F44" s="100" t="s">
        <v>42</v>
      </c>
      <c r="G44" s="103">
        <v>0.01</v>
      </c>
      <c r="H44" s="100" t="s">
        <v>42</v>
      </c>
      <c r="I44" s="103">
        <v>0.5</v>
      </c>
      <c r="J44" s="102"/>
      <c r="K44" s="102"/>
      <c r="L44" s="100" t="s">
        <v>45</v>
      </c>
    </row>
    <row r="45" spans="1:12" x14ac:dyDescent="0.25">
      <c r="A45" s="100">
        <v>126</v>
      </c>
      <c r="B45" s="100" t="s">
        <v>41</v>
      </c>
      <c r="C45" s="100">
        <v>2</v>
      </c>
      <c r="D45" s="101">
        <v>44074</v>
      </c>
      <c r="E45" s="101">
        <v>44091</v>
      </c>
      <c r="F45" s="100" t="s">
        <v>42</v>
      </c>
      <c r="G45" s="103">
        <v>0.1</v>
      </c>
      <c r="H45" s="100"/>
      <c r="I45" s="103"/>
      <c r="J45" s="102"/>
      <c r="K45" s="102"/>
      <c r="L45" s="100" t="s">
        <v>163</v>
      </c>
    </row>
    <row r="46" spans="1:12" x14ac:dyDescent="0.25">
      <c r="A46" s="51">
        <v>126</v>
      </c>
      <c r="B46" s="51" t="s">
        <v>41</v>
      </c>
      <c r="C46" s="51">
        <v>3</v>
      </c>
      <c r="D46" s="54">
        <v>44104</v>
      </c>
      <c r="E46" s="54">
        <v>44124</v>
      </c>
      <c r="F46" s="51">
        <v>69</v>
      </c>
      <c r="G46" s="108">
        <v>5.0000000000000001E-4</v>
      </c>
      <c r="H46" s="51">
        <v>8</v>
      </c>
      <c r="I46" s="108">
        <v>1E-4</v>
      </c>
      <c r="J46" s="108">
        <f>F46/G46</f>
        <v>138000</v>
      </c>
      <c r="K46" s="108">
        <f>(100000)/J46</f>
        <v>0.72463768115942029</v>
      </c>
      <c r="L46" s="51" t="s">
        <v>247</v>
      </c>
    </row>
    <row r="47" spans="1:12" x14ac:dyDescent="0.25">
      <c r="A47" s="6">
        <v>127</v>
      </c>
      <c r="B47" s="13" t="s">
        <v>46</v>
      </c>
      <c r="C47" s="13">
        <v>1</v>
      </c>
      <c r="D47" s="47">
        <v>44046</v>
      </c>
      <c r="E47" s="48">
        <v>44083</v>
      </c>
      <c r="F47" s="13">
        <v>29</v>
      </c>
      <c r="G47" s="9">
        <v>9.9999999999999995E-7</v>
      </c>
      <c r="H47" s="6"/>
      <c r="I47" s="6"/>
      <c r="J47" s="55">
        <f t="shared" si="2"/>
        <v>29000000</v>
      </c>
      <c r="K47" s="55">
        <f t="shared" si="3"/>
        <v>3.4482758620689655E-3</v>
      </c>
      <c r="L47" s="6" t="s">
        <v>47</v>
      </c>
    </row>
    <row r="48" spans="1:12" x14ac:dyDescent="0.25">
      <c r="A48" s="23">
        <v>127</v>
      </c>
      <c r="B48" s="51" t="s">
        <v>46</v>
      </c>
      <c r="C48" s="51">
        <v>1</v>
      </c>
      <c r="D48" s="53">
        <v>44046</v>
      </c>
      <c r="E48" s="50">
        <v>44084</v>
      </c>
      <c r="F48" s="51">
        <v>87</v>
      </c>
      <c r="G48" s="52">
        <v>1.9999999999999999E-6</v>
      </c>
      <c r="H48" s="6"/>
      <c r="I48" s="6"/>
      <c r="J48" s="52">
        <f t="shared" si="2"/>
        <v>43500000</v>
      </c>
      <c r="K48" s="52">
        <f t="shared" si="3"/>
        <v>2.2988505747126436E-3</v>
      </c>
      <c r="L48" s="6"/>
    </row>
    <row r="49" spans="1:12" x14ac:dyDescent="0.25">
      <c r="A49" s="23">
        <v>128</v>
      </c>
      <c r="B49" s="51" t="s">
        <v>48</v>
      </c>
      <c r="C49" s="51">
        <v>1</v>
      </c>
      <c r="D49" s="53">
        <v>44046</v>
      </c>
      <c r="E49" s="54">
        <v>44083</v>
      </c>
      <c r="F49" s="51">
        <v>68</v>
      </c>
      <c r="G49" s="52">
        <v>9.9999999999999995E-7</v>
      </c>
      <c r="H49" s="23"/>
      <c r="I49" s="23"/>
      <c r="J49" s="52">
        <f t="shared" si="2"/>
        <v>68000000</v>
      </c>
      <c r="K49" s="52">
        <f t="shared" si="3"/>
        <v>1.4705882352941176E-3</v>
      </c>
      <c r="L49" s="6"/>
    </row>
    <row r="50" spans="1:12" x14ac:dyDescent="0.25">
      <c r="A50" s="6">
        <v>129</v>
      </c>
      <c r="B50" s="13" t="s">
        <v>49</v>
      </c>
      <c r="C50" s="13">
        <v>2</v>
      </c>
      <c r="D50" s="48">
        <v>44073</v>
      </c>
      <c r="E50" s="48">
        <v>44083</v>
      </c>
      <c r="F50" s="13">
        <v>197</v>
      </c>
      <c r="G50" s="9">
        <v>1.0000000000000001E-5</v>
      </c>
      <c r="H50" s="6"/>
      <c r="I50" s="6"/>
      <c r="J50" s="55">
        <f t="shared" si="2"/>
        <v>19700000</v>
      </c>
      <c r="K50" s="55">
        <f t="shared" si="3"/>
        <v>5.076142131979695E-3</v>
      </c>
      <c r="L50" s="6" t="s">
        <v>31</v>
      </c>
    </row>
    <row r="51" spans="1:12" x14ac:dyDescent="0.25">
      <c r="A51" s="23">
        <v>129</v>
      </c>
      <c r="B51" s="51" t="s">
        <v>49</v>
      </c>
      <c r="C51" s="51">
        <v>2</v>
      </c>
      <c r="D51" s="54">
        <v>44073</v>
      </c>
      <c r="E51" s="50">
        <v>44084</v>
      </c>
      <c r="F51" s="51">
        <v>109</v>
      </c>
      <c r="G51" s="52">
        <v>5.0000000000000004E-6</v>
      </c>
      <c r="H51" s="6"/>
      <c r="I51" s="6"/>
      <c r="J51" s="52">
        <f t="shared" si="2"/>
        <v>21800000</v>
      </c>
      <c r="K51" s="52">
        <f t="shared" si="3"/>
        <v>4.5871559633027525E-3</v>
      </c>
      <c r="L51" s="6"/>
    </row>
    <row r="52" spans="1:12" x14ac:dyDescent="0.25">
      <c r="A52" s="23">
        <v>130</v>
      </c>
      <c r="B52" s="51" t="s">
        <v>50</v>
      </c>
      <c r="C52" s="51">
        <v>1</v>
      </c>
      <c r="D52" s="53">
        <v>44046</v>
      </c>
      <c r="E52" s="54">
        <v>44083</v>
      </c>
      <c r="F52" s="51">
        <v>53</v>
      </c>
      <c r="G52" s="52">
        <v>9.9999999999999995E-7</v>
      </c>
      <c r="H52" s="23"/>
      <c r="I52" s="23"/>
      <c r="J52" s="52">
        <f t="shared" si="2"/>
        <v>53000000</v>
      </c>
      <c r="K52" s="52">
        <f t="shared" si="3"/>
        <v>1.8867924528301887E-3</v>
      </c>
      <c r="L52" s="6"/>
    </row>
    <row r="53" spans="1:12" x14ac:dyDescent="0.25">
      <c r="A53" s="35"/>
      <c r="B53" s="35"/>
    </row>
    <row r="54" spans="1:12" x14ac:dyDescent="0.25">
      <c r="A54" s="51">
        <v>131</v>
      </c>
      <c r="B54" s="23" t="s">
        <v>91</v>
      </c>
      <c r="C54" s="23">
        <v>1</v>
      </c>
      <c r="D54" s="50">
        <v>44047</v>
      </c>
      <c r="E54" s="50">
        <v>44097</v>
      </c>
      <c r="F54" s="23">
        <v>129</v>
      </c>
      <c r="G54" s="52">
        <v>1.0000000000000001E-5</v>
      </c>
      <c r="H54" s="23">
        <v>6</v>
      </c>
      <c r="I54" s="52">
        <v>4.9999999999999998E-7</v>
      </c>
      <c r="J54" s="52">
        <f>F54/G54</f>
        <v>12899999.999999998</v>
      </c>
      <c r="K54" s="52">
        <f>(100000)/J54</f>
        <v>7.7519379844961248E-3</v>
      </c>
      <c r="L54" s="6"/>
    </row>
    <row r="55" spans="1:12" x14ac:dyDescent="0.25">
      <c r="A55" s="51">
        <v>132</v>
      </c>
      <c r="B55" s="23" t="s">
        <v>92</v>
      </c>
      <c r="C55" s="23">
        <v>1</v>
      </c>
      <c r="D55" s="50">
        <v>44047</v>
      </c>
      <c r="E55" s="50">
        <v>44097</v>
      </c>
      <c r="F55" s="23">
        <v>153</v>
      </c>
      <c r="G55" s="52">
        <v>1.0000000000000001E-5</v>
      </c>
      <c r="H55" s="23">
        <v>9</v>
      </c>
      <c r="I55" s="52">
        <v>4.9999999999999998E-7</v>
      </c>
      <c r="J55" s="52">
        <f>F55/G55</f>
        <v>15299999.999999998</v>
      </c>
      <c r="K55" s="52">
        <f t="shared" ref="K55:K72" si="4">(100000)/J55</f>
        <v>6.5359477124183017E-3</v>
      </c>
      <c r="L55" s="6"/>
    </row>
    <row r="56" spans="1:12" x14ac:dyDescent="0.25">
      <c r="A56" s="51">
        <v>133</v>
      </c>
      <c r="B56" s="23" t="s">
        <v>93</v>
      </c>
      <c r="C56" s="23">
        <v>1</v>
      </c>
      <c r="D56" s="50">
        <v>44047</v>
      </c>
      <c r="E56" s="50">
        <v>44097</v>
      </c>
      <c r="F56" s="23" t="s">
        <v>13</v>
      </c>
      <c r="G56" s="52">
        <v>1.0000000000000001E-5</v>
      </c>
      <c r="H56" s="23">
        <v>34</v>
      </c>
      <c r="I56" s="52">
        <v>9.9999999999999995E-7</v>
      </c>
      <c r="J56" s="52">
        <f>H56/I56</f>
        <v>34000000</v>
      </c>
      <c r="K56" s="52">
        <f t="shared" si="4"/>
        <v>2.9411764705882353E-3</v>
      </c>
      <c r="L56" s="6"/>
    </row>
    <row r="57" spans="1:12" x14ac:dyDescent="0.25">
      <c r="A57" s="92">
        <v>134</v>
      </c>
      <c r="B57" s="104" t="s">
        <v>94</v>
      </c>
      <c r="C57" s="104"/>
      <c r="D57" s="6"/>
      <c r="E57" s="7"/>
      <c r="F57" s="6"/>
      <c r="G57" s="6"/>
      <c r="H57" s="6"/>
      <c r="I57" s="9"/>
      <c r="J57" s="6"/>
      <c r="K57" s="9"/>
      <c r="L57" s="6"/>
    </row>
    <row r="58" spans="1:12" x14ac:dyDescent="0.25">
      <c r="A58" s="51">
        <v>135</v>
      </c>
      <c r="B58" s="23" t="s">
        <v>95</v>
      </c>
      <c r="C58" s="23">
        <v>1</v>
      </c>
      <c r="D58" s="50">
        <v>44047</v>
      </c>
      <c r="E58" s="50">
        <v>44097</v>
      </c>
      <c r="F58" s="23">
        <v>117</v>
      </c>
      <c r="G58" s="52">
        <v>1.0000000000000001E-5</v>
      </c>
      <c r="H58" s="23">
        <v>10</v>
      </c>
      <c r="I58" s="52">
        <v>9.9999999999999995E-7</v>
      </c>
      <c r="J58" s="52">
        <f>F58/G58</f>
        <v>11699999.999999998</v>
      </c>
      <c r="K58" s="52">
        <f t="shared" si="4"/>
        <v>8.5470085470085479E-3</v>
      </c>
      <c r="L58" s="6"/>
    </row>
    <row r="59" spans="1:12" x14ac:dyDescent="0.25">
      <c r="A59" s="92">
        <v>136</v>
      </c>
      <c r="B59" s="6" t="s">
        <v>96</v>
      </c>
      <c r="C59" s="6">
        <v>1</v>
      </c>
      <c r="D59" s="7">
        <v>44054</v>
      </c>
      <c r="E59" s="7">
        <v>44097</v>
      </c>
      <c r="F59" s="6">
        <v>0</v>
      </c>
      <c r="G59" s="9">
        <v>1.0000000000000001E-5</v>
      </c>
      <c r="H59" s="6">
        <v>0</v>
      </c>
      <c r="I59" s="9">
        <v>9.9999999999999995E-7</v>
      </c>
      <c r="J59" s="6"/>
      <c r="K59" s="9"/>
      <c r="L59" s="6"/>
    </row>
    <row r="60" spans="1:12" x14ac:dyDescent="0.25">
      <c r="A60" s="92">
        <v>136</v>
      </c>
      <c r="B60" s="12" t="s">
        <v>96</v>
      </c>
      <c r="C60" s="12">
        <v>1</v>
      </c>
      <c r="D60" s="107">
        <v>44054</v>
      </c>
      <c r="E60" s="107">
        <v>44098</v>
      </c>
      <c r="F60" s="12">
        <v>11</v>
      </c>
      <c r="G60" s="55">
        <v>5.0000000000000001E-4</v>
      </c>
      <c r="H60" s="12">
        <v>4</v>
      </c>
      <c r="I60" s="55">
        <v>5.0000000000000002E-5</v>
      </c>
      <c r="J60" s="55"/>
      <c r="K60" s="55"/>
      <c r="L60" s="6"/>
    </row>
    <row r="61" spans="1:12" x14ac:dyDescent="0.25">
      <c r="A61" s="51">
        <v>136</v>
      </c>
      <c r="B61" s="51" t="s">
        <v>96</v>
      </c>
      <c r="C61" s="51">
        <v>1</v>
      </c>
      <c r="D61" s="54">
        <v>44054</v>
      </c>
      <c r="E61" s="54">
        <v>44102</v>
      </c>
      <c r="F61" s="51">
        <v>56</v>
      </c>
      <c r="G61" s="108">
        <v>5.0000000000000001E-3</v>
      </c>
      <c r="H61" s="51">
        <v>18</v>
      </c>
      <c r="I61" s="108">
        <v>1E-3</v>
      </c>
      <c r="J61" s="108">
        <f>F61/G61</f>
        <v>11200</v>
      </c>
      <c r="K61" s="108">
        <f>(100000)/J61</f>
        <v>8.9285714285714288</v>
      </c>
      <c r="L61" s="51" t="s">
        <v>176</v>
      </c>
    </row>
    <row r="62" spans="1:12" x14ac:dyDescent="0.25">
      <c r="A62" s="92" t="s">
        <v>212</v>
      </c>
      <c r="B62" s="92" t="s">
        <v>96</v>
      </c>
      <c r="C62" s="123" t="s">
        <v>213</v>
      </c>
      <c r="D62" s="126">
        <v>44109</v>
      </c>
      <c r="E62" s="124">
        <v>44111</v>
      </c>
      <c r="F62" s="92" t="s">
        <v>13</v>
      </c>
      <c r="G62" s="90">
        <v>1E-4</v>
      </c>
      <c r="H62" s="51"/>
      <c r="I62" s="108"/>
      <c r="J62" s="90"/>
      <c r="K62" s="90"/>
      <c r="L62" s="92" t="s">
        <v>214</v>
      </c>
    </row>
    <row r="63" spans="1:12" x14ac:dyDescent="0.25">
      <c r="A63" s="51" t="s">
        <v>212</v>
      </c>
      <c r="B63" s="51" t="s">
        <v>96</v>
      </c>
      <c r="C63" s="132" t="s">
        <v>213</v>
      </c>
      <c r="D63" s="131">
        <v>44109</v>
      </c>
      <c r="E63" s="54">
        <v>44117</v>
      </c>
      <c r="F63" s="51">
        <v>112</v>
      </c>
      <c r="G63" s="108">
        <v>1.0000000000000001E-5</v>
      </c>
      <c r="H63" s="51"/>
      <c r="I63" s="108"/>
      <c r="J63" s="108">
        <f>F63/G63</f>
        <v>11200000</v>
      </c>
      <c r="K63" s="108">
        <f>(100000)/J63</f>
        <v>8.9285714285714281E-3</v>
      </c>
      <c r="L63" s="92"/>
    </row>
    <row r="64" spans="1:12" x14ac:dyDescent="0.25">
      <c r="A64" s="51">
        <v>137</v>
      </c>
      <c r="B64" s="51" t="s">
        <v>97</v>
      </c>
      <c r="C64" s="51">
        <v>2</v>
      </c>
      <c r="D64" s="54">
        <v>44067</v>
      </c>
      <c r="E64" s="54">
        <v>44097</v>
      </c>
      <c r="F64" s="51">
        <v>58</v>
      </c>
      <c r="G64" s="108">
        <v>1.0000000000000001E-5</v>
      </c>
      <c r="H64" s="51">
        <v>5</v>
      </c>
      <c r="I64" s="108">
        <v>9.9999999999999995E-7</v>
      </c>
      <c r="J64" s="108">
        <f>F64/G64</f>
        <v>5799999.9999999991</v>
      </c>
      <c r="K64" s="108">
        <f t="shared" si="4"/>
        <v>1.7241379310344831E-2</v>
      </c>
      <c r="L64" s="13"/>
    </row>
    <row r="65" spans="1:12" x14ac:dyDescent="0.25">
      <c r="A65" s="92">
        <v>138</v>
      </c>
      <c r="B65" s="13" t="s">
        <v>98</v>
      </c>
      <c r="C65" s="13"/>
      <c r="D65" s="13"/>
      <c r="E65" s="48"/>
      <c r="F65" s="13"/>
      <c r="G65" s="13"/>
      <c r="H65" s="13"/>
      <c r="I65" s="13"/>
      <c r="J65" s="13"/>
      <c r="K65" s="84"/>
      <c r="L65" s="13"/>
    </row>
    <row r="66" spans="1:12" x14ac:dyDescent="0.25">
      <c r="A66" s="51">
        <v>139</v>
      </c>
      <c r="B66" s="51" t="s">
        <v>99</v>
      </c>
      <c r="C66" s="51">
        <v>1</v>
      </c>
      <c r="D66" s="54">
        <v>44047</v>
      </c>
      <c r="E66" s="54">
        <v>44097</v>
      </c>
      <c r="F66" s="51">
        <v>32</v>
      </c>
      <c r="G66" s="108">
        <v>1.0000000000000001E-5</v>
      </c>
      <c r="H66" s="51">
        <v>1</v>
      </c>
      <c r="I66" s="108">
        <v>9.9999999999999995E-7</v>
      </c>
      <c r="J66" s="108">
        <f t="shared" ref="J66:J71" si="5">F66/G66</f>
        <v>3199999.9999999995</v>
      </c>
      <c r="K66" s="108">
        <f t="shared" si="4"/>
        <v>3.1250000000000007E-2</v>
      </c>
      <c r="L66" s="13"/>
    </row>
    <row r="67" spans="1:12" x14ac:dyDescent="0.25">
      <c r="A67" s="51">
        <v>140</v>
      </c>
      <c r="B67" s="51" t="s">
        <v>100</v>
      </c>
      <c r="C67" s="51">
        <v>1</v>
      </c>
      <c r="D67" s="54">
        <v>44047</v>
      </c>
      <c r="E67" s="54">
        <v>44097</v>
      </c>
      <c r="F67" s="51">
        <v>30</v>
      </c>
      <c r="G67" s="108">
        <v>1.0000000000000001E-5</v>
      </c>
      <c r="H67" s="51">
        <v>4</v>
      </c>
      <c r="I67" s="108">
        <v>9.9999999999999995E-7</v>
      </c>
      <c r="J67" s="108">
        <f t="shared" si="5"/>
        <v>2999999.9999999995</v>
      </c>
      <c r="K67" s="108">
        <f t="shared" si="4"/>
        <v>3.333333333333334E-2</v>
      </c>
      <c r="L67" s="13"/>
    </row>
    <row r="68" spans="1:12" x14ac:dyDescent="0.25">
      <c r="A68" s="92">
        <v>141</v>
      </c>
      <c r="B68" s="13" t="s">
        <v>101</v>
      </c>
      <c r="C68" s="13">
        <v>5</v>
      </c>
      <c r="D68" s="48">
        <v>44104</v>
      </c>
      <c r="E68" s="48">
        <v>44130</v>
      </c>
      <c r="F68" s="13">
        <v>8</v>
      </c>
      <c r="G68" s="84">
        <v>5.0000000000000001E-4</v>
      </c>
      <c r="H68" s="13"/>
      <c r="I68" s="13"/>
      <c r="J68" s="13">
        <f t="shared" si="5"/>
        <v>16000</v>
      </c>
      <c r="K68" s="84">
        <f t="shared" si="4"/>
        <v>6.25</v>
      </c>
      <c r="L68" s="13"/>
    </row>
    <row r="69" spans="1:12" x14ac:dyDescent="0.25">
      <c r="A69" s="51">
        <v>142</v>
      </c>
      <c r="B69" s="51" t="s">
        <v>102</v>
      </c>
      <c r="C69" s="51">
        <v>1</v>
      </c>
      <c r="D69" s="54">
        <v>44047</v>
      </c>
      <c r="E69" s="54">
        <v>44097</v>
      </c>
      <c r="F69" s="51">
        <v>3</v>
      </c>
      <c r="G69" s="108">
        <v>1.0000000000000001E-5</v>
      </c>
      <c r="H69" s="51">
        <v>0</v>
      </c>
      <c r="I69" s="108">
        <v>9.9999999999999995E-7</v>
      </c>
      <c r="J69" s="108">
        <f t="shared" si="5"/>
        <v>300000</v>
      </c>
      <c r="K69" s="108">
        <f t="shared" si="4"/>
        <v>0.33333333333333331</v>
      </c>
      <c r="L69" s="51" t="s">
        <v>166</v>
      </c>
    </row>
    <row r="70" spans="1:12" x14ac:dyDescent="0.25">
      <c r="A70" s="51">
        <v>143</v>
      </c>
      <c r="B70" s="51" t="s">
        <v>103</v>
      </c>
      <c r="C70" s="51">
        <v>2</v>
      </c>
      <c r="D70" s="54">
        <v>44063</v>
      </c>
      <c r="E70" s="54">
        <v>44097</v>
      </c>
      <c r="F70" s="51">
        <v>3</v>
      </c>
      <c r="G70" s="108">
        <v>1.0000000000000001E-5</v>
      </c>
      <c r="H70" s="51">
        <v>0</v>
      </c>
      <c r="I70" s="108">
        <v>9.9999999999999995E-7</v>
      </c>
      <c r="J70" s="108">
        <f t="shared" si="5"/>
        <v>300000</v>
      </c>
      <c r="K70" s="108">
        <f t="shared" si="4"/>
        <v>0.33333333333333331</v>
      </c>
      <c r="L70" s="51" t="s">
        <v>166</v>
      </c>
    </row>
    <row r="71" spans="1:12" x14ac:dyDescent="0.25">
      <c r="A71" s="51">
        <v>144</v>
      </c>
      <c r="B71" s="51" t="s">
        <v>104</v>
      </c>
      <c r="C71" s="51">
        <v>1</v>
      </c>
      <c r="D71" s="54">
        <v>44047</v>
      </c>
      <c r="E71" s="54">
        <v>44097</v>
      </c>
      <c r="F71" s="51">
        <v>12</v>
      </c>
      <c r="G71" s="108">
        <v>1.0000000000000001E-5</v>
      </c>
      <c r="H71" s="51">
        <v>0</v>
      </c>
      <c r="I71" s="108">
        <v>9.9999999999999995E-7</v>
      </c>
      <c r="J71" s="108">
        <f t="shared" si="5"/>
        <v>1200000</v>
      </c>
      <c r="K71" s="108">
        <f t="shared" si="4"/>
        <v>8.3333333333333329E-2</v>
      </c>
      <c r="L71" s="51" t="s">
        <v>167</v>
      </c>
    </row>
    <row r="72" spans="1:12" x14ac:dyDescent="0.25">
      <c r="A72" s="51">
        <v>145</v>
      </c>
      <c r="B72" s="51" t="s">
        <v>105</v>
      </c>
      <c r="C72" s="51">
        <v>9</v>
      </c>
      <c r="D72" s="54">
        <v>44073</v>
      </c>
      <c r="E72" s="54">
        <v>44102</v>
      </c>
      <c r="F72" s="51">
        <v>9</v>
      </c>
      <c r="G72" s="108">
        <v>1E-3</v>
      </c>
      <c r="H72" s="51">
        <v>21</v>
      </c>
      <c r="I72" s="108">
        <v>5.0000000000000001E-3</v>
      </c>
      <c r="J72" s="108">
        <f>H72/I72</f>
        <v>4200</v>
      </c>
      <c r="K72" s="108">
        <f t="shared" si="4"/>
        <v>23.80952380952381</v>
      </c>
      <c r="L72" s="51" t="s">
        <v>179</v>
      </c>
    </row>
    <row r="73" spans="1:12" x14ac:dyDescent="0.25">
      <c r="A73" s="92" t="s">
        <v>215</v>
      </c>
      <c r="B73" s="92" t="s">
        <v>105</v>
      </c>
      <c r="C73" s="123" t="s">
        <v>218</v>
      </c>
      <c r="D73" s="127">
        <v>44108</v>
      </c>
      <c r="E73" s="124">
        <v>44111</v>
      </c>
      <c r="F73" s="92" t="s">
        <v>221</v>
      </c>
      <c r="G73" s="90">
        <v>1E-3</v>
      </c>
      <c r="H73" s="92"/>
      <c r="I73" s="90"/>
      <c r="J73" s="90"/>
      <c r="K73" s="90"/>
      <c r="L73" s="92" t="s">
        <v>222</v>
      </c>
    </row>
    <row r="74" spans="1:12" x14ac:dyDescent="0.25">
      <c r="A74" s="92" t="s">
        <v>215</v>
      </c>
      <c r="B74" s="92" t="s">
        <v>105</v>
      </c>
      <c r="C74" s="123" t="s">
        <v>218</v>
      </c>
      <c r="D74" s="127">
        <v>44108</v>
      </c>
      <c r="E74" s="124">
        <v>44117</v>
      </c>
      <c r="F74" s="92">
        <v>77</v>
      </c>
      <c r="G74" s="90">
        <v>1E-3</v>
      </c>
      <c r="H74" s="92"/>
      <c r="I74" s="90"/>
      <c r="J74" s="90">
        <f>F74/G74</f>
        <v>77000</v>
      </c>
      <c r="K74" s="90">
        <f>(100000)/J74</f>
        <v>1.2987012987012987</v>
      </c>
      <c r="L74" s="92" t="s">
        <v>234</v>
      </c>
    </row>
    <row r="75" spans="1:12" x14ac:dyDescent="0.25">
      <c r="A75" s="92" t="s">
        <v>216</v>
      </c>
      <c r="B75" s="92" t="s">
        <v>105</v>
      </c>
      <c r="C75" s="123" t="s">
        <v>219</v>
      </c>
      <c r="D75" s="127">
        <v>44108</v>
      </c>
      <c r="E75" s="124">
        <v>44111</v>
      </c>
      <c r="F75" s="92" t="s">
        <v>221</v>
      </c>
      <c r="G75" s="90">
        <v>1E-3</v>
      </c>
      <c r="H75" s="92"/>
      <c r="I75" s="90"/>
      <c r="J75" s="90"/>
      <c r="K75" s="90"/>
      <c r="L75" s="92" t="s">
        <v>222</v>
      </c>
    </row>
    <row r="76" spans="1:12" x14ac:dyDescent="0.25">
      <c r="A76" s="92" t="s">
        <v>216</v>
      </c>
      <c r="B76" s="92" t="s">
        <v>105</v>
      </c>
      <c r="C76" s="123" t="s">
        <v>219</v>
      </c>
      <c r="D76" s="127">
        <v>44108</v>
      </c>
      <c r="E76" s="124">
        <v>44117</v>
      </c>
      <c r="F76" s="92">
        <v>35</v>
      </c>
      <c r="G76" s="90">
        <v>1E-3</v>
      </c>
      <c r="H76" s="92"/>
      <c r="I76" s="90"/>
      <c r="J76" s="90">
        <f>F76/G76</f>
        <v>35000</v>
      </c>
      <c r="K76" s="90">
        <f>(1000)/J76</f>
        <v>2.8571428571428571E-2</v>
      </c>
      <c r="L76" s="92" t="s">
        <v>228</v>
      </c>
    </row>
    <row r="77" spans="1:12" x14ac:dyDescent="0.25">
      <c r="A77" s="92" t="s">
        <v>217</v>
      </c>
      <c r="B77" s="92" t="s">
        <v>105</v>
      </c>
      <c r="C77" s="123" t="s">
        <v>220</v>
      </c>
      <c r="D77" s="127">
        <v>44108</v>
      </c>
      <c r="E77" s="124">
        <v>44111</v>
      </c>
      <c r="F77" s="92" t="s">
        <v>221</v>
      </c>
      <c r="G77" s="90">
        <v>1E-3</v>
      </c>
      <c r="H77" s="92"/>
      <c r="I77" s="90"/>
      <c r="J77" s="90"/>
      <c r="K77" s="90"/>
      <c r="L77" s="92" t="s">
        <v>222</v>
      </c>
    </row>
    <row r="78" spans="1:12" x14ac:dyDescent="0.25">
      <c r="A78" s="92" t="s">
        <v>217</v>
      </c>
      <c r="B78" s="92" t="s">
        <v>105</v>
      </c>
      <c r="C78" s="123" t="s">
        <v>220</v>
      </c>
      <c r="D78" s="127">
        <v>44108</v>
      </c>
      <c r="E78" s="7">
        <v>44117</v>
      </c>
      <c r="F78" s="6">
        <v>20</v>
      </c>
      <c r="G78" s="9">
        <v>1E-3</v>
      </c>
      <c r="H78" s="6"/>
      <c r="I78" s="6"/>
      <c r="J78" s="9">
        <f>F78/G78</f>
        <v>20000</v>
      </c>
      <c r="K78" s="9">
        <f>(1000)/J78</f>
        <v>0.05</v>
      </c>
      <c r="L78" s="92" t="s">
        <v>228</v>
      </c>
    </row>
    <row r="80" spans="1:12" x14ac:dyDescent="0.25">
      <c r="A80" s="51">
        <v>146</v>
      </c>
      <c r="B80" s="23" t="s">
        <v>55</v>
      </c>
      <c r="C80" s="23">
        <v>1</v>
      </c>
      <c r="D80" s="50">
        <v>44032</v>
      </c>
      <c r="E80" s="50">
        <v>44104</v>
      </c>
      <c r="F80" s="51">
        <v>191</v>
      </c>
      <c r="G80" s="52">
        <v>1.0000000000000001E-5</v>
      </c>
      <c r="H80" s="51">
        <v>21</v>
      </c>
      <c r="I80" s="52">
        <v>9.9999999999999995E-7</v>
      </c>
      <c r="J80" s="52">
        <f>F80/G80</f>
        <v>19100000</v>
      </c>
      <c r="K80" s="52">
        <f>(100000)/J80</f>
        <v>5.235602094240838E-3</v>
      </c>
      <c r="L80" s="12"/>
    </row>
    <row r="81" spans="1:12" x14ac:dyDescent="0.25">
      <c r="A81" s="51">
        <v>147</v>
      </c>
      <c r="B81" s="23" t="s">
        <v>56</v>
      </c>
      <c r="C81" s="23">
        <v>1</v>
      </c>
      <c r="D81" s="50">
        <v>44032</v>
      </c>
      <c r="E81" s="50">
        <v>44104</v>
      </c>
      <c r="F81" s="51">
        <v>132</v>
      </c>
      <c r="G81" s="52">
        <v>1.0000000000000001E-5</v>
      </c>
      <c r="H81" s="51">
        <v>17</v>
      </c>
      <c r="I81" s="52">
        <v>9.9999999999999995E-7</v>
      </c>
      <c r="J81" s="52">
        <f>F81/G81</f>
        <v>13199999.999999998</v>
      </c>
      <c r="K81" s="52">
        <f t="shared" ref="K81:K82" si="6">(100000)/J81</f>
        <v>7.5757575757575768E-3</v>
      </c>
      <c r="L81" s="12"/>
    </row>
    <row r="82" spans="1:12" x14ac:dyDescent="0.25">
      <c r="A82" s="51">
        <v>148</v>
      </c>
      <c r="B82" s="23" t="s">
        <v>57</v>
      </c>
      <c r="C82" s="23">
        <v>1</v>
      </c>
      <c r="D82" s="50">
        <v>44032</v>
      </c>
      <c r="E82" s="50">
        <v>44104</v>
      </c>
      <c r="F82" s="51">
        <v>323</v>
      </c>
      <c r="G82" s="52">
        <v>1.0000000000000001E-5</v>
      </c>
      <c r="H82" s="51">
        <v>48</v>
      </c>
      <c r="I82" s="52">
        <v>9.9999999999999995E-7</v>
      </c>
      <c r="J82" s="52">
        <f>F82/G82</f>
        <v>32299999.999999996</v>
      </c>
      <c r="K82" s="52">
        <f t="shared" si="6"/>
        <v>3.0959752321981426E-3</v>
      </c>
      <c r="L82" s="12"/>
    </row>
    <row r="83" spans="1:12" x14ac:dyDescent="0.25">
      <c r="A83" s="110">
        <v>149</v>
      </c>
      <c r="B83" s="110" t="s">
        <v>58</v>
      </c>
      <c r="C83" s="110">
        <v>1</v>
      </c>
      <c r="D83" s="110"/>
      <c r="E83" s="110"/>
      <c r="F83" s="110"/>
      <c r="G83" s="110"/>
      <c r="H83" s="110"/>
      <c r="I83" s="110"/>
      <c r="J83" s="110"/>
      <c r="K83" s="110"/>
      <c r="L83" s="110" t="s">
        <v>180</v>
      </c>
    </row>
    <row r="84" spans="1:12" x14ac:dyDescent="0.25">
      <c r="A84" s="110">
        <v>150</v>
      </c>
      <c r="B84" s="110" t="s">
        <v>59</v>
      </c>
      <c r="C84" s="110">
        <v>1</v>
      </c>
      <c r="D84" s="110"/>
      <c r="E84" s="110"/>
      <c r="F84" s="110"/>
      <c r="G84" s="110"/>
      <c r="H84" s="110"/>
      <c r="I84" s="110"/>
      <c r="J84" s="110"/>
      <c r="K84" s="110"/>
      <c r="L84" s="110" t="s">
        <v>180</v>
      </c>
    </row>
    <row r="85" spans="1:12" x14ac:dyDescent="0.25">
      <c r="A85" s="110">
        <v>151</v>
      </c>
      <c r="B85" s="110" t="s">
        <v>60</v>
      </c>
      <c r="C85" s="110">
        <v>1</v>
      </c>
      <c r="D85" s="110"/>
      <c r="E85" s="110"/>
      <c r="F85" s="110"/>
      <c r="G85" s="110"/>
      <c r="H85" s="110"/>
      <c r="I85" s="110"/>
      <c r="J85" s="110"/>
      <c r="K85" s="110"/>
      <c r="L85" s="110" t="s">
        <v>180</v>
      </c>
    </row>
    <row r="86" spans="1:12" x14ac:dyDescent="0.25">
      <c r="A86" s="51">
        <v>152</v>
      </c>
      <c r="B86" s="23" t="s">
        <v>61</v>
      </c>
      <c r="C86" s="23">
        <v>1</v>
      </c>
      <c r="D86" s="50">
        <v>44032</v>
      </c>
      <c r="E86" s="50">
        <v>44104</v>
      </c>
      <c r="F86" s="23">
        <v>361</v>
      </c>
      <c r="G86" s="52">
        <v>1.0000000000000001E-5</v>
      </c>
      <c r="H86" s="23"/>
      <c r="I86" s="23"/>
      <c r="J86" s="52">
        <f>F86/G86</f>
        <v>36100000</v>
      </c>
      <c r="K86" s="52">
        <f>(100000)/J86</f>
        <v>2.7700831024930748E-3</v>
      </c>
      <c r="L86" s="12"/>
    </row>
    <row r="87" spans="1:12" x14ac:dyDescent="0.25">
      <c r="A87" s="51">
        <v>153</v>
      </c>
      <c r="B87" s="23" t="s">
        <v>62</v>
      </c>
      <c r="C87" s="23">
        <v>1</v>
      </c>
      <c r="D87" s="50">
        <v>44032</v>
      </c>
      <c r="E87" s="50">
        <v>44104</v>
      </c>
      <c r="F87" s="23">
        <v>274</v>
      </c>
      <c r="G87" s="52">
        <v>1.0000000000000001E-5</v>
      </c>
      <c r="H87" s="23"/>
      <c r="I87" s="23"/>
      <c r="J87" s="52">
        <f>F87/G87</f>
        <v>27399999.999999996</v>
      </c>
      <c r="K87" s="52">
        <f>(100000)/J87</f>
        <v>3.6496350364963507E-3</v>
      </c>
      <c r="L87" s="12"/>
    </row>
    <row r="88" spans="1:12" x14ac:dyDescent="0.25">
      <c r="A88" s="92">
        <v>154</v>
      </c>
      <c r="B88" s="12" t="s">
        <v>63</v>
      </c>
      <c r="C88" s="12">
        <v>1</v>
      </c>
      <c r="D88" s="107">
        <v>44032</v>
      </c>
      <c r="E88" s="107">
        <v>44104</v>
      </c>
      <c r="F88" s="12" t="s">
        <v>13</v>
      </c>
      <c r="G88" s="55">
        <v>1.0000000000000001E-5</v>
      </c>
      <c r="H88" s="12"/>
      <c r="I88" s="12"/>
      <c r="J88" s="12"/>
      <c r="K88" s="12"/>
      <c r="L88" s="92" t="s">
        <v>181</v>
      </c>
    </row>
    <row r="89" spans="1:12" x14ac:dyDescent="0.25">
      <c r="A89" s="51">
        <v>154</v>
      </c>
      <c r="B89" s="23" t="s">
        <v>63</v>
      </c>
      <c r="C89" s="23">
        <v>1</v>
      </c>
      <c r="D89" s="50">
        <v>44032</v>
      </c>
      <c r="E89" s="50">
        <v>44105</v>
      </c>
      <c r="F89" s="23">
        <v>62</v>
      </c>
      <c r="G89" s="52">
        <v>9.9999999999999995E-7</v>
      </c>
      <c r="H89" s="23"/>
      <c r="I89" s="23"/>
      <c r="J89" s="52">
        <f>F89/G89</f>
        <v>62000000</v>
      </c>
      <c r="K89" s="52">
        <f>(100000)/J89</f>
        <v>1.6129032258064516E-3</v>
      </c>
      <c r="L89" s="92"/>
    </row>
    <row r="90" spans="1:12" x14ac:dyDescent="0.25">
      <c r="A90" s="51">
        <v>155</v>
      </c>
      <c r="B90" s="148" t="s">
        <v>64</v>
      </c>
      <c r="C90" s="148">
        <v>3</v>
      </c>
      <c r="D90" s="149">
        <v>44122</v>
      </c>
      <c r="E90" s="150">
        <v>44130</v>
      </c>
      <c r="F90" s="148">
        <v>63</v>
      </c>
      <c r="G90" s="147">
        <v>9.9999999999999995E-7</v>
      </c>
      <c r="H90" s="151"/>
      <c r="I90" s="151"/>
      <c r="J90" s="147">
        <f>F90/G90</f>
        <v>63000000</v>
      </c>
      <c r="K90" s="147">
        <f>(100000)/J90</f>
        <v>1.5873015873015873E-3</v>
      </c>
      <c r="L90" s="112"/>
    </row>
    <row r="91" spans="1:12" x14ac:dyDescent="0.25">
      <c r="A91" s="51">
        <v>156</v>
      </c>
      <c r="B91" s="23" t="s">
        <v>65</v>
      </c>
      <c r="C91" s="23">
        <v>1</v>
      </c>
      <c r="D91" s="50">
        <v>44032</v>
      </c>
      <c r="E91" s="50">
        <v>44104</v>
      </c>
      <c r="F91" s="23">
        <v>176</v>
      </c>
      <c r="G91" s="52">
        <v>1.0000000000000001E-5</v>
      </c>
      <c r="H91" s="23"/>
      <c r="I91" s="23"/>
      <c r="J91" s="52">
        <f>F91/G91</f>
        <v>17600000</v>
      </c>
      <c r="K91" s="52">
        <f>(100000)/J91</f>
        <v>5.681818181818182E-3</v>
      </c>
      <c r="L91" s="12"/>
    </row>
    <row r="92" spans="1:12" x14ac:dyDescent="0.25">
      <c r="A92" s="92">
        <v>157</v>
      </c>
      <c r="B92" s="12" t="s">
        <v>66</v>
      </c>
      <c r="C92" s="12">
        <v>1</v>
      </c>
      <c r="D92" s="107">
        <v>44032</v>
      </c>
      <c r="E92" s="107">
        <v>44104</v>
      </c>
      <c r="F92" s="12" t="s">
        <v>13</v>
      </c>
      <c r="G92" s="55">
        <v>1.0000000000000001E-5</v>
      </c>
      <c r="H92" s="12"/>
      <c r="I92" s="12"/>
      <c r="J92" s="12"/>
      <c r="K92" s="12"/>
      <c r="L92" s="92" t="s">
        <v>181</v>
      </c>
    </row>
    <row r="93" spans="1:12" x14ac:dyDescent="0.25">
      <c r="A93" s="51">
        <v>157</v>
      </c>
      <c r="B93" s="23" t="s">
        <v>66</v>
      </c>
      <c r="C93" s="23">
        <v>1</v>
      </c>
      <c r="D93" s="50">
        <v>44032</v>
      </c>
      <c r="E93" s="50">
        <v>44105</v>
      </c>
      <c r="F93" s="23">
        <v>90</v>
      </c>
      <c r="G93" s="52">
        <v>9.9999999999999995E-7</v>
      </c>
      <c r="H93" s="23"/>
      <c r="I93" s="23"/>
      <c r="J93" s="52">
        <f>F93/G93</f>
        <v>90000000</v>
      </c>
      <c r="K93" s="52">
        <f>(100000)/J93</f>
        <v>1.1111111111111111E-3</v>
      </c>
      <c r="L93" s="9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92">
        <v>158</v>
      </c>
      <c r="B95" s="12" t="s">
        <v>67</v>
      </c>
      <c r="C95" s="12">
        <v>1</v>
      </c>
      <c r="D95" s="107">
        <v>44011</v>
      </c>
      <c r="E95" s="107">
        <v>44104</v>
      </c>
      <c r="F95" s="12" t="s">
        <v>13</v>
      </c>
      <c r="G95" s="55">
        <v>1.0000000000000001E-5</v>
      </c>
      <c r="H95" s="12"/>
      <c r="I95" s="12"/>
      <c r="J95" s="12"/>
      <c r="K95" s="12"/>
      <c r="L95" s="92" t="s">
        <v>181</v>
      </c>
    </row>
    <row r="96" spans="1:12" x14ac:dyDescent="0.25">
      <c r="A96" s="51">
        <v>158</v>
      </c>
      <c r="B96" s="23" t="s">
        <v>67</v>
      </c>
      <c r="C96" s="23">
        <v>1</v>
      </c>
      <c r="D96" s="50">
        <v>44011</v>
      </c>
      <c r="E96" s="50">
        <v>44105</v>
      </c>
      <c r="F96" s="23">
        <v>54</v>
      </c>
      <c r="G96" s="52">
        <v>9.9999999999999995E-7</v>
      </c>
      <c r="H96" s="23"/>
      <c r="I96" s="23"/>
      <c r="J96" s="52">
        <f>F96/G96</f>
        <v>54000000</v>
      </c>
      <c r="K96" s="52">
        <f>(100000)/J96</f>
        <v>1.8518518518518519E-3</v>
      </c>
      <c r="L96" s="92"/>
    </row>
    <row r="97" spans="1:12" x14ac:dyDescent="0.25">
      <c r="A97" s="92">
        <v>159</v>
      </c>
      <c r="B97" s="12" t="s">
        <v>68</v>
      </c>
      <c r="C97" s="12">
        <v>1</v>
      </c>
      <c r="D97" s="107">
        <v>44011</v>
      </c>
      <c r="E97" s="107">
        <v>44104</v>
      </c>
      <c r="F97" s="12" t="s">
        <v>13</v>
      </c>
      <c r="G97" s="55">
        <v>1.0000000000000001E-5</v>
      </c>
      <c r="H97" s="12"/>
      <c r="I97" s="12"/>
      <c r="J97" s="12"/>
      <c r="K97" s="12"/>
      <c r="L97" s="92" t="s">
        <v>181</v>
      </c>
    </row>
    <row r="98" spans="1:12" x14ac:dyDescent="0.25">
      <c r="A98" s="51">
        <v>159</v>
      </c>
      <c r="B98" s="23" t="s">
        <v>68</v>
      </c>
      <c r="C98" s="23">
        <v>1</v>
      </c>
      <c r="D98" s="50">
        <v>44011</v>
      </c>
      <c r="E98" s="50">
        <v>44105</v>
      </c>
      <c r="F98" s="23">
        <v>43</v>
      </c>
      <c r="G98" s="52">
        <v>9.9999999999999995E-7</v>
      </c>
      <c r="H98" s="23"/>
      <c r="I98" s="23"/>
      <c r="J98" s="52">
        <f>F98/G98</f>
        <v>43000000</v>
      </c>
      <c r="K98" s="52">
        <f>(100000)/J98</f>
        <v>2.3255813953488372E-3</v>
      </c>
      <c r="L98" s="92"/>
    </row>
    <row r="99" spans="1:12" x14ac:dyDescent="0.25">
      <c r="A99" s="51">
        <v>160</v>
      </c>
      <c r="B99" s="23" t="s">
        <v>69</v>
      </c>
      <c r="C99" s="23">
        <v>1</v>
      </c>
      <c r="D99" s="50">
        <v>44011</v>
      </c>
      <c r="E99" s="50">
        <v>44104</v>
      </c>
      <c r="F99" s="23">
        <v>137</v>
      </c>
      <c r="G99" s="52">
        <v>1.0000000000000001E-5</v>
      </c>
      <c r="H99" s="23"/>
      <c r="I99" s="23"/>
      <c r="J99" s="52">
        <f>F99/G99</f>
        <v>13699999.999999998</v>
      </c>
      <c r="K99" s="52">
        <f>(100000)/J99</f>
        <v>7.2992700729927014E-3</v>
      </c>
      <c r="L99" s="12"/>
    </row>
    <row r="100" spans="1:12" x14ac:dyDescent="0.25">
      <c r="A100" s="92">
        <v>161</v>
      </c>
      <c r="B100" s="111" t="s">
        <v>70</v>
      </c>
      <c r="C100" s="111"/>
      <c r="D100" s="111"/>
      <c r="E100" s="111"/>
      <c r="F100" s="112"/>
      <c r="G100" s="112"/>
      <c r="H100" s="112"/>
      <c r="I100" s="112"/>
      <c r="J100" s="112"/>
      <c r="K100" s="112"/>
      <c r="L100" s="112"/>
    </row>
    <row r="101" spans="1:12" x14ac:dyDescent="0.25">
      <c r="A101" s="110">
        <v>162</v>
      </c>
      <c r="B101" s="110" t="s">
        <v>71</v>
      </c>
      <c r="C101" s="110">
        <v>1</v>
      </c>
      <c r="D101" s="110"/>
      <c r="E101" s="110"/>
      <c r="F101" s="110"/>
      <c r="G101" s="110"/>
      <c r="H101" s="110"/>
      <c r="I101" s="110"/>
      <c r="J101" s="110"/>
      <c r="K101" s="110"/>
      <c r="L101" s="110" t="s">
        <v>180</v>
      </c>
    </row>
    <row r="102" spans="1:12" x14ac:dyDescent="0.25">
      <c r="A102" s="110">
        <v>163</v>
      </c>
      <c r="B102" s="110" t="s">
        <v>72</v>
      </c>
      <c r="C102" s="110">
        <v>1</v>
      </c>
      <c r="D102" s="110"/>
      <c r="E102" s="110"/>
      <c r="F102" s="110"/>
      <c r="G102" s="110"/>
      <c r="H102" s="110"/>
      <c r="I102" s="110"/>
      <c r="J102" s="110"/>
      <c r="K102" s="110"/>
      <c r="L102" s="110" t="s">
        <v>180</v>
      </c>
    </row>
    <row r="103" spans="1:12" x14ac:dyDescent="0.25">
      <c r="A103" s="51">
        <v>164</v>
      </c>
      <c r="B103" s="23" t="s">
        <v>73</v>
      </c>
      <c r="C103" s="23">
        <v>1</v>
      </c>
      <c r="D103" s="50">
        <v>44011</v>
      </c>
      <c r="E103" s="50">
        <v>44104</v>
      </c>
      <c r="F103" s="23">
        <v>98</v>
      </c>
      <c r="G103" s="52">
        <v>1.0000000000000001E-5</v>
      </c>
      <c r="H103" s="23"/>
      <c r="I103" s="23"/>
      <c r="J103" s="52">
        <f>F103/G103</f>
        <v>9800000</v>
      </c>
      <c r="K103" s="52">
        <f>(100000)/J103</f>
        <v>1.020408163265306E-2</v>
      </c>
      <c r="L103" s="12"/>
    </row>
    <row r="104" spans="1:12" x14ac:dyDescent="0.25">
      <c r="A104" s="51">
        <v>165</v>
      </c>
      <c r="B104" s="23" t="s">
        <v>74</v>
      </c>
      <c r="C104" s="23">
        <v>1</v>
      </c>
      <c r="D104" s="50">
        <v>44011</v>
      </c>
      <c r="E104" s="50">
        <v>44104</v>
      </c>
      <c r="F104" s="23">
        <v>23</v>
      </c>
      <c r="G104" s="52">
        <v>1.0000000000000001E-5</v>
      </c>
      <c r="H104" s="23"/>
      <c r="I104" s="23"/>
      <c r="J104" s="52">
        <f>F104/G104</f>
        <v>2300000</v>
      </c>
      <c r="K104" s="52">
        <f>(100000)/J104</f>
        <v>4.3478260869565216E-2</v>
      </c>
      <c r="L104" s="12"/>
    </row>
    <row r="105" spans="1:12" x14ac:dyDescent="0.25">
      <c r="A105" s="92">
        <v>166</v>
      </c>
      <c r="B105" s="111" t="s">
        <v>75</v>
      </c>
      <c r="C105" s="111"/>
      <c r="D105" s="111"/>
      <c r="E105" s="113"/>
      <c r="F105" s="112"/>
      <c r="G105" s="112"/>
      <c r="H105" s="112"/>
      <c r="I105" s="112"/>
      <c r="J105" s="112"/>
      <c r="K105" s="112"/>
      <c r="L105" s="112"/>
    </row>
    <row r="106" spans="1:12" x14ac:dyDescent="0.25">
      <c r="A106" s="51">
        <v>167</v>
      </c>
      <c r="B106" s="23" t="s">
        <v>76</v>
      </c>
      <c r="C106" s="23">
        <v>1</v>
      </c>
      <c r="D106" s="50">
        <v>44011</v>
      </c>
      <c r="E106" s="50">
        <v>44104</v>
      </c>
      <c r="F106" s="23">
        <v>136</v>
      </c>
      <c r="G106" s="52">
        <v>1.0000000000000001E-5</v>
      </c>
      <c r="H106" s="23"/>
      <c r="I106" s="23"/>
      <c r="J106" s="52">
        <f>F106/G106</f>
        <v>13599999.999999998</v>
      </c>
      <c r="K106" s="52">
        <f>(100000)/J106</f>
        <v>7.352941176470589E-3</v>
      </c>
      <c r="L106" s="12"/>
    </row>
    <row r="107" spans="1:12" x14ac:dyDescent="0.25">
      <c r="A107" s="92">
        <v>168</v>
      </c>
      <c r="B107" s="12" t="s">
        <v>77</v>
      </c>
      <c r="C107" s="12">
        <v>1</v>
      </c>
      <c r="D107" s="107">
        <v>44054</v>
      </c>
      <c r="E107" s="107">
        <v>44104</v>
      </c>
      <c r="F107" s="12">
        <v>3</v>
      </c>
      <c r="G107" s="55">
        <v>1.0000000000000001E-5</v>
      </c>
      <c r="H107" s="12"/>
      <c r="I107" s="12"/>
      <c r="J107" s="12"/>
      <c r="K107" s="12"/>
      <c r="L107" s="12" t="s">
        <v>182</v>
      </c>
    </row>
    <row r="108" spans="1:12" x14ac:dyDescent="0.25">
      <c r="A108" s="92">
        <v>168</v>
      </c>
      <c r="B108" s="12" t="s">
        <v>77</v>
      </c>
      <c r="C108" s="12">
        <v>1</v>
      </c>
      <c r="D108" s="107">
        <v>44054</v>
      </c>
      <c r="E108" s="107">
        <v>44105</v>
      </c>
      <c r="F108" s="23">
        <v>0</v>
      </c>
      <c r="G108" s="55">
        <v>1E-4</v>
      </c>
      <c r="H108" s="12">
        <v>0</v>
      </c>
      <c r="I108" s="55">
        <v>5.0000000000000001E-4</v>
      </c>
      <c r="J108" s="12"/>
      <c r="K108" s="12"/>
      <c r="L108" s="12" t="s">
        <v>184</v>
      </c>
    </row>
    <row r="109" spans="1:12" x14ac:dyDescent="0.25">
      <c r="A109" s="92">
        <v>168</v>
      </c>
      <c r="B109" s="12" t="s">
        <v>77</v>
      </c>
      <c r="C109" s="12">
        <v>1</v>
      </c>
      <c r="D109" s="107">
        <v>44054</v>
      </c>
      <c r="E109" s="107">
        <v>44111</v>
      </c>
      <c r="F109" s="12" t="s">
        <v>223</v>
      </c>
      <c r="G109" s="55"/>
      <c r="H109" s="12"/>
      <c r="I109" s="55"/>
      <c r="J109" s="12"/>
      <c r="K109" s="12"/>
      <c r="L109" s="12" t="s">
        <v>224</v>
      </c>
    </row>
    <row r="110" spans="1:12" x14ac:dyDescent="0.25">
      <c r="A110" s="92">
        <v>168</v>
      </c>
      <c r="B110" s="12" t="s">
        <v>77</v>
      </c>
      <c r="C110" s="12">
        <v>1</v>
      </c>
      <c r="D110" s="107">
        <v>44054</v>
      </c>
      <c r="E110" s="107">
        <v>44117</v>
      </c>
      <c r="F110" s="12" t="s">
        <v>42</v>
      </c>
      <c r="G110" s="55"/>
      <c r="H110" s="12"/>
      <c r="I110" s="55"/>
      <c r="J110" s="12"/>
      <c r="K110" s="12"/>
      <c r="L110" s="12" t="s">
        <v>233</v>
      </c>
    </row>
    <row r="111" spans="1:12" x14ac:dyDescent="0.25">
      <c r="A111" s="51">
        <v>168</v>
      </c>
      <c r="B111" s="23" t="s">
        <v>77</v>
      </c>
      <c r="C111" s="23">
        <v>1</v>
      </c>
      <c r="D111" s="50">
        <v>44054</v>
      </c>
      <c r="E111" s="50">
        <v>44125</v>
      </c>
      <c r="F111" s="23">
        <v>123</v>
      </c>
      <c r="G111" s="52">
        <v>1E-3</v>
      </c>
      <c r="H111" s="23"/>
      <c r="I111" s="52"/>
      <c r="J111" s="52">
        <f>F111/G111</f>
        <v>123000</v>
      </c>
      <c r="K111" s="52">
        <f>(100000)/J111</f>
        <v>0.81300813008130079</v>
      </c>
      <c r="L111" s="52" t="s">
        <v>264</v>
      </c>
    </row>
    <row r="112" spans="1:12" x14ac:dyDescent="0.25">
      <c r="A112" s="92">
        <v>169</v>
      </c>
      <c r="B112" s="111" t="s">
        <v>78</v>
      </c>
      <c r="C112" s="111"/>
      <c r="D112" s="111"/>
      <c r="E112" s="113"/>
      <c r="F112" s="112"/>
      <c r="G112" s="112"/>
      <c r="H112" s="112"/>
      <c r="I112" s="112"/>
      <c r="J112" s="112"/>
      <c r="K112" s="112"/>
      <c r="L112" s="11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12">
        <v>100</v>
      </c>
      <c r="B114" s="12" t="s">
        <v>183</v>
      </c>
      <c r="C114" s="12">
        <v>3</v>
      </c>
      <c r="D114" s="14">
        <v>43908</v>
      </c>
      <c r="E114" s="107">
        <v>44105</v>
      </c>
      <c r="F114" s="12">
        <v>24</v>
      </c>
      <c r="G114" s="55">
        <v>9.9999999999999995E-7</v>
      </c>
      <c r="H114" s="12">
        <v>22</v>
      </c>
      <c r="I114" s="55">
        <v>6.9999999999999997E-7</v>
      </c>
      <c r="J114" s="55">
        <f>F114/G114</f>
        <v>24000000</v>
      </c>
      <c r="K114" s="55">
        <f>(100000)/J114</f>
        <v>4.1666666666666666E-3</v>
      </c>
      <c r="L114" s="12"/>
    </row>
    <row r="116" spans="1:12" x14ac:dyDescent="0.25">
      <c r="A116" s="6">
        <v>170</v>
      </c>
      <c r="B116" s="6" t="s">
        <v>79</v>
      </c>
      <c r="C116" s="6">
        <v>1</v>
      </c>
      <c r="D116" s="7">
        <v>43906</v>
      </c>
      <c r="E116" s="7">
        <v>44111</v>
      </c>
      <c r="F116" s="13">
        <v>173</v>
      </c>
      <c r="G116" s="9">
        <v>1.0000000000000001E-5</v>
      </c>
      <c r="H116" s="6"/>
      <c r="I116" s="6"/>
      <c r="J116" s="9">
        <f>F116/G116</f>
        <v>17300000</v>
      </c>
      <c r="K116" s="9">
        <f>(100000)/J116</f>
        <v>5.7803468208092483E-3</v>
      </c>
      <c r="L116" s="6"/>
    </row>
    <row r="117" spans="1:12" x14ac:dyDescent="0.25">
      <c r="A117" s="6">
        <v>171</v>
      </c>
      <c r="B117" s="6" t="s">
        <v>80</v>
      </c>
      <c r="C117" s="6">
        <v>1</v>
      </c>
      <c r="D117" s="7">
        <v>43906</v>
      </c>
      <c r="E117" s="7">
        <v>44111</v>
      </c>
      <c r="F117" s="13">
        <v>69</v>
      </c>
      <c r="G117" s="9">
        <v>9.9999999999999995E-7</v>
      </c>
      <c r="H117" s="6"/>
      <c r="I117" s="6"/>
      <c r="J117" s="9">
        <f>F117/G117</f>
        <v>69000000</v>
      </c>
      <c r="K117" s="9">
        <f t="shared" ref="K117:K118" si="7">(100000)/J117</f>
        <v>1.4492753623188406E-3</v>
      </c>
      <c r="L117" s="6"/>
    </row>
    <row r="118" spans="1:12" x14ac:dyDescent="0.25">
      <c r="A118" s="6">
        <v>172</v>
      </c>
      <c r="B118" s="6" t="s">
        <v>81</v>
      </c>
      <c r="C118" s="6">
        <v>2</v>
      </c>
      <c r="D118" s="7">
        <v>44017</v>
      </c>
      <c r="E118" s="7">
        <v>44111</v>
      </c>
      <c r="F118" s="13">
        <v>42</v>
      </c>
      <c r="G118" s="9">
        <v>1.0000000000000001E-5</v>
      </c>
      <c r="H118" s="6"/>
      <c r="I118" s="6"/>
      <c r="J118" s="9">
        <f>F118/G118</f>
        <v>4200000</v>
      </c>
      <c r="K118" s="9">
        <f t="shared" si="7"/>
        <v>2.3809523809523808E-2</v>
      </c>
      <c r="L118" s="6"/>
    </row>
    <row r="119" spans="1:12" x14ac:dyDescent="0.25">
      <c r="A119" s="122">
        <v>173</v>
      </c>
      <c r="B119" s="122" t="s">
        <v>82</v>
      </c>
      <c r="C119" s="122">
        <v>2</v>
      </c>
      <c r="D119" s="125">
        <v>44017</v>
      </c>
      <c r="E119" s="125"/>
      <c r="F119" s="122"/>
      <c r="G119" s="122"/>
      <c r="H119" s="122"/>
      <c r="I119" s="122"/>
      <c r="J119" s="122"/>
      <c r="K119" s="122"/>
      <c r="L119" s="122" t="s">
        <v>180</v>
      </c>
    </row>
    <row r="120" spans="1:12" x14ac:dyDescent="0.25">
      <c r="A120" s="122">
        <v>174</v>
      </c>
      <c r="B120" s="122" t="s">
        <v>83</v>
      </c>
      <c r="C120" s="122"/>
      <c r="D120" s="122"/>
      <c r="E120" s="122"/>
      <c r="F120" s="122"/>
      <c r="G120" s="122"/>
      <c r="H120" s="122"/>
      <c r="I120" s="122"/>
      <c r="J120" s="122"/>
      <c r="K120" s="122"/>
      <c r="L120" s="122" t="s">
        <v>180</v>
      </c>
    </row>
    <row r="121" spans="1:12" x14ac:dyDescent="0.25">
      <c r="A121" s="122">
        <v>175</v>
      </c>
      <c r="B121" s="122" t="s">
        <v>84</v>
      </c>
      <c r="C121" s="122">
        <v>1</v>
      </c>
      <c r="D121" s="125">
        <v>43906</v>
      </c>
      <c r="E121" s="125"/>
      <c r="F121" s="122"/>
      <c r="G121" s="122"/>
      <c r="H121" s="122"/>
      <c r="I121" s="122"/>
      <c r="J121" s="122"/>
      <c r="K121" s="122"/>
      <c r="L121" s="122" t="s">
        <v>180</v>
      </c>
    </row>
    <row r="122" spans="1:12" x14ac:dyDescent="0.25">
      <c r="A122" s="6">
        <v>176</v>
      </c>
      <c r="B122" s="6" t="s">
        <v>85</v>
      </c>
      <c r="C122" s="6">
        <v>1</v>
      </c>
      <c r="D122" s="7">
        <v>43906</v>
      </c>
      <c r="E122" s="7">
        <v>44111</v>
      </c>
      <c r="F122" s="13">
        <v>55</v>
      </c>
      <c r="G122" s="9">
        <v>9.9999999999999995E-7</v>
      </c>
      <c r="H122" s="6"/>
      <c r="I122" s="6"/>
      <c r="J122" s="9">
        <f t="shared" ref="J122:J127" si="8">F122/G122</f>
        <v>55000000</v>
      </c>
      <c r="K122" s="9">
        <f>(100000)/J122</f>
        <v>1.8181818181818182E-3</v>
      </c>
      <c r="L122" s="6"/>
    </row>
    <row r="123" spans="1:12" x14ac:dyDescent="0.25">
      <c r="A123" s="6">
        <v>177</v>
      </c>
      <c r="B123" s="6" t="s">
        <v>86</v>
      </c>
      <c r="C123" s="6">
        <v>1</v>
      </c>
      <c r="D123" s="7">
        <v>43906</v>
      </c>
      <c r="E123" s="7">
        <v>44111</v>
      </c>
      <c r="F123" s="13">
        <v>53</v>
      </c>
      <c r="G123" s="9">
        <v>9.9999999999999995E-7</v>
      </c>
      <c r="H123" s="6"/>
      <c r="I123" s="6"/>
      <c r="J123" s="9">
        <f t="shared" si="8"/>
        <v>53000000</v>
      </c>
      <c r="K123" s="9">
        <f t="shared" ref="K123:K127" si="9">(100000)/J123</f>
        <v>1.8867924528301887E-3</v>
      </c>
      <c r="L123" s="6"/>
    </row>
    <row r="124" spans="1:12" x14ac:dyDescent="0.25">
      <c r="A124" s="6">
        <v>178</v>
      </c>
      <c r="B124" s="6" t="s">
        <v>87</v>
      </c>
      <c r="C124" s="6">
        <v>1</v>
      </c>
      <c r="D124" s="7">
        <v>43906</v>
      </c>
      <c r="E124" s="7">
        <v>44111</v>
      </c>
      <c r="F124" s="13">
        <v>60</v>
      </c>
      <c r="G124" s="9">
        <v>9.9999999999999995E-7</v>
      </c>
      <c r="H124" s="6"/>
      <c r="I124" s="6"/>
      <c r="J124" s="9">
        <f t="shared" si="8"/>
        <v>60000000</v>
      </c>
      <c r="K124" s="9">
        <f t="shared" si="9"/>
        <v>1.6666666666666668E-3</v>
      </c>
      <c r="L124" s="6"/>
    </row>
    <row r="125" spans="1:12" x14ac:dyDescent="0.25">
      <c r="A125" s="6">
        <v>179</v>
      </c>
      <c r="B125" s="6" t="s">
        <v>88</v>
      </c>
      <c r="C125" s="6">
        <v>1</v>
      </c>
      <c r="D125" s="7">
        <v>43906</v>
      </c>
      <c r="E125" s="7">
        <v>44111</v>
      </c>
      <c r="F125" s="13">
        <v>81</v>
      </c>
      <c r="G125" s="9">
        <v>9.9999999999999995E-7</v>
      </c>
      <c r="H125" s="6"/>
      <c r="I125" s="6"/>
      <c r="J125" s="9">
        <f t="shared" si="8"/>
        <v>81000000</v>
      </c>
      <c r="K125" s="9">
        <f t="shared" si="9"/>
        <v>1.2345679012345679E-3</v>
      </c>
      <c r="L125" s="6"/>
    </row>
    <row r="126" spans="1:12" x14ac:dyDescent="0.25">
      <c r="A126" s="6">
        <v>180</v>
      </c>
      <c r="B126" s="6" t="s">
        <v>89</v>
      </c>
      <c r="C126" s="6">
        <v>4</v>
      </c>
      <c r="D126" s="7">
        <v>44040</v>
      </c>
      <c r="E126" s="7">
        <v>44111</v>
      </c>
      <c r="F126" s="13">
        <v>194</v>
      </c>
      <c r="G126" s="9">
        <v>1.0000000000000001E-5</v>
      </c>
      <c r="H126" s="6"/>
      <c r="I126" s="6"/>
      <c r="J126" s="9">
        <f t="shared" si="8"/>
        <v>19400000</v>
      </c>
      <c r="K126" s="9">
        <f t="shared" si="9"/>
        <v>5.1546391752577319E-3</v>
      </c>
      <c r="L126" s="6"/>
    </row>
    <row r="127" spans="1:12" x14ac:dyDescent="0.25">
      <c r="A127" s="6">
        <v>181</v>
      </c>
      <c r="B127" s="6" t="s">
        <v>90</v>
      </c>
      <c r="C127" s="6">
        <v>1</v>
      </c>
      <c r="D127" s="7">
        <v>43906</v>
      </c>
      <c r="E127" s="7">
        <v>44111</v>
      </c>
      <c r="F127" s="13">
        <v>232</v>
      </c>
      <c r="G127" s="9">
        <v>9.9999999999999995E-7</v>
      </c>
      <c r="H127" s="6"/>
      <c r="I127" s="6"/>
      <c r="J127" s="9">
        <f t="shared" si="8"/>
        <v>232000000</v>
      </c>
      <c r="K127" s="9">
        <f t="shared" si="9"/>
        <v>4.3103448275862068E-4</v>
      </c>
      <c r="L127" s="6"/>
    </row>
  </sheetData>
  <autoFilter ref="E1:E21" xr:uid="{F995E40A-EC36-4F90-9096-A43F92F63044}"/>
  <pageMargins left="0.7" right="0.7" top="0.75" bottom="0.75" header="0.3" footer="0.3"/>
  <pageSetup scale="54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CE0C-9664-4563-A9F4-48EC06B6A44F}">
  <dimension ref="A1:F82"/>
  <sheetViews>
    <sheetView topLeftCell="A8" workbookViewId="0">
      <selection activeCell="E11" sqref="E11"/>
    </sheetView>
    <sheetView workbookViewId="1"/>
  </sheetViews>
  <sheetFormatPr defaultRowHeight="15" x14ac:dyDescent="0.25"/>
  <cols>
    <col min="1" max="1" width="19.7109375" bestFit="1" customWidth="1"/>
    <col min="2" max="2" width="11.28515625" bestFit="1" customWidth="1"/>
    <col min="3" max="3" width="16.28515625" bestFit="1" customWidth="1"/>
    <col min="4" max="4" width="21.7109375" bestFit="1" customWidth="1"/>
    <col min="5" max="5" width="57.1406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9</v>
      </c>
    </row>
    <row r="2" spans="1:5" x14ac:dyDescent="0.25">
      <c r="A2" t="s">
        <v>55</v>
      </c>
      <c r="B2">
        <v>1</v>
      </c>
      <c r="C2">
        <v>1</v>
      </c>
      <c r="D2">
        <v>1</v>
      </c>
    </row>
    <row r="3" spans="1:5" x14ac:dyDescent="0.25">
      <c r="A3" t="s">
        <v>56</v>
      </c>
      <c r="B3">
        <v>1</v>
      </c>
      <c r="C3">
        <v>1</v>
      </c>
      <c r="D3">
        <v>1</v>
      </c>
    </row>
    <row r="4" spans="1:5" x14ac:dyDescent="0.25">
      <c r="A4" t="s">
        <v>57</v>
      </c>
      <c r="B4">
        <v>1</v>
      </c>
      <c r="C4">
        <v>1</v>
      </c>
      <c r="D4">
        <v>1</v>
      </c>
    </row>
    <row r="5" spans="1:5" x14ac:dyDescent="0.25">
      <c r="A5" t="s">
        <v>58</v>
      </c>
      <c r="B5">
        <v>1</v>
      </c>
      <c r="C5">
        <v>1</v>
      </c>
      <c r="D5">
        <v>1</v>
      </c>
    </row>
    <row r="6" spans="1:5" x14ac:dyDescent="0.25">
      <c r="A6" t="s">
        <v>59</v>
      </c>
      <c r="B6">
        <v>1</v>
      </c>
      <c r="C6">
        <v>1</v>
      </c>
      <c r="D6">
        <v>1</v>
      </c>
    </row>
    <row r="7" spans="1:5" x14ac:dyDescent="0.25">
      <c r="A7" t="s">
        <v>60</v>
      </c>
      <c r="B7">
        <v>1</v>
      </c>
      <c r="C7">
        <v>1</v>
      </c>
      <c r="D7">
        <v>1</v>
      </c>
    </row>
    <row r="8" spans="1:5" x14ac:dyDescent="0.25">
      <c r="A8" t="s">
        <v>61</v>
      </c>
      <c r="B8">
        <v>1</v>
      </c>
      <c r="C8">
        <v>1</v>
      </c>
      <c r="D8">
        <v>1</v>
      </c>
    </row>
    <row r="9" spans="1:5" x14ac:dyDescent="0.25">
      <c r="A9" t="s">
        <v>62</v>
      </c>
      <c r="B9">
        <v>1</v>
      </c>
      <c r="C9">
        <v>1</v>
      </c>
      <c r="D9">
        <v>1</v>
      </c>
    </row>
    <row r="10" spans="1:5" x14ac:dyDescent="0.25">
      <c r="A10" t="s">
        <v>63</v>
      </c>
      <c r="B10">
        <v>1</v>
      </c>
      <c r="C10">
        <v>1</v>
      </c>
      <c r="D10">
        <v>1</v>
      </c>
    </row>
    <row r="11" spans="1:5" x14ac:dyDescent="0.25">
      <c r="A11" s="60" t="s">
        <v>64</v>
      </c>
      <c r="B11" s="60"/>
      <c r="C11" s="60"/>
      <c r="D11" s="60"/>
      <c r="E11" s="60" t="s">
        <v>255</v>
      </c>
    </row>
    <row r="12" spans="1:5" x14ac:dyDescent="0.25">
      <c r="A12" t="s">
        <v>65</v>
      </c>
      <c r="B12">
        <v>1</v>
      </c>
      <c r="C12">
        <v>1</v>
      </c>
      <c r="D12">
        <v>1</v>
      </c>
    </row>
    <row r="13" spans="1:5" x14ac:dyDescent="0.25">
      <c r="A13" t="s">
        <v>66</v>
      </c>
      <c r="B13">
        <v>1</v>
      </c>
      <c r="C13">
        <v>1</v>
      </c>
      <c r="D13">
        <v>1</v>
      </c>
    </row>
    <row r="14" spans="1:5" x14ac:dyDescent="0.25">
      <c r="A14" t="s">
        <v>67</v>
      </c>
      <c r="B14">
        <v>1</v>
      </c>
      <c r="C14">
        <v>1</v>
      </c>
      <c r="D14">
        <v>1</v>
      </c>
    </row>
    <row r="15" spans="1:5" x14ac:dyDescent="0.25">
      <c r="A15" t="s">
        <v>68</v>
      </c>
      <c r="B15">
        <v>1</v>
      </c>
      <c r="C15">
        <v>1</v>
      </c>
      <c r="D15">
        <v>1</v>
      </c>
    </row>
    <row r="16" spans="1:5" x14ac:dyDescent="0.25">
      <c r="A16" t="s">
        <v>69</v>
      </c>
      <c r="B16">
        <v>1</v>
      </c>
      <c r="C16">
        <v>1</v>
      </c>
      <c r="D16">
        <v>1</v>
      </c>
    </row>
    <row r="17" spans="1:6" x14ac:dyDescent="0.25">
      <c r="A17" s="60" t="s">
        <v>70</v>
      </c>
      <c r="B17" s="60"/>
      <c r="C17" s="60"/>
      <c r="D17" s="60"/>
      <c r="E17" s="60" t="s">
        <v>254</v>
      </c>
    </row>
    <row r="18" spans="1:6" x14ac:dyDescent="0.25">
      <c r="A18" t="s">
        <v>71</v>
      </c>
      <c r="B18">
        <v>1</v>
      </c>
      <c r="C18">
        <v>1</v>
      </c>
      <c r="D18">
        <v>1</v>
      </c>
      <c r="E18" t="s">
        <v>266</v>
      </c>
    </row>
    <row r="19" spans="1:6" x14ac:dyDescent="0.25">
      <c r="A19" t="s">
        <v>72</v>
      </c>
      <c r="B19">
        <v>1</v>
      </c>
      <c r="C19">
        <v>1</v>
      </c>
      <c r="D19">
        <v>1</v>
      </c>
    </row>
    <row r="20" spans="1:6" x14ac:dyDescent="0.25">
      <c r="A20" t="s">
        <v>73</v>
      </c>
      <c r="B20">
        <v>1</v>
      </c>
      <c r="C20">
        <v>1</v>
      </c>
      <c r="D20">
        <v>1</v>
      </c>
    </row>
    <row r="21" spans="1:6" x14ac:dyDescent="0.25">
      <c r="A21" t="s">
        <v>74</v>
      </c>
      <c r="B21">
        <v>1</v>
      </c>
      <c r="C21">
        <v>1</v>
      </c>
      <c r="D21">
        <v>1</v>
      </c>
      <c r="E21" t="s">
        <v>265</v>
      </c>
    </row>
    <row r="22" spans="1:6" x14ac:dyDescent="0.25">
      <c r="A22" s="60" t="s">
        <v>75</v>
      </c>
      <c r="B22" s="60"/>
      <c r="C22" s="60"/>
      <c r="D22" s="60"/>
      <c r="E22" s="60" t="s">
        <v>253</v>
      </c>
      <c r="F22" s="60"/>
    </row>
    <row r="23" spans="1:6" x14ac:dyDescent="0.25">
      <c r="A23" t="s">
        <v>76</v>
      </c>
      <c r="B23">
        <v>1</v>
      </c>
      <c r="C23">
        <v>1</v>
      </c>
      <c r="D23">
        <v>1</v>
      </c>
    </row>
    <row r="24" spans="1:6" x14ac:dyDescent="0.25">
      <c r="A24" t="s">
        <v>77</v>
      </c>
      <c r="E24" t="s">
        <v>256</v>
      </c>
    </row>
    <row r="25" spans="1:6" x14ac:dyDescent="0.25">
      <c r="A25" s="60" t="s">
        <v>78</v>
      </c>
      <c r="B25" s="60"/>
      <c r="C25" s="60"/>
      <c r="D25" s="60"/>
      <c r="E25" s="60" t="s">
        <v>260</v>
      </c>
    </row>
    <row r="26" spans="1:6" x14ac:dyDescent="0.25">
      <c r="A26" t="s">
        <v>79</v>
      </c>
      <c r="B26">
        <v>1</v>
      </c>
      <c r="C26">
        <v>1</v>
      </c>
      <c r="D26">
        <v>1</v>
      </c>
    </row>
    <row r="27" spans="1:6" x14ac:dyDescent="0.25">
      <c r="A27" t="s">
        <v>80</v>
      </c>
      <c r="B27">
        <v>1</v>
      </c>
      <c r="C27">
        <v>1</v>
      </c>
      <c r="D27">
        <v>1</v>
      </c>
    </row>
    <row r="28" spans="1:6" x14ac:dyDescent="0.25">
      <c r="A28" t="s">
        <v>81</v>
      </c>
      <c r="B28">
        <v>2</v>
      </c>
      <c r="C28">
        <v>1</v>
      </c>
      <c r="D28">
        <v>1</v>
      </c>
    </row>
    <row r="29" spans="1:6" x14ac:dyDescent="0.25">
      <c r="A29" t="s">
        <v>82</v>
      </c>
      <c r="B29">
        <v>2</v>
      </c>
      <c r="C29">
        <v>1</v>
      </c>
      <c r="D29">
        <v>1</v>
      </c>
    </row>
    <row r="30" spans="1:6" x14ac:dyDescent="0.25">
      <c r="A30" s="60" t="s">
        <v>83</v>
      </c>
      <c r="B30" s="60"/>
      <c r="C30" s="60"/>
      <c r="D30" s="60"/>
      <c r="E30" s="60" t="s">
        <v>261</v>
      </c>
    </row>
    <row r="31" spans="1:6" x14ac:dyDescent="0.25">
      <c r="A31" t="s">
        <v>84</v>
      </c>
      <c r="B31">
        <v>1</v>
      </c>
      <c r="C31">
        <v>1</v>
      </c>
      <c r="D31">
        <v>1</v>
      </c>
    </row>
    <row r="32" spans="1:6" x14ac:dyDescent="0.25">
      <c r="A32" t="s">
        <v>85</v>
      </c>
      <c r="B32">
        <v>1</v>
      </c>
      <c r="C32">
        <v>1</v>
      </c>
      <c r="D32">
        <v>1</v>
      </c>
    </row>
    <row r="33" spans="1:4" x14ac:dyDescent="0.25">
      <c r="A33" t="s">
        <v>86</v>
      </c>
      <c r="B33">
        <v>1</v>
      </c>
      <c r="C33">
        <v>1</v>
      </c>
      <c r="D33">
        <v>1</v>
      </c>
    </row>
    <row r="34" spans="1:4" x14ac:dyDescent="0.25">
      <c r="A34" t="s">
        <v>87</v>
      </c>
      <c r="B34">
        <v>1</v>
      </c>
      <c r="C34">
        <v>1</v>
      </c>
      <c r="D34">
        <v>1</v>
      </c>
    </row>
    <row r="35" spans="1:4" x14ac:dyDescent="0.25">
      <c r="A35" t="s">
        <v>88</v>
      </c>
      <c r="B35">
        <v>1</v>
      </c>
      <c r="C35">
        <v>1</v>
      </c>
      <c r="D35">
        <v>1</v>
      </c>
    </row>
    <row r="36" spans="1:4" x14ac:dyDescent="0.25">
      <c r="A36" t="s">
        <v>89</v>
      </c>
      <c r="B36">
        <v>4</v>
      </c>
      <c r="C36">
        <v>1</v>
      </c>
      <c r="D36">
        <v>1</v>
      </c>
    </row>
    <row r="37" spans="1:4" x14ac:dyDescent="0.25">
      <c r="A37" t="s">
        <v>90</v>
      </c>
      <c r="B37">
        <v>1</v>
      </c>
      <c r="C37">
        <v>1</v>
      </c>
      <c r="D37">
        <v>1</v>
      </c>
    </row>
    <row r="38" spans="1:4" x14ac:dyDescent="0.25">
      <c r="A38" t="s">
        <v>11</v>
      </c>
      <c r="B38">
        <v>1</v>
      </c>
      <c r="C38">
        <v>1</v>
      </c>
      <c r="D38">
        <v>1</v>
      </c>
    </row>
    <row r="39" spans="1:4" x14ac:dyDescent="0.25">
      <c r="A39" t="s">
        <v>12</v>
      </c>
      <c r="B39">
        <v>1</v>
      </c>
      <c r="C39">
        <v>1</v>
      </c>
      <c r="D39">
        <v>1</v>
      </c>
    </row>
    <row r="40" spans="1:4" x14ac:dyDescent="0.25">
      <c r="A40" t="s">
        <v>14</v>
      </c>
      <c r="B40">
        <v>1</v>
      </c>
      <c r="C40">
        <v>1</v>
      </c>
      <c r="D40">
        <v>1</v>
      </c>
    </row>
    <row r="41" spans="1:4" x14ac:dyDescent="0.25">
      <c r="A41" t="s">
        <v>15</v>
      </c>
      <c r="B41">
        <v>1</v>
      </c>
      <c r="C41">
        <v>1</v>
      </c>
      <c r="D41">
        <v>1</v>
      </c>
    </row>
    <row r="42" spans="1:4" x14ac:dyDescent="0.25">
      <c r="A42" t="s">
        <v>16</v>
      </c>
      <c r="B42">
        <v>1</v>
      </c>
      <c r="C42">
        <v>1</v>
      </c>
      <c r="D42">
        <v>1</v>
      </c>
    </row>
    <row r="43" spans="1:4" x14ac:dyDescent="0.25">
      <c r="A43" t="s">
        <v>17</v>
      </c>
      <c r="B43">
        <v>1</v>
      </c>
      <c r="C43">
        <v>1</v>
      </c>
      <c r="D43">
        <v>1</v>
      </c>
    </row>
    <row r="44" spans="1:4" x14ac:dyDescent="0.25">
      <c r="A44" t="s">
        <v>18</v>
      </c>
      <c r="B44">
        <v>1</v>
      </c>
      <c r="C44">
        <v>1</v>
      </c>
      <c r="D44">
        <v>1</v>
      </c>
    </row>
    <row r="45" spans="1:4" x14ac:dyDescent="0.25">
      <c r="A45" t="s">
        <v>19</v>
      </c>
      <c r="B45">
        <v>1</v>
      </c>
      <c r="C45">
        <v>1</v>
      </c>
      <c r="D45">
        <v>1</v>
      </c>
    </row>
    <row r="46" spans="1:4" x14ac:dyDescent="0.25">
      <c r="A46" t="s">
        <v>20</v>
      </c>
      <c r="B46">
        <v>1</v>
      </c>
      <c r="C46">
        <v>1</v>
      </c>
      <c r="D46">
        <v>1</v>
      </c>
    </row>
    <row r="47" spans="1:4" x14ac:dyDescent="0.25">
      <c r="A47" t="s">
        <v>21</v>
      </c>
      <c r="B47">
        <v>1</v>
      </c>
      <c r="C47">
        <v>1</v>
      </c>
      <c r="D47">
        <v>1</v>
      </c>
    </row>
    <row r="48" spans="1:4" x14ac:dyDescent="0.25">
      <c r="A48" t="s">
        <v>22</v>
      </c>
      <c r="B48">
        <v>1</v>
      </c>
      <c r="C48">
        <v>1</v>
      </c>
      <c r="D48">
        <v>1</v>
      </c>
    </row>
    <row r="49" spans="1:5" x14ac:dyDescent="0.25">
      <c r="A49" t="s">
        <v>23</v>
      </c>
      <c r="B49">
        <v>1</v>
      </c>
      <c r="C49">
        <v>1</v>
      </c>
      <c r="D49">
        <v>1</v>
      </c>
    </row>
    <row r="50" spans="1:5" x14ac:dyDescent="0.25">
      <c r="A50" t="s">
        <v>24</v>
      </c>
      <c r="B50">
        <v>1</v>
      </c>
      <c r="C50">
        <v>1</v>
      </c>
      <c r="D50">
        <v>1</v>
      </c>
    </row>
    <row r="51" spans="1:5" x14ac:dyDescent="0.25">
      <c r="A51" t="s">
        <v>25</v>
      </c>
      <c r="B51">
        <v>1</v>
      </c>
      <c r="C51">
        <v>1</v>
      </c>
      <c r="D51">
        <v>1</v>
      </c>
    </row>
    <row r="52" spans="1:5" x14ac:dyDescent="0.25">
      <c r="A52" t="s">
        <v>26</v>
      </c>
      <c r="B52">
        <v>1</v>
      </c>
      <c r="C52">
        <v>1</v>
      </c>
      <c r="D52">
        <v>1</v>
      </c>
    </row>
    <row r="53" spans="1:5" x14ac:dyDescent="0.25">
      <c r="A53" t="s">
        <v>27</v>
      </c>
      <c r="B53">
        <v>1</v>
      </c>
      <c r="C53">
        <v>1</v>
      </c>
      <c r="D53">
        <v>1</v>
      </c>
    </row>
    <row r="54" spans="1:5" x14ac:dyDescent="0.25">
      <c r="A54" t="s">
        <v>28</v>
      </c>
      <c r="B54">
        <v>1</v>
      </c>
      <c r="C54">
        <v>1</v>
      </c>
      <c r="D54">
        <v>1</v>
      </c>
    </row>
    <row r="55" spans="1:5" x14ac:dyDescent="0.25">
      <c r="A55" t="s">
        <v>30</v>
      </c>
      <c r="B55">
        <v>2</v>
      </c>
      <c r="C55">
        <v>1</v>
      </c>
      <c r="D55">
        <v>1</v>
      </c>
    </row>
    <row r="56" spans="1:5" x14ac:dyDescent="0.25">
      <c r="A56" t="s">
        <v>32</v>
      </c>
      <c r="B56">
        <v>1</v>
      </c>
      <c r="C56">
        <v>1</v>
      </c>
      <c r="D56">
        <v>1</v>
      </c>
    </row>
    <row r="57" spans="1:5" x14ac:dyDescent="0.25">
      <c r="A57" t="s">
        <v>33</v>
      </c>
      <c r="B57">
        <v>1</v>
      </c>
      <c r="C57">
        <v>1</v>
      </c>
      <c r="D57">
        <v>1</v>
      </c>
    </row>
    <row r="58" spans="1:5" x14ac:dyDescent="0.25">
      <c r="A58" t="s">
        <v>34</v>
      </c>
      <c r="B58">
        <v>1</v>
      </c>
      <c r="C58">
        <v>1</v>
      </c>
      <c r="D58">
        <v>1</v>
      </c>
    </row>
    <row r="59" spans="1:5" x14ac:dyDescent="0.25">
      <c r="A59" t="s">
        <v>36</v>
      </c>
      <c r="B59">
        <v>1</v>
      </c>
      <c r="C59">
        <v>1</v>
      </c>
      <c r="D59">
        <v>1</v>
      </c>
    </row>
    <row r="60" spans="1:5" x14ac:dyDescent="0.25">
      <c r="A60" t="s">
        <v>38</v>
      </c>
      <c r="B60">
        <v>1</v>
      </c>
      <c r="C60">
        <v>1</v>
      </c>
      <c r="D60">
        <v>1</v>
      </c>
    </row>
    <row r="61" spans="1:5" x14ac:dyDescent="0.25">
      <c r="A61" t="s">
        <v>39</v>
      </c>
      <c r="B61">
        <v>1</v>
      </c>
      <c r="C61">
        <v>1</v>
      </c>
      <c r="D61">
        <v>1</v>
      </c>
    </row>
    <row r="62" spans="1:5" x14ac:dyDescent="0.25">
      <c r="A62" t="s">
        <v>40</v>
      </c>
      <c r="B62">
        <v>1</v>
      </c>
      <c r="C62">
        <v>1</v>
      </c>
      <c r="D62">
        <v>1</v>
      </c>
    </row>
    <row r="63" spans="1:5" x14ac:dyDescent="0.25">
      <c r="A63" t="s">
        <v>41</v>
      </c>
      <c r="B63">
        <v>3</v>
      </c>
      <c r="C63">
        <v>1</v>
      </c>
      <c r="D63">
        <v>1</v>
      </c>
      <c r="E63" t="s">
        <v>267</v>
      </c>
    </row>
    <row r="64" spans="1:5" x14ac:dyDescent="0.25">
      <c r="A64" t="s">
        <v>46</v>
      </c>
      <c r="B64">
        <v>1</v>
      </c>
      <c r="C64">
        <v>1</v>
      </c>
      <c r="D64">
        <v>1</v>
      </c>
    </row>
    <row r="65" spans="1:5" x14ac:dyDescent="0.25">
      <c r="A65" t="s">
        <v>48</v>
      </c>
      <c r="B65">
        <v>1</v>
      </c>
      <c r="C65">
        <v>1</v>
      </c>
      <c r="D65">
        <v>1</v>
      </c>
    </row>
    <row r="66" spans="1:5" x14ac:dyDescent="0.25">
      <c r="A66" t="s">
        <v>49</v>
      </c>
      <c r="B66">
        <v>2</v>
      </c>
      <c r="C66">
        <v>1</v>
      </c>
      <c r="D66">
        <v>1</v>
      </c>
    </row>
    <row r="67" spans="1:5" x14ac:dyDescent="0.25">
      <c r="A67" t="s">
        <v>50</v>
      </c>
      <c r="B67">
        <v>1</v>
      </c>
      <c r="C67">
        <v>1</v>
      </c>
      <c r="D67">
        <v>1</v>
      </c>
    </row>
    <row r="68" spans="1:5" x14ac:dyDescent="0.25">
      <c r="A68" t="s">
        <v>91</v>
      </c>
      <c r="B68">
        <v>1</v>
      </c>
      <c r="C68">
        <v>1</v>
      </c>
      <c r="D68">
        <v>1</v>
      </c>
    </row>
    <row r="69" spans="1:5" x14ac:dyDescent="0.25">
      <c r="A69" t="s">
        <v>92</v>
      </c>
      <c r="B69">
        <v>1</v>
      </c>
      <c r="C69">
        <v>1</v>
      </c>
      <c r="D69">
        <v>1</v>
      </c>
    </row>
    <row r="70" spans="1:5" x14ac:dyDescent="0.25">
      <c r="A70" t="s">
        <v>93</v>
      </c>
      <c r="B70">
        <v>1</v>
      </c>
      <c r="C70">
        <v>1</v>
      </c>
      <c r="D70">
        <v>1</v>
      </c>
    </row>
    <row r="71" spans="1:5" x14ac:dyDescent="0.25">
      <c r="A71" s="60" t="s">
        <v>94</v>
      </c>
      <c r="B71" s="60">
        <v>4</v>
      </c>
      <c r="C71" s="60"/>
      <c r="D71" s="60"/>
      <c r="E71" s="60" t="s">
        <v>257</v>
      </c>
    </row>
    <row r="72" spans="1:5" x14ac:dyDescent="0.25">
      <c r="A72" t="s">
        <v>95</v>
      </c>
      <c r="B72">
        <v>1</v>
      </c>
      <c r="C72">
        <v>1</v>
      </c>
      <c r="D72">
        <v>1</v>
      </c>
      <c r="E72" s="1"/>
    </row>
    <row r="73" spans="1:5" x14ac:dyDescent="0.25">
      <c r="A73" t="s">
        <v>96</v>
      </c>
      <c r="B73">
        <v>1</v>
      </c>
      <c r="C73">
        <v>1</v>
      </c>
      <c r="D73">
        <v>1</v>
      </c>
      <c r="E73" t="s">
        <v>262</v>
      </c>
    </row>
    <row r="74" spans="1:5" x14ac:dyDescent="0.25">
      <c r="A74" t="s">
        <v>97</v>
      </c>
      <c r="B74">
        <v>2</v>
      </c>
      <c r="C74">
        <v>1</v>
      </c>
      <c r="D74">
        <v>1</v>
      </c>
    </row>
    <row r="75" spans="1:5" x14ac:dyDescent="0.25">
      <c r="A75" s="60" t="s">
        <v>98</v>
      </c>
      <c r="B75" s="60">
        <v>6</v>
      </c>
      <c r="C75" s="60"/>
      <c r="D75" s="60"/>
      <c r="E75" s="60" t="s">
        <v>259</v>
      </c>
    </row>
    <row r="76" spans="1:5" x14ac:dyDescent="0.25">
      <c r="A76" t="s">
        <v>99</v>
      </c>
      <c r="B76">
        <v>1</v>
      </c>
      <c r="C76">
        <v>1</v>
      </c>
      <c r="D76">
        <v>1</v>
      </c>
    </row>
    <row r="77" spans="1:5" x14ac:dyDescent="0.25">
      <c r="A77" t="s">
        <v>100</v>
      </c>
      <c r="B77">
        <v>1</v>
      </c>
      <c r="C77">
        <v>1</v>
      </c>
      <c r="D77">
        <v>1</v>
      </c>
    </row>
    <row r="78" spans="1:5" x14ac:dyDescent="0.25">
      <c r="A78" s="60" t="s">
        <v>101</v>
      </c>
      <c r="B78" s="60">
        <v>5</v>
      </c>
      <c r="C78" s="60"/>
      <c r="D78" s="60"/>
      <c r="E78" s="60" t="s">
        <v>258</v>
      </c>
    </row>
    <row r="79" spans="1:5" x14ac:dyDescent="0.25">
      <c r="A79" t="s">
        <v>102</v>
      </c>
      <c r="B79">
        <v>1</v>
      </c>
      <c r="C79">
        <v>1</v>
      </c>
      <c r="D79">
        <v>1</v>
      </c>
    </row>
    <row r="80" spans="1:5" x14ac:dyDescent="0.25">
      <c r="A80" t="s">
        <v>103</v>
      </c>
      <c r="B80">
        <v>2</v>
      </c>
      <c r="C80">
        <v>1</v>
      </c>
      <c r="D80">
        <v>1</v>
      </c>
    </row>
    <row r="81" spans="1:5" x14ac:dyDescent="0.25">
      <c r="A81" t="s">
        <v>104</v>
      </c>
      <c r="B81">
        <v>1</v>
      </c>
      <c r="C81">
        <v>1</v>
      </c>
      <c r="D81">
        <v>1</v>
      </c>
    </row>
    <row r="82" spans="1:5" x14ac:dyDescent="0.25">
      <c r="A82" s="87" t="s">
        <v>105</v>
      </c>
      <c r="B82" s="87">
        <v>9</v>
      </c>
      <c r="C82" s="87">
        <v>1</v>
      </c>
      <c r="D82" s="87">
        <v>1</v>
      </c>
      <c r="E82" s="87" t="s">
        <v>258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4743-97C8-4964-BD9C-41FB29E2BC85}">
  <dimension ref="A1:M10"/>
  <sheetViews>
    <sheetView workbookViewId="0">
      <selection activeCell="D8" sqref="D8"/>
    </sheetView>
    <sheetView workbookViewId="1"/>
  </sheetViews>
  <sheetFormatPr defaultRowHeight="15" x14ac:dyDescent="0.25"/>
  <cols>
    <col min="4" max="4" width="19" bestFit="1" customWidth="1"/>
    <col min="5" max="5" width="11.140625" bestFit="1" customWidth="1"/>
    <col min="6" max="6" width="7.7109375" bestFit="1" customWidth="1"/>
    <col min="7" max="7" width="9.42578125" bestFit="1" customWidth="1"/>
    <col min="8" max="9" width="8" bestFit="1" customWidth="1"/>
    <col min="10" max="10" width="9" bestFit="1" customWidth="1"/>
    <col min="11" max="11" width="10.7109375" bestFit="1" customWidth="1"/>
    <col min="12" max="12" width="28.42578125" bestFit="1" customWidth="1"/>
  </cols>
  <sheetData>
    <row r="1" spans="1:13" x14ac:dyDescent="0.25">
      <c r="A1" t="s">
        <v>106</v>
      </c>
    </row>
    <row r="2" spans="1:13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</row>
    <row r="3" spans="1:13" x14ac:dyDescent="0.25">
      <c r="A3">
        <v>355</v>
      </c>
      <c r="B3" t="s">
        <v>119</v>
      </c>
      <c r="C3" t="s">
        <v>120</v>
      </c>
      <c r="D3" s="2" t="s">
        <v>121</v>
      </c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>
        <v>983</v>
      </c>
      <c r="B4" t="s">
        <v>120</v>
      </c>
      <c r="C4" t="s">
        <v>122</v>
      </c>
      <c r="D4" s="2" t="s">
        <v>123</v>
      </c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>
        <v>1825</v>
      </c>
      <c r="B5" t="s">
        <v>119</v>
      </c>
      <c r="C5" t="s">
        <v>120</v>
      </c>
      <c r="D5" s="2" t="s">
        <v>124</v>
      </c>
      <c r="E5" s="2" t="s">
        <v>125</v>
      </c>
      <c r="F5" s="2" t="s">
        <v>126</v>
      </c>
      <c r="G5" s="2" t="s">
        <v>127</v>
      </c>
      <c r="H5" s="2" t="s">
        <v>128</v>
      </c>
      <c r="I5" s="2" t="s">
        <v>129</v>
      </c>
      <c r="J5" s="2" t="s">
        <v>130</v>
      </c>
      <c r="K5" s="2" t="s">
        <v>131</v>
      </c>
      <c r="L5" s="2" t="s">
        <v>132</v>
      </c>
      <c r="M5" s="2"/>
    </row>
    <row r="6" spans="1:13" x14ac:dyDescent="0.25">
      <c r="A6">
        <v>2648</v>
      </c>
      <c r="B6" t="s">
        <v>120</v>
      </c>
      <c r="C6" t="s">
        <v>122</v>
      </c>
      <c r="D6" s="2" t="s">
        <v>133</v>
      </c>
      <c r="E6" s="2" t="s">
        <v>134</v>
      </c>
      <c r="F6" s="2"/>
      <c r="G6" s="2"/>
      <c r="H6" s="2"/>
      <c r="I6" s="2"/>
      <c r="J6" s="2"/>
      <c r="K6" s="2"/>
      <c r="L6" s="2"/>
      <c r="M6" s="2"/>
    </row>
    <row r="7" spans="1:13" x14ac:dyDescent="0.25">
      <c r="A7">
        <v>2833</v>
      </c>
      <c r="B7" t="s">
        <v>119</v>
      </c>
      <c r="C7" t="s">
        <v>122</v>
      </c>
      <c r="D7" s="2" t="s">
        <v>135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>
        <v>2840</v>
      </c>
      <c r="B8" t="s">
        <v>122</v>
      </c>
      <c r="C8" t="s">
        <v>136</v>
      </c>
      <c r="D8" s="2" t="s">
        <v>135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>
        <v>2941</v>
      </c>
      <c r="B9" t="s">
        <v>120</v>
      </c>
      <c r="C9" t="s">
        <v>122</v>
      </c>
      <c r="D9" s="2" t="s">
        <v>137</v>
      </c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>
        <v>2950</v>
      </c>
      <c r="B10" t="s">
        <v>136</v>
      </c>
      <c r="C10" t="s">
        <v>122</v>
      </c>
      <c r="D10" s="2" t="s">
        <v>250</v>
      </c>
      <c r="E10" s="2"/>
      <c r="F10" s="2"/>
      <c r="G10" s="2"/>
      <c r="H10" s="2"/>
      <c r="I10" s="2"/>
      <c r="J10" s="2"/>
      <c r="K10" s="2"/>
      <c r="L10" s="2"/>
      <c r="M10" s="2"/>
    </row>
  </sheetData>
  <sortState xmlns:xlrd2="http://schemas.microsoft.com/office/spreadsheetml/2017/richdata2" ref="A3:K9">
    <sortCondition ref="A1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3CE1-56BB-47BB-8274-FACAC98CEA53}">
  <sheetPr>
    <pageSetUpPr fitToPage="1"/>
  </sheetPr>
  <dimension ref="A1:AF292"/>
  <sheetViews>
    <sheetView topLeftCell="A286" zoomScale="80" zoomScaleNormal="80" workbookViewId="0">
      <selection activeCell="U291" sqref="U291"/>
    </sheetView>
    <sheetView tabSelected="1" topLeftCell="A2" workbookViewId="1">
      <selection activeCell="G5" sqref="G5"/>
    </sheetView>
  </sheetViews>
  <sheetFormatPr defaultColWidth="9.140625" defaultRowHeight="15" x14ac:dyDescent="0.25"/>
  <cols>
    <col min="1" max="1" width="13.7109375" customWidth="1"/>
    <col min="2" max="2" width="7.140625" bestFit="1" customWidth="1"/>
    <col min="3" max="3" width="9.28515625" bestFit="1" customWidth="1"/>
    <col min="4" max="4" width="21.7109375" customWidth="1"/>
    <col min="5" max="5" width="8.7109375" bestFit="1" customWidth="1"/>
    <col min="6" max="6" width="12" bestFit="1" customWidth="1"/>
    <col min="7" max="7" width="11.28515625" bestFit="1" customWidth="1"/>
    <col min="8" max="8" width="7" bestFit="1" customWidth="1"/>
    <col min="9" max="9" width="8.85546875" customWidth="1"/>
    <col min="10" max="10" width="16.5703125" bestFit="1" customWidth="1"/>
    <col min="11" max="11" width="9.28515625" bestFit="1" customWidth="1"/>
    <col min="12" max="14" width="8.85546875" customWidth="1"/>
    <col min="15" max="15" width="8.85546875" bestFit="1" customWidth="1"/>
    <col min="16" max="16" width="8.85546875" customWidth="1"/>
    <col min="17" max="18" width="8.85546875" style="72" customWidth="1"/>
    <col min="19" max="22" width="8.85546875" customWidth="1"/>
    <col min="23" max="23" width="9.140625" customWidth="1"/>
    <col min="24" max="26" width="8.7109375" customWidth="1"/>
    <col min="27" max="27" width="8.85546875" bestFit="1" customWidth="1"/>
    <col min="28" max="29" width="8.85546875" customWidth="1"/>
    <col min="30" max="30" width="9.140625" customWidth="1"/>
    <col min="31" max="31" width="12.42578125" customWidth="1"/>
    <col min="32" max="32" width="27.140625" customWidth="1"/>
  </cols>
  <sheetData>
    <row r="1" spans="1:32" ht="17.25" x14ac:dyDescent="0.25">
      <c r="A1" s="20" t="s">
        <v>138</v>
      </c>
    </row>
    <row r="2" spans="1:32" ht="18" x14ac:dyDescent="0.35">
      <c r="A2" s="20" t="s">
        <v>139</v>
      </c>
    </row>
    <row r="3" spans="1:32" ht="17.25" x14ac:dyDescent="0.25">
      <c r="A3" s="20" t="s">
        <v>140</v>
      </c>
    </row>
    <row r="4" spans="1:32" x14ac:dyDescent="0.25">
      <c r="A4" s="20" t="s">
        <v>141</v>
      </c>
    </row>
    <row r="5" spans="1:32" x14ac:dyDescent="0.25">
      <c r="A5" s="20" t="s">
        <v>142</v>
      </c>
    </row>
    <row r="7" spans="1:32" x14ac:dyDescent="0.25">
      <c r="B7" s="6"/>
      <c r="C7" s="6"/>
      <c r="D7" s="6"/>
      <c r="E7" s="21"/>
      <c r="F7" s="32"/>
      <c r="G7" s="32"/>
      <c r="H7" s="152" t="s">
        <v>143</v>
      </c>
      <c r="I7" s="153"/>
      <c r="J7" s="153"/>
      <c r="K7" s="153"/>
      <c r="L7" s="70"/>
      <c r="M7" s="70"/>
      <c r="N7" s="99"/>
      <c r="O7" s="70"/>
      <c r="P7" s="119"/>
      <c r="Q7" s="73"/>
      <c r="R7" s="73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22"/>
    </row>
    <row r="8" spans="1:32" ht="30" x14ac:dyDescent="0.25">
      <c r="A8" s="23" t="s">
        <v>144</v>
      </c>
      <c r="B8" s="62" t="s">
        <v>145</v>
      </c>
      <c r="C8" s="62" t="s">
        <v>0</v>
      </c>
      <c r="D8" s="62" t="s">
        <v>51</v>
      </c>
      <c r="E8" s="24" t="s">
        <v>146</v>
      </c>
      <c r="F8" s="62" t="s">
        <v>8</v>
      </c>
      <c r="G8" s="62" t="s">
        <v>147</v>
      </c>
      <c r="H8" s="62" t="s">
        <v>5</v>
      </c>
      <c r="I8" s="62" t="s">
        <v>6</v>
      </c>
      <c r="J8" s="25" t="s">
        <v>148</v>
      </c>
      <c r="K8" s="25" t="s">
        <v>149</v>
      </c>
      <c r="L8" s="71">
        <v>5.0000000000000001E-3</v>
      </c>
      <c r="M8" s="71">
        <v>1E-3</v>
      </c>
      <c r="N8" s="71">
        <v>6.9999999999999999E-4</v>
      </c>
      <c r="O8" s="71">
        <v>5.0000000000000001E-4</v>
      </c>
      <c r="P8" s="71">
        <v>2.0000000000000001E-4</v>
      </c>
      <c r="Q8" s="71">
        <v>1E-4</v>
      </c>
      <c r="R8" s="71">
        <v>6.9999999999999994E-5</v>
      </c>
      <c r="S8" s="26">
        <v>5.0000000000000002E-5</v>
      </c>
      <c r="T8" s="26">
        <v>2.0000000000000002E-5</v>
      </c>
      <c r="U8" s="26">
        <v>1.0000000000000001E-5</v>
      </c>
      <c r="V8" s="26">
        <v>6.9999999999999999E-6</v>
      </c>
      <c r="W8" s="26">
        <v>5.0000000000000004E-6</v>
      </c>
      <c r="X8" s="26">
        <v>1.9999999999999999E-6</v>
      </c>
      <c r="Y8" s="26">
        <v>9.9999999999999995E-7</v>
      </c>
      <c r="Z8" s="27">
        <v>6.9999999999999997E-7</v>
      </c>
      <c r="AA8" s="27">
        <v>4.9999999999999998E-7</v>
      </c>
      <c r="AB8" s="27">
        <v>1.9999999999999999E-7</v>
      </c>
      <c r="AC8" s="27">
        <v>9.9999999999999995E-8</v>
      </c>
      <c r="AD8" s="61" t="s">
        <v>150</v>
      </c>
      <c r="AE8" s="62" t="s">
        <v>151</v>
      </c>
      <c r="AF8" s="62" t="s">
        <v>152</v>
      </c>
    </row>
    <row r="9" spans="1:32" hidden="1" x14ac:dyDescent="0.25">
      <c r="A9" s="7">
        <v>44080</v>
      </c>
      <c r="B9" s="28">
        <v>1</v>
      </c>
      <c r="C9" s="3">
        <v>100</v>
      </c>
      <c r="D9" s="4" t="s">
        <v>10</v>
      </c>
      <c r="E9" s="5">
        <v>1</v>
      </c>
      <c r="F9" s="33">
        <v>3.8500000000000001E-3</v>
      </c>
      <c r="G9" s="33"/>
      <c r="H9" s="15">
        <v>155</v>
      </c>
      <c r="I9" s="16">
        <v>0.01</v>
      </c>
      <c r="J9" s="9">
        <f>H9/0.001</f>
        <v>155000</v>
      </c>
      <c r="K9" s="9">
        <f t="shared" ref="K9:K16" si="0">H9/I9</f>
        <v>15500</v>
      </c>
      <c r="L9" s="9"/>
      <c r="M9" s="9"/>
      <c r="N9" s="9"/>
      <c r="O9" s="9"/>
      <c r="P9" s="9"/>
      <c r="Q9" s="68"/>
      <c r="R9" s="68"/>
      <c r="S9" s="6"/>
      <c r="T9" s="6"/>
      <c r="U9" s="6"/>
      <c r="V9" s="6"/>
      <c r="W9" s="6"/>
      <c r="X9" s="6"/>
      <c r="Y9" s="13"/>
      <c r="Z9" s="13"/>
      <c r="AA9" s="13">
        <v>140</v>
      </c>
      <c r="AB9" s="13"/>
      <c r="AC9" s="6">
        <v>16</v>
      </c>
      <c r="AD9" s="9">
        <f>AA9/AA8</f>
        <v>280000000</v>
      </c>
      <c r="AE9" s="43">
        <f t="shared" ref="AE9:AE16" si="1">LN(AD9/K9)/(0.667*LN(2))</f>
        <v>21.200706133763386</v>
      </c>
      <c r="AF9" s="13"/>
    </row>
    <row r="10" spans="1:32" hidden="1" x14ac:dyDescent="0.25">
      <c r="A10" s="7">
        <v>44080</v>
      </c>
      <c r="B10" s="28">
        <v>2</v>
      </c>
      <c r="C10" s="6">
        <v>101</v>
      </c>
      <c r="D10" s="6" t="s">
        <v>11</v>
      </c>
      <c r="E10" s="6">
        <v>1</v>
      </c>
      <c r="F10" s="9">
        <v>3.0799999999999998E-3</v>
      </c>
      <c r="G10" s="9"/>
      <c r="H10" s="6">
        <v>187</v>
      </c>
      <c r="I10" s="16">
        <v>0.01</v>
      </c>
      <c r="J10" s="9">
        <f t="shared" ref="J10:J16" si="2">H10/0.001</f>
        <v>187000</v>
      </c>
      <c r="K10" s="9">
        <f t="shared" si="0"/>
        <v>18700</v>
      </c>
      <c r="L10" s="9"/>
      <c r="M10" s="9"/>
      <c r="N10" s="9"/>
      <c r="O10" s="9"/>
      <c r="P10" s="9"/>
      <c r="Q10" s="68"/>
      <c r="R10" s="68"/>
      <c r="S10" s="6"/>
      <c r="T10" s="6"/>
      <c r="U10" s="6"/>
      <c r="V10" s="6"/>
      <c r="W10" s="6"/>
      <c r="X10" s="6"/>
      <c r="Y10" s="13"/>
      <c r="Z10" s="13"/>
      <c r="AA10" s="13">
        <v>48</v>
      </c>
      <c r="AB10" s="13"/>
      <c r="AC10" s="6"/>
      <c r="AD10" s="9">
        <f>AA10/AA8</f>
        <v>96000000</v>
      </c>
      <c r="AE10" s="43">
        <f t="shared" si="1"/>
        <v>18.479430915116893</v>
      </c>
      <c r="AF10" s="13"/>
    </row>
    <row r="11" spans="1:32" hidden="1" x14ac:dyDescent="0.25">
      <c r="A11" s="7">
        <v>44080</v>
      </c>
      <c r="B11" s="28">
        <v>3</v>
      </c>
      <c r="C11" s="6">
        <v>102</v>
      </c>
      <c r="D11" s="6" t="s">
        <v>12</v>
      </c>
      <c r="E11" s="6">
        <v>1</v>
      </c>
      <c r="F11" s="9">
        <v>1.08E-3</v>
      </c>
      <c r="G11" s="9"/>
      <c r="H11" s="6">
        <v>116</v>
      </c>
      <c r="I11" s="16">
        <v>0.01</v>
      </c>
      <c r="J11" s="9">
        <f t="shared" si="2"/>
        <v>116000</v>
      </c>
      <c r="K11" s="9">
        <f t="shared" si="0"/>
        <v>11600</v>
      </c>
      <c r="L11" s="9"/>
      <c r="M11" s="9"/>
      <c r="N11" s="9"/>
      <c r="O11" s="9"/>
      <c r="P11" s="9"/>
      <c r="Q11" s="68"/>
      <c r="R11" s="68"/>
      <c r="S11" s="6"/>
      <c r="T11" s="6"/>
      <c r="U11" s="6"/>
      <c r="V11" s="6"/>
      <c r="W11" s="6"/>
      <c r="X11" s="6"/>
      <c r="Y11" s="13">
        <v>105</v>
      </c>
      <c r="Z11" s="13"/>
      <c r="AA11" s="13">
        <v>61</v>
      </c>
      <c r="AB11" s="13"/>
      <c r="AC11" s="6"/>
      <c r="AD11" s="9">
        <f>Y11/Y8</f>
        <v>105000000</v>
      </c>
      <c r="AE11" s="43">
        <f t="shared" si="1"/>
        <v>19.706112296983509</v>
      </c>
      <c r="AF11" s="13"/>
    </row>
    <row r="12" spans="1:32" hidden="1" x14ac:dyDescent="0.25">
      <c r="A12" s="7">
        <v>44080</v>
      </c>
      <c r="B12" s="28">
        <v>4</v>
      </c>
      <c r="C12" s="6">
        <v>103</v>
      </c>
      <c r="D12" s="6" t="s">
        <v>14</v>
      </c>
      <c r="E12" s="6">
        <v>1</v>
      </c>
      <c r="F12" s="9">
        <v>2.7399999999999998E-3</v>
      </c>
      <c r="G12" s="9"/>
      <c r="H12" s="6">
        <v>217</v>
      </c>
      <c r="I12" s="16">
        <v>0.01</v>
      </c>
      <c r="J12" s="9">
        <f t="shared" si="2"/>
        <v>217000</v>
      </c>
      <c r="K12" s="9">
        <f t="shared" si="0"/>
        <v>21700</v>
      </c>
      <c r="L12" s="9"/>
      <c r="M12" s="9"/>
      <c r="N12" s="9"/>
      <c r="O12" s="9"/>
      <c r="P12" s="9"/>
      <c r="Q12" s="68"/>
      <c r="R12" s="68"/>
      <c r="S12" s="6"/>
      <c r="T12" s="6"/>
      <c r="U12" s="6"/>
      <c r="V12" s="6"/>
      <c r="W12" s="6"/>
      <c r="X12" s="6"/>
      <c r="Y12" s="13"/>
      <c r="Z12" s="13"/>
      <c r="AA12" s="13">
        <v>103</v>
      </c>
      <c r="AB12" s="13"/>
      <c r="AC12" s="6">
        <v>35</v>
      </c>
      <c r="AD12" s="9">
        <f>AA12/AA8</f>
        <v>206000000</v>
      </c>
      <c r="AE12" s="43">
        <f t="shared" si="1"/>
        <v>19.809087967448558</v>
      </c>
      <c r="AF12" s="13"/>
    </row>
    <row r="13" spans="1:32" hidden="1" x14ac:dyDescent="0.25">
      <c r="A13" s="7">
        <v>44080</v>
      </c>
      <c r="B13" s="28">
        <v>5</v>
      </c>
      <c r="C13" s="6">
        <v>104</v>
      </c>
      <c r="D13" s="6" t="s">
        <v>15</v>
      </c>
      <c r="E13" s="6">
        <v>1</v>
      </c>
      <c r="F13" s="9">
        <v>1.1100000000000001E-3</v>
      </c>
      <c r="G13" s="9"/>
      <c r="H13" s="6">
        <v>108</v>
      </c>
      <c r="I13" s="16">
        <v>0.01</v>
      </c>
      <c r="J13" s="9">
        <f t="shared" si="2"/>
        <v>108000</v>
      </c>
      <c r="K13" s="9">
        <f t="shared" si="0"/>
        <v>10800</v>
      </c>
      <c r="L13" s="9"/>
      <c r="M13" s="9"/>
      <c r="N13" s="9"/>
      <c r="O13" s="9"/>
      <c r="P13" s="9"/>
      <c r="Q13" s="68"/>
      <c r="R13" s="68"/>
      <c r="S13" s="6"/>
      <c r="T13" s="6"/>
      <c r="U13" s="6"/>
      <c r="V13" s="6"/>
      <c r="W13" s="6"/>
      <c r="X13" s="6"/>
      <c r="Y13" s="13"/>
      <c r="Z13" s="13"/>
      <c r="AA13" s="13">
        <v>56</v>
      </c>
      <c r="AB13" s="13"/>
      <c r="AC13" s="6"/>
      <c r="AD13" s="9">
        <f>AA13/AA8</f>
        <v>112000000</v>
      </c>
      <c r="AE13" s="43">
        <f t="shared" si="1"/>
        <v>20.000269564383185</v>
      </c>
      <c r="AF13" s="13"/>
    </row>
    <row r="14" spans="1:32" hidden="1" x14ac:dyDescent="0.25">
      <c r="A14" s="7">
        <v>44080</v>
      </c>
      <c r="B14" s="28">
        <v>6</v>
      </c>
      <c r="C14" s="6">
        <v>105</v>
      </c>
      <c r="D14" s="6" t="s">
        <v>16</v>
      </c>
      <c r="E14" s="6">
        <v>1</v>
      </c>
      <c r="F14" s="9">
        <v>6.0600000000000003E-3</v>
      </c>
      <c r="G14" s="9"/>
      <c r="H14" s="6">
        <v>166</v>
      </c>
      <c r="I14" s="16">
        <v>0.01</v>
      </c>
      <c r="J14" s="9">
        <f t="shared" si="2"/>
        <v>166000</v>
      </c>
      <c r="K14" s="9">
        <f t="shared" si="0"/>
        <v>16600</v>
      </c>
      <c r="L14" s="9"/>
      <c r="M14" s="9"/>
      <c r="N14" s="9"/>
      <c r="O14" s="9"/>
      <c r="P14" s="9"/>
      <c r="Q14" s="68"/>
      <c r="R14" s="68"/>
      <c r="S14" s="6"/>
      <c r="T14" s="6"/>
      <c r="U14" s="6"/>
      <c r="V14" s="6"/>
      <c r="W14" s="6"/>
      <c r="X14" s="6"/>
      <c r="Y14" s="13"/>
      <c r="Z14" s="13"/>
      <c r="AA14" s="13">
        <v>70</v>
      </c>
      <c r="AB14" s="13"/>
      <c r="AC14" s="6"/>
      <c r="AD14" s="9">
        <f>AA14/AA8</f>
        <v>140000000</v>
      </c>
      <c r="AE14" s="43">
        <f t="shared" si="1"/>
        <v>19.553157369036718</v>
      </c>
      <c r="AF14" s="13"/>
    </row>
    <row r="15" spans="1:32" hidden="1" x14ac:dyDescent="0.25">
      <c r="A15" s="7">
        <v>44080</v>
      </c>
      <c r="B15" s="28">
        <v>7</v>
      </c>
      <c r="C15" s="6">
        <v>106</v>
      </c>
      <c r="D15" s="6" t="s">
        <v>17</v>
      </c>
      <c r="E15" s="6">
        <v>1</v>
      </c>
      <c r="F15" s="9">
        <v>6.02E-4</v>
      </c>
      <c r="G15" s="9"/>
      <c r="H15" s="6">
        <v>120</v>
      </c>
      <c r="I15" s="16">
        <v>0.01</v>
      </c>
      <c r="J15" s="9">
        <f t="shared" si="2"/>
        <v>120000</v>
      </c>
      <c r="K15" s="9">
        <f t="shared" si="0"/>
        <v>12000</v>
      </c>
      <c r="L15" s="9"/>
      <c r="M15" s="9"/>
      <c r="N15" s="9"/>
      <c r="O15" s="9"/>
      <c r="P15" s="9"/>
      <c r="Q15" s="68"/>
      <c r="R15" s="68"/>
      <c r="S15" s="6"/>
      <c r="T15" s="6"/>
      <c r="U15" s="6"/>
      <c r="V15" s="6"/>
      <c r="W15" s="6"/>
      <c r="X15" s="6"/>
      <c r="Y15" s="13"/>
      <c r="Z15" s="13"/>
      <c r="AA15" s="13">
        <v>55</v>
      </c>
      <c r="AB15" s="13"/>
      <c r="AC15" s="6"/>
      <c r="AD15" s="9">
        <f>AA15/AA8</f>
        <v>110000000</v>
      </c>
      <c r="AE15" s="43">
        <f t="shared" si="1"/>
        <v>19.733405543426674</v>
      </c>
      <c r="AF15" s="13"/>
    </row>
    <row r="16" spans="1:32" hidden="1" x14ac:dyDescent="0.25">
      <c r="A16" s="36">
        <v>44080</v>
      </c>
      <c r="B16" s="37">
        <v>8</v>
      </c>
      <c r="C16" s="38">
        <v>107</v>
      </c>
      <c r="D16" s="38" t="s">
        <v>18</v>
      </c>
      <c r="E16" s="38">
        <v>1</v>
      </c>
      <c r="F16" s="39">
        <v>7.2500000000000004E-3</v>
      </c>
      <c r="G16" s="39"/>
      <c r="H16" s="38">
        <v>183</v>
      </c>
      <c r="I16" s="40">
        <v>0.01</v>
      </c>
      <c r="J16" s="39">
        <f t="shared" si="2"/>
        <v>183000</v>
      </c>
      <c r="K16" s="39">
        <f t="shared" si="0"/>
        <v>18300</v>
      </c>
      <c r="L16" s="39"/>
      <c r="M16" s="39"/>
      <c r="N16" s="39"/>
      <c r="O16" s="39"/>
      <c r="P16" s="39"/>
      <c r="Q16" s="74"/>
      <c r="R16" s="74"/>
      <c r="S16" s="38"/>
      <c r="T16" s="38"/>
      <c r="U16" s="38"/>
      <c r="V16" s="38"/>
      <c r="W16" s="38">
        <v>121</v>
      </c>
      <c r="X16" s="38"/>
      <c r="Y16" s="41">
        <v>27</v>
      </c>
      <c r="Z16" s="41"/>
      <c r="AA16" s="41"/>
      <c r="AB16" s="41"/>
      <c r="AC16" s="38"/>
      <c r="AD16" s="39">
        <f>W16/W8</f>
        <v>24199999.999999996</v>
      </c>
      <c r="AE16" s="43">
        <f t="shared" si="1"/>
        <v>15.545648701128394</v>
      </c>
      <c r="AF16" s="41"/>
    </row>
    <row r="17" spans="1:32" hidden="1" x14ac:dyDescent="0.25">
      <c r="A17" s="7"/>
      <c r="B17" s="62"/>
      <c r="C17" s="62"/>
      <c r="D17" s="62"/>
      <c r="E17" s="24"/>
      <c r="F17" s="62"/>
      <c r="G17" s="62"/>
      <c r="H17" s="6"/>
      <c r="I17" s="16"/>
      <c r="J17" s="9"/>
      <c r="K17" s="9"/>
      <c r="L17" s="9"/>
      <c r="M17" s="9"/>
      <c r="N17" s="9"/>
      <c r="O17" s="9"/>
      <c r="P17" s="9"/>
      <c r="Q17" s="68"/>
      <c r="R17" s="68"/>
      <c r="S17" s="6"/>
      <c r="T17" s="6"/>
      <c r="U17" s="6"/>
      <c r="V17" s="6"/>
      <c r="W17" s="6"/>
      <c r="X17" s="6"/>
      <c r="Y17" s="13"/>
      <c r="Z17" s="13"/>
      <c r="AA17" s="13"/>
      <c r="AB17" s="13"/>
      <c r="AC17" s="6"/>
      <c r="AD17" s="9"/>
      <c r="AE17" s="43"/>
      <c r="AF17" s="13"/>
    </row>
    <row r="18" spans="1:32" hidden="1" x14ac:dyDescent="0.25">
      <c r="A18" s="7">
        <v>44082</v>
      </c>
      <c r="B18" s="42">
        <v>1</v>
      </c>
      <c r="C18" s="6">
        <v>104</v>
      </c>
      <c r="D18" s="6" t="s">
        <v>15</v>
      </c>
      <c r="E18" s="13">
        <v>1</v>
      </c>
      <c r="F18" s="9">
        <f>(100000)*F13/J13</f>
        <v>1.0277777777777778E-3</v>
      </c>
      <c r="G18" s="9"/>
      <c r="H18" s="6">
        <v>125</v>
      </c>
      <c r="I18" s="9">
        <v>0.01</v>
      </c>
      <c r="J18" s="9">
        <f>H18/0.001</f>
        <v>125000</v>
      </c>
      <c r="K18" s="9">
        <f>H18/I18</f>
        <v>12500</v>
      </c>
      <c r="L18" s="9"/>
      <c r="M18" s="9"/>
      <c r="N18" s="9"/>
      <c r="O18" s="9"/>
      <c r="P18" s="9"/>
      <c r="Q18" s="68"/>
      <c r="R18" s="68"/>
      <c r="S18" s="6"/>
      <c r="T18" s="6"/>
      <c r="U18" s="6"/>
      <c r="V18" s="6"/>
      <c r="W18" s="6"/>
      <c r="X18" s="6"/>
      <c r="Y18" s="6">
        <v>87</v>
      </c>
      <c r="Z18" s="6"/>
      <c r="AA18" s="6">
        <v>50</v>
      </c>
      <c r="AB18" s="6"/>
      <c r="AC18" s="6"/>
      <c r="AD18" s="9">
        <f>Y18/Y8</f>
        <v>87000000</v>
      </c>
      <c r="AE18" s="43">
        <f t="shared" ref="AE18:AE25" si="3">LN(AD18/K18)/(0.667*LN(2))</f>
        <v>19.137738516845712</v>
      </c>
      <c r="AF18" s="6"/>
    </row>
    <row r="19" spans="1:32" hidden="1" x14ac:dyDescent="0.25">
      <c r="A19" s="7">
        <v>44082</v>
      </c>
      <c r="B19" s="42">
        <v>2</v>
      </c>
      <c r="C19" s="6">
        <v>105</v>
      </c>
      <c r="D19" s="6" t="s">
        <v>16</v>
      </c>
      <c r="E19" s="13">
        <v>1</v>
      </c>
      <c r="F19" s="9">
        <f>(100000)*(F14/J14)</f>
        <v>3.6506024096385546E-3</v>
      </c>
      <c r="G19" s="9"/>
      <c r="H19" s="6">
        <v>102</v>
      </c>
      <c r="I19" s="9">
        <v>0.01</v>
      </c>
      <c r="J19" s="9">
        <f t="shared" ref="J19:J25" si="4">H19/0.001</f>
        <v>102000</v>
      </c>
      <c r="K19" s="9">
        <f t="shared" ref="K19:K25" si="5">H19/I19</f>
        <v>10200</v>
      </c>
      <c r="L19" s="9"/>
      <c r="M19" s="9"/>
      <c r="N19" s="9"/>
      <c r="O19" s="9"/>
      <c r="P19" s="9"/>
      <c r="Q19" s="68"/>
      <c r="R19" s="68"/>
      <c r="S19" s="6"/>
      <c r="T19" s="6"/>
      <c r="U19" s="6"/>
      <c r="V19" s="6"/>
      <c r="W19" s="6"/>
      <c r="X19" s="6"/>
      <c r="Y19" s="6">
        <v>68</v>
      </c>
      <c r="Z19" s="6"/>
      <c r="AA19" s="6">
        <v>36</v>
      </c>
      <c r="AB19" s="6"/>
      <c r="AC19" s="6"/>
      <c r="AD19" s="9">
        <f>Y19/Y8</f>
        <v>68000000</v>
      </c>
      <c r="AE19" s="43">
        <f t="shared" si="3"/>
        <v>19.044602516983947</v>
      </c>
      <c r="AF19" s="6"/>
    </row>
    <row r="20" spans="1:32" hidden="1" x14ac:dyDescent="0.25">
      <c r="A20" s="7">
        <v>44082</v>
      </c>
      <c r="B20" s="42">
        <v>3</v>
      </c>
      <c r="C20" s="6">
        <v>106</v>
      </c>
      <c r="D20" s="6" t="s">
        <v>17</v>
      </c>
      <c r="E20" s="13">
        <v>1</v>
      </c>
      <c r="F20" s="9">
        <f>(100000)*F15/J15</f>
        <v>5.0166666666666665E-4</v>
      </c>
      <c r="G20" s="9"/>
      <c r="H20" s="6">
        <v>85</v>
      </c>
      <c r="I20" s="9">
        <v>0.01</v>
      </c>
      <c r="J20" s="9">
        <f t="shared" si="4"/>
        <v>85000</v>
      </c>
      <c r="K20" s="9">
        <f t="shared" si="5"/>
        <v>8500</v>
      </c>
      <c r="L20" s="9"/>
      <c r="M20" s="9"/>
      <c r="N20" s="9"/>
      <c r="O20" s="9"/>
      <c r="P20" s="9"/>
      <c r="Q20" s="68"/>
      <c r="R20" s="68"/>
      <c r="S20" s="6"/>
      <c r="T20" s="6"/>
      <c r="U20" s="6"/>
      <c r="V20" s="6"/>
      <c r="W20" s="6"/>
      <c r="X20" s="6"/>
      <c r="Y20" s="6">
        <v>77</v>
      </c>
      <c r="Z20" s="6"/>
      <c r="AA20" s="6">
        <v>51</v>
      </c>
      <c r="AB20" s="6"/>
      <c r="AC20" s="6"/>
      <c r="AD20" s="9">
        <f>Y20/Y8</f>
        <v>77000000</v>
      </c>
      <c r="AE20" s="43">
        <f t="shared" si="3"/>
        <v>19.70780807212391</v>
      </c>
      <c r="AF20" s="6"/>
    </row>
    <row r="21" spans="1:32" hidden="1" x14ac:dyDescent="0.25">
      <c r="A21" s="7">
        <v>44082</v>
      </c>
      <c r="B21" s="42">
        <v>4</v>
      </c>
      <c r="C21" s="6">
        <v>102</v>
      </c>
      <c r="D21" s="6" t="s">
        <v>12</v>
      </c>
      <c r="E21" s="13">
        <v>1</v>
      </c>
      <c r="F21" s="9">
        <f>(100000)*F11/J11</f>
        <v>9.3103448275862069E-4</v>
      </c>
      <c r="G21" s="9"/>
      <c r="H21" s="6">
        <v>87</v>
      </c>
      <c r="I21" s="9">
        <v>0.01</v>
      </c>
      <c r="J21" s="9">
        <f t="shared" si="4"/>
        <v>87000</v>
      </c>
      <c r="K21" s="9">
        <f t="shared" si="5"/>
        <v>8700</v>
      </c>
      <c r="L21" s="9"/>
      <c r="M21" s="9"/>
      <c r="N21" s="9"/>
      <c r="O21" s="9"/>
      <c r="P21" s="9"/>
      <c r="Q21" s="68"/>
      <c r="R21" s="68"/>
      <c r="S21" s="6"/>
      <c r="T21" s="6"/>
      <c r="U21" s="6"/>
      <c r="V21" s="6"/>
      <c r="W21" s="6"/>
      <c r="X21" s="6"/>
      <c r="Y21" s="6">
        <v>112</v>
      </c>
      <c r="Z21" s="6"/>
      <c r="AA21" s="6">
        <v>60</v>
      </c>
      <c r="AB21" s="6"/>
      <c r="AC21" s="6"/>
      <c r="AD21" s="9">
        <f>Y21/Y8</f>
        <v>112000000</v>
      </c>
      <c r="AE21" s="43">
        <f t="shared" si="3"/>
        <v>20.467951732771102</v>
      </c>
      <c r="AF21" s="6"/>
    </row>
    <row r="22" spans="1:32" hidden="1" x14ac:dyDescent="0.25">
      <c r="A22" s="7">
        <v>44082</v>
      </c>
      <c r="B22" s="42">
        <v>5</v>
      </c>
      <c r="C22" s="6">
        <v>107</v>
      </c>
      <c r="D22" s="6" t="s">
        <v>18</v>
      </c>
      <c r="E22" s="13">
        <v>1</v>
      </c>
      <c r="F22" s="9">
        <f>(100000)*F16/J16</f>
        <v>3.9617486338797813E-3</v>
      </c>
      <c r="G22" s="9"/>
      <c r="H22" s="6">
        <v>121</v>
      </c>
      <c r="I22" s="9">
        <v>0.01</v>
      </c>
      <c r="J22" s="9">
        <f t="shared" si="4"/>
        <v>121000</v>
      </c>
      <c r="K22" s="9">
        <f t="shared" si="5"/>
        <v>12100</v>
      </c>
      <c r="L22" s="9"/>
      <c r="M22" s="9"/>
      <c r="N22" s="9"/>
      <c r="O22" s="9"/>
      <c r="P22" s="9"/>
      <c r="Q22" s="68"/>
      <c r="R22" s="68"/>
      <c r="S22" s="6"/>
      <c r="T22" s="6"/>
      <c r="U22" s="6">
        <v>125</v>
      </c>
      <c r="V22" s="6"/>
      <c r="W22" s="6">
        <v>48</v>
      </c>
      <c r="X22" s="6"/>
      <c r="Y22" s="6"/>
      <c r="Z22" s="6"/>
      <c r="AA22" s="6"/>
      <c r="AB22" s="6"/>
      <c r="AC22" s="6"/>
      <c r="AD22" s="9">
        <f>U22/U8</f>
        <v>12499999.999999998</v>
      </c>
      <c r="AE22" s="43">
        <f t="shared" si="3"/>
        <v>15.011552221963388</v>
      </c>
      <c r="AF22" s="6"/>
    </row>
    <row r="23" spans="1:32" hidden="1" x14ac:dyDescent="0.25">
      <c r="A23" s="7">
        <v>44082</v>
      </c>
      <c r="B23" s="42">
        <v>6</v>
      </c>
      <c r="C23" s="6">
        <v>101</v>
      </c>
      <c r="D23" s="6" t="s">
        <v>11</v>
      </c>
      <c r="E23" s="13">
        <v>1</v>
      </c>
      <c r="F23" s="9">
        <f>(100000)*F10/J10</f>
        <v>1.6470588235294118E-3</v>
      </c>
      <c r="G23" s="9"/>
      <c r="H23" s="6">
        <v>59</v>
      </c>
      <c r="I23" s="9">
        <v>0.01</v>
      </c>
      <c r="J23" s="9">
        <f t="shared" si="4"/>
        <v>59000</v>
      </c>
      <c r="K23" s="9">
        <f t="shared" si="5"/>
        <v>5900</v>
      </c>
      <c r="L23" s="9"/>
      <c r="M23" s="9"/>
      <c r="N23" s="9"/>
      <c r="O23" s="9"/>
      <c r="P23" s="9"/>
      <c r="Q23" s="68"/>
      <c r="R23" s="68"/>
      <c r="S23" s="6"/>
      <c r="T23" s="6"/>
      <c r="U23" s="6"/>
      <c r="V23" s="6"/>
      <c r="W23" s="6">
        <v>288</v>
      </c>
      <c r="X23" s="6"/>
      <c r="Y23" s="6">
        <v>77</v>
      </c>
      <c r="Z23" s="6"/>
      <c r="AA23" s="6">
        <v>50</v>
      </c>
      <c r="AB23" s="6"/>
      <c r="AC23" s="6"/>
      <c r="AD23" s="9">
        <f>Y23/Y8</f>
        <v>77000000</v>
      </c>
      <c r="AE23" s="43">
        <f t="shared" si="3"/>
        <v>20.497535038804362</v>
      </c>
      <c r="AF23" s="6"/>
    </row>
    <row r="24" spans="1:32" hidden="1" x14ac:dyDescent="0.25">
      <c r="A24" s="7">
        <v>44082</v>
      </c>
      <c r="B24" s="42">
        <v>7</v>
      </c>
      <c r="C24" s="6">
        <v>103</v>
      </c>
      <c r="D24" s="6" t="s">
        <v>14</v>
      </c>
      <c r="E24" s="13">
        <v>1</v>
      </c>
      <c r="F24" s="9">
        <f>(100000)*F12/J12</f>
        <v>1.2626728110599079E-3</v>
      </c>
      <c r="G24" s="9"/>
      <c r="H24" s="6">
        <v>93</v>
      </c>
      <c r="I24" s="9">
        <v>0.01</v>
      </c>
      <c r="J24" s="9">
        <f t="shared" si="4"/>
        <v>93000</v>
      </c>
      <c r="K24" s="9">
        <f t="shared" si="5"/>
        <v>9300</v>
      </c>
      <c r="L24" s="9"/>
      <c r="M24" s="9"/>
      <c r="N24" s="9"/>
      <c r="O24" s="9"/>
      <c r="P24" s="9"/>
      <c r="Q24" s="68"/>
      <c r="R24" s="68"/>
      <c r="S24" s="6"/>
      <c r="T24" s="6"/>
      <c r="U24" s="6"/>
      <c r="V24" s="6"/>
      <c r="W24" s="6"/>
      <c r="X24" s="6"/>
      <c r="Y24" s="6">
        <v>117</v>
      </c>
      <c r="Z24" s="6"/>
      <c r="AA24" s="6">
        <v>61</v>
      </c>
      <c r="AB24" s="6"/>
      <c r="AC24" s="6"/>
      <c r="AD24" s="9">
        <f>Y24/Y8</f>
        <v>117000000</v>
      </c>
      <c r="AE24" s="43">
        <f t="shared" si="3"/>
        <v>20.418168347863304</v>
      </c>
      <c r="AF24" s="6"/>
    </row>
    <row r="25" spans="1:32" hidden="1" x14ac:dyDescent="0.25">
      <c r="A25" s="7">
        <v>44082</v>
      </c>
      <c r="B25" s="42">
        <v>8</v>
      </c>
      <c r="C25" s="3">
        <v>100</v>
      </c>
      <c r="D25" s="4" t="s">
        <v>10</v>
      </c>
      <c r="E25" s="13">
        <v>1</v>
      </c>
      <c r="F25" s="9">
        <f>(100000)*F9/J9</f>
        <v>2.4838709677419356E-3</v>
      </c>
      <c r="G25" s="9"/>
      <c r="H25" s="6">
        <v>97</v>
      </c>
      <c r="I25" s="9">
        <v>0.01</v>
      </c>
      <c r="J25" s="9">
        <f t="shared" si="4"/>
        <v>97000</v>
      </c>
      <c r="K25" s="9">
        <f t="shared" si="5"/>
        <v>9700</v>
      </c>
      <c r="L25" s="9"/>
      <c r="M25" s="9"/>
      <c r="N25" s="9"/>
      <c r="O25" s="9"/>
      <c r="P25" s="9"/>
      <c r="Q25" s="68"/>
      <c r="R25" s="68"/>
      <c r="S25" s="6"/>
      <c r="T25" s="6"/>
      <c r="U25" s="6"/>
      <c r="V25" s="6"/>
      <c r="W25" s="6"/>
      <c r="X25" s="6"/>
      <c r="Y25" s="6"/>
      <c r="Z25" s="6"/>
      <c r="AA25" s="6">
        <v>146</v>
      </c>
      <c r="AB25" s="6"/>
      <c r="AC25" s="6">
        <v>24</v>
      </c>
      <c r="AD25" s="9">
        <f>AA25/AA8</f>
        <v>292000000</v>
      </c>
      <c r="AE25" s="43">
        <f t="shared" si="3"/>
        <v>22.305283502612205</v>
      </c>
      <c r="AF25" s="6"/>
    </row>
    <row r="26" spans="1:32" hidden="1" x14ac:dyDescent="0.25">
      <c r="AE26" s="43"/>
    </row>
    <row r="27" spans="1:32" hidden="1" x14ac:dyDescent="0.25">
      <c r="A27" s="7">
        <v>44083</v>
      </c>
      <c r="B27" s="42">
        <v>1</v>
      </c>
      <c r="C27" s="3">
        <v>100</v>
      </c>
      <c r="D27" s="4" t="s">
        <v>10</v>
      </c>
      <c r="E27" s="13">
        <v>1</v>
      </c>
      <c r="F27" s="9">
        <f>(100000)*(F25/J25)</f>
        <v>2.5606917193215831E-3</v>
      </c>
      <c r="G27" s="6"/>
      <c r="H27" s="6">
        <v>97</v>
      </c>
      <c r="I27" s="9">
        <v>0.01</v>
      </c>
      <c r="J27" s="9">
        <f>H27/0.001</f>
        <v>97000</v>
      </c>
      <c r="K27" s="9">
        <f>H27/I27</f>
        <v>9700</v>
      </c>
      <c r="L27" s="9"/>
      <c r="M27" s="9"/>
      <c r="N27" s="9"/>
      <c r="O27" s="9"/>
      <c r="P27" s="9"/>
      <c r="Q27" s="68"/>
      <c r="R27" s="68"/>
      <c r="S27" s="6"/>
      <c r="T27" s="6"/>
      <c r="U27" s="6"/>
      <c r="V27" s="6"/>
      <c r="W27" s="6"/>
      <c r="X27" s="6"/>
      <c r="Y27" s="6"/>
      <c r="Z27" s="6"/>
      <c r="AA27" s="6">
        <v>105</v>
      </c>
      <c r="AB27" s="6">
        <v>27</v>
      </c>
      <c r="AC27" s="6"/>
      <c r="AD27" s="9">
        <f>AA27/AA8</f>
        <v>210000000</v>
      </c>
      <c r="AE27" s="43">
        <f t="shared" ref="AE27:AE34" si="6">LN(AD27/K27)/(0.667*LN(2))</f>
        <v>21.592271446819257</v>
      </c>
      <c r="AF27" s="6"/>
    </row>
    <row r="28" spans="1:32" hidden="1" x14ac:dyDescent="0.25">
      <c r="A28" s="7">
        <v>44083</v>
      </c>
      <c r="B28" s="42">
        <v>2</v>
      </c>
      <c r="C28" s="6">
        <v>102</v>
      </c>
      <c r="D28" s="6" t="s">
        <v>12</v>
      </c>
      <c r="E28" s="13">
        <v>1</v>
      </c>
      <c r="F28" s="9">
        <f>(100000)*(F21/J21)</f>
        <v>1.070154577883472E-3</v>
      </c>
      <c r="G28" s="6"/>
      <c r="H28" s="6">
        <v>116</v>
      </c>
      <c r="I28" s="9">
        <v>0.01</v>
      </c>
      <c r="J28" s="9">
        <f t="shared" ref="J28:J34" si="7">H28/0.001</f>
        <v>116000</v>
      </c>
      <c r="K28" s="9">
        <f t="shared" ref="K28:K34" si="8">H28/I28</f>
        <v>11600</v>
      </c>
      <c r="L28" s="9"/>
      <c r="M28" s="9"/>
      <c r="N28" s="9"/>
      <c r="O28" s="9"/>
      <c r="P28" s="9"/>
      <c r="Q28" s="68"/>
      <c r="R28" s="68"/>
      <c r="S28" s="6"/>
      <c r="T28" s="6"/>
      <c r="U28" s="6"/>
      <c r="V28" s="6"/>
      <c r="W28" s="6"/>
      <c r="X28" s="6"/>
      <c r="Y28" s="6">
        <v>181</v>
      </c>
      <c r="Z28" s="6"/>
      <c r="AA28" s="6">
        <v>89</v>
      </c>
      <c r="AB28" s="6"/>
      <c r="AC28" s="6"/>
      <c r="AD28" s="9">
        <f>AA28/AA8</f>
        <v>178000000</v>
      </c>
      <c r="AE28" s="43">
        <f t="shared" si="6"/>
        <v>20.847773336414207</v>
      </c>
      <c r="AF28" s="6"/>
    </row>
    <row r="29" spans="1:32" hidden="1" x14ac:dyDescent="0.25">
      <c r="A29" s="7">
        <v>44083</v>
      </c>
      <c r="B29" s="42">
        <v>3</v>
      </c>
      <c r="C29" s="6">
        <v>106</v>
      </c>
      <c r="D29" s="6" t="s">
        <v>17</v>
      </c>
      <c r="E29" s="13">
        <v>1</v>
      </c>
      <c r="F29" s="9">
        <f>(100000)*(F20/J20)</f>
        <v>5.9019607843137248E-4</v>
      </c>
      <c r="G29" s="6"/>
      <c r="H29" s="6">
        <v>106</v>
      </c>
      <c r="I29" s="9">
        <v>0.01</v>
      </c>
      <c r="J29" s="9">
        <f t="shared" si="7"/>
        <v>106000</v>
      </c>
      <c r="K29" s="9">
        <f t="shared" si="8"/>
        <v>10600</v>
      </c>
      <c r="L29" s="9"/>
      <c r="M29" s="9"/>
      <c r="N29" s="9"/>
      <c r="O29" s="9"/>
      <c r="P29" s="9"/>
      <c r="Q29" s="68"/>
      <c r="R29" s="68"/>
      <c r="S29" s="6"/>
      <c r="T29" s="6"/>
      <c r="U29" s="6"/>
      <c r="V29" s="6"/>
      <c r="W29" s="6"/>
      <c r="X29" s="6" t="s">
        <v>13</v>
      </c>
      <c r="Y29" s="6">
        <v>117</v>
      </c>
      <c r="Z29" s="6"/>
      <c r="AA29" s="6"/>
      <c r="AB29" s="6"/>
      <c r="AC29" s="6"/>
      <c r="AD29" s="9">
        <f>Y29/Y8</f>
        <v>117000000</v>
      </c>
      <c r="AE29" s="43">
        <f t="shared" si="6"/>
        <v>20.135167383162901</v>
      </c>
      <c r="AF29" s="6"/>
    </row>
    <row r="30" spans="1:32" hidden="1" x14ac:dyDescent="0.25">
      <c r="A30" s="7">
        <v>44083</v>
      </c>
      <c r="B30" s="42">
        <v>4</v>
      </c>
      <c r="C30" s="6">
        <v>107</v>
      </c>
      <c r="D30" s="6" t="s">
        <v>18</v>
      </c>
      <c r="E30" s="13">
        <v>1</v>
      </c>
      <c r="F30" s="9">
        <f>(100000)*(F22/J22)</f>
        <v>3.274172424694034E-3</v>
      </c>
      <c r="G30" s="6"/>
      <c r="H30" s="6">
        <v>79</v>
      </c>
      <c r="I30" s="9">
        <v>0.01</v>
      </c>
      <c r="J30" s="9">
        <f t="shared" si="7"/>
        <v>79000</v>
      </c>
      <c r="K30" s="9">
        <f t="shared" si="8"/>
        <v>7900</v>
      </c>
      <c r="L30" s="9"/>
      <c r="M30" s="9"/>
      <c r="N30" s="9"/>
      <c r="O30" s="9"/>
      <c r="P30" s="9"/>
      <c r="Q30" s="68"/>
      <c r="R30" s="68"/>
      <c r="S30" s="6"/>
      <c r="T30" s="6"/>
      <c r="U30" s="6">
        <v>111</v>
      </c>
      <c r="V30" s="6">
        <v>89</v>
      </c>
      <c r="W30" s="6"/>
      <c r="X30" s="6"/>
      <c r="Y30" s="6"/>
      <c r="Z30" s="6"/>
      <c r="AA30" s="6"/>
      <c r="AB30" s="6"/>
      <c r="AC30" s="6"/>
      <c r="AD30" s="9">
        <f>V30/V8</f>
        <v>12714285.714285715</v>
      </c>
      <c r="AE30" s="43">
        <f t="shared" si="6"/>
        <v>15.970479970436491</v>
      </c>
      <c r="AF30" s="6"/>
    </row>
    <row r="31" spans="1:32" hidden="1" x14ac:dyDescent="0.25">
      <c r="A31" s="7">
        <v>44083</v>
      </c>
      <c r="B31" s="42">
        <v>5</v>
      </c>
      <c r="C31" s="6">
        <v>104</v>
      </c>
      <c r="D31" s="6" t="s">
        <v>15</v>
      </c>
      <c r="E31" s="13">
        <v>1</v>
      </c>
      <c r="F31" s="9">
        <f>(100000)*(F18/J18)</f>
        <v>8.2222222222222223E-4</v>
      </c>
      <c r="G31" s="6"/>
      <c r="H31" s="6">
        <v>86</v>
      </c>
      <c r="I31" s="9">
        <v>0.01</v>
      </c>
      <c r="J31" s="9">
        <f t="shared" si="7"/>
        <v>86000</v>
      </c>
      <c r="K31" s="9">
        <f t="shared" si="8"/>
        <v>8600</v>
      </c>
      <c r="L31" s="9"/>
      <c r="M31" s="9"/>
      <c r="N31" s="9"/>
      <c r="O31" s="9"/>
      <c r="P31" s="9"/>
      <c r="Q31" s="68"/>
      <c r="R31" s="68"/>
      <c r="S31" s="6"/>
      <c r="T31" s="6"/>
      <c r="U31" s="6"/>
      <c r="V31" s="6"/>
      <c r="W31" s="6"/>
      <c r="X31" s="6">
        <v>193</v>
      </c>
      <c r="Y31" s="6">
        <v>95</v>
      </c>
      <c r="Z31" s="6"/>
      <c r="AA31" s="6"/>
      <c r="AB31" s="6"/>
      <c r="AC31" s="6"/>
      <c r="AD31" s="9">
        <f>Y31/Y8</f>
        <v>95000000</v>
      </c>
      <c r="AE31" s="43">
        <f t="shared" si="6"/>
        <v>20.13688640656417</v>
      </c>
      <c r="AF31" s="6"/>
    </row>
    <row r="32" spans="1:32" hidden="1" x14ac:dyDescent="0.25">
      <c r="A32" s="7">
        <v>44083</v>
      </c>
      <c r="B32" s="42">
        <v>6</v>
      </c>
      <c r="C32" s="6">
        <v>103</v>
      </c>
      <c r="D32" s="6" t="s">
        <v>14</v>
      </c>
      <c r="E32" s="13">
        <v>1</v>
      </c>
      <c r="F32" s="9">
        <f>(100000)*(F24/J24)</f>
        <v>1.3577127000644171E-3</v>
      </c>
      <c r="G32" s="6"/>
      <c r="H32" s="6">
        <v>88</v>
      </c>
      <c r="I32" s="9">
        <v>0.01</v>
      </c>
      <c r="J32" s="9">
        <f t="shared" si="7"/>
        <v>88000</v>
      </c>
      <c r="K32" s="9">
        <f t="shared" si="8"/>
        <v>8800</v>
      </c>
      <c r="L32" s="9"/>
      <c r="M32" s="9"/>
      <c r="N32" s="9"/>
      <c r="O32" s="9"/>
      <c r="P32" s="9"/>
      <c r="Q32" s="68"/>
      <c r="R32" s="68"/>
      <c r="S32" s="6"/>
      <c r="T32" s="6"/>
      <c r="U32" s="6"/>
      <c r="V32" s="6"/>
      <c r="W32" s="6"/>
      <c r="X32" s="6"/>
      <c r="Y32" s="6">
        <v>86</v>
      </c>
      <c r="Z32" s="6"/>
      <c r="AA32" s="6">
        <v>48</v>
      </c>
      <c r="AB32" s="6"/>
      <c r="AC32" s="6"/>
      <c r="AD32" s="9">
        <f>Y32/Y8</f>
        <v>86000000</v>
      </c>
      <c r="AE32" s="43">
        <f t="shared" si="6"/>
        <v>19.871882332255247</v>
      </c>
      <c r="AF32" s="6"/>
    </row>
    <row r="33" spans="1:32" hidden="1" x14ac:dyDescent="0.25">
      <c r="A33" s="7">
        <v>44083</v>
      </c>
      <c r="B33" s="42">
        <v>7</v>
      </c>
      <c r="C33" s="6">
        <v>105</v>
      </c>
      <c r="D33" s="6" t="s">
        <v>16</v>
      </c>
      <c r="E33" s="13">
        <v>1</v>
      </c>
      <c r="F33" s="9">
        <f>(100000)*(F19/J19)</f>
        <v>3.5790219702338767E-3</v>
      </c>
      <c r="G33" s="6"/>
      <c r="H33" s="6">
        <v>91</v>
      </c>
      <c r="I33" s="9">
        <v>0.01</v>
      </c>
      <c r="J33" s="9">
        <f t="shared" si="7"/>
        <v>91000</v>
      </c>
      <c r="K33" s="9">
        <f t="shared" si="8"/>
        <v>9100</v>
      </c>
      <c r="L33" s="9"/>
      <c r="M33" s="9"/>
      <c r="N33" s="9"/>
      <c r="O33" s="9"/>
      <c r="P33" s="9"/>
      <c r="Q33" s="68"/>
      <c r="R33" s="68"/>
      <c r="S33" s="6"/>
      <c r="T33" s="6"/>
      <c r="U33" s="6"/>
      <c r="V33" s="6"/>
      <c r="W33" s="6"/>
      <c r="X33" s="6">
        <v>127</v>
      </c>
      <c r="Y33" s="6">
        <v>70</v>
      </c>
      <c r="Z33" s="6"/>
      <c r="AA33" s="6"/>
      <c r="AB33" s="6"/>
      <c r="AC33" s="6"/>
      <c r="AD33" s="9">
        <f>Y33/Y8</f>
        <v>70000000</v>
      </c>
      <c r="AE33" s="43">
        <f t="shared" si="6"/>
        <v>19.354124072407377</v>
      </c>
      <c r="AF33" s="6"/>
    </row>
    <row r="34" spans="1:32" hidden="1" x14ac:dyDescent="0.25">
      <c r="A34" s="7">
        <v>44083</v>
      </c>
      <c r="B34" s="42">
        <v>8</v>
      </c>
      <c r="C34" s="6">
        <v>101</v>
      </c>
      <c r="D34" s="6" t="s">
        <v>11</v>
      </c>
      <c r="E34" s="13">
        <v>1</v>
      </c>
      <c r="F34" s="9">
        <f>(100000)*(F23/J23)</f>
        <v>2.7916251246261218E-3</v>
      </c>
      <c r="G34" s="6"/>
      <c r="H34" s="6">
        <v>174</v>
      </c>
      <c r="I34" s="9">
        <v>0.01</v>
      </c>
      <c r="J34" s="9">
        <f t="shared" si="7"/>
        <v>174000</v>
      </c>
      <c r="K34" s="9">
        <f t="shared" si="8"/>
        <v>17400</v>
      </c>
      <c r="L34" s="9"/>
      <c r="M34" s="9"/>
      <c r="N34" s="9"/>
      <c r="O34" s="9"/>
      <c r="P34" s="9"/>
      <c r="Q34" s="68"/>
      <c r="R34" s="68"/>
      <c r="S34" s="6"/>
      <c r="T34" s="6"/>
      <c r="U34" s="6"/>
      <c r="V34" s="6"/>
      <c r="W34" s="6"/>
      <c r="X34" s="6"/>
      <c r="Y34" s="6">
        <v>181</v>
      </c>
      <c r="Z34" s="6"/>
      <c r="AA34" s="6">
        <v>92</v>
      </c>
      <c r="AB34" s="6"/>
      <c r="AC34" s="6"/>
      <c r="AD34" s="9">
        <f>AA34/AA8</f>
        <v>184000000</v>
      </c>
      <c r="AE34" s="43">
        <f t="shared" si="6"/>
        <v>20.042475022125537</v>
      </c>
      <c r="AF34" s="6"/>
    </row>
    <row r="35" spans="1:32" hidden="1" x14ac:dyDescent="0.25">
      <c r="A35" s="7"/>
      <c r="B35" s="42"/>
      <c r="C35" s="6"/>
      <c r="D35" s="6"/>
      <c r="E35" s="13"/>
      <c r="F35" s="9"/>
      <c r="G35" s="6"/>
      <c r="H35" s="35"/>
      <c r="I35" s="46"/>
      <c r="J35" s="46"/>
      <c r="K35" s="46"/>
      <c r="L35" s="46"/>
      <c r="M35" s="46"/>
      <c r="N35" s="46"/>
      <c r="O35" s="46"/>
      <c r="P35" s="46"/>
      <c r="Q35" s="75"/>
      <c r="R35" s="7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idden="1" x14ac:dyDescent="0.25">
      <c r="A36" s="7">
        <v>44084</v>
      </c>
      <c r="B36" s="42">
        <v>1</v>
      </c>
      <c r="C36" s="6">
        <v>107</v>
      </c>
      <c r="D36" s="6" t="s">
        <v>18</v>
      </c>
      <c r="E36" s="13">
        <v>1</v>
      </c>
      <c r="F36" s="9">
        <f>(100000)*(F30/J30)</f>
        <v>4.1445220565747261E-3</v>
      </c>
      <c r="G36" s="6"/>
      <c r="H36" s="6">
        <v>107</v>
      </c>
      <c r="I36" s="16">
        <v>0.01</v>
      </c>
      <c r="J36" s="9">
        <f>H36/0.001</f>
        <v>107000</v>
      </c>
      <c r="K36" s="9">
        <f t="shared" ref="K36:K43" si="9">H36/I36</f>
        <v>10700</v>
      </c>
      <c r="L36" s="9"/>
      <c r="M36" s="9"/>
      <c r="N36" s="9"/>
      <c r="O36" s="9"/>
      <c r="P36" s="9"/>
      <c r="Q36" s="68"/>
      <c r="R36" s="68"/>
      <c r="S36" s="6"/>
      <c r="T36" s="6"/>
      <c r="U36" s="6">
        <v>100</v>
      </c>
      <c r="V36" s="6"/>
      <c r="W36" s="6">
        <v>73</v>
      </c>
      <c r="X36" s="6"/>
      <c r="Y36" s="13"/>
      <c r="Z36" s="13"/>
      <c r="AA36" s="13"/>
      <c r="AB36" s="13"/>
      <c r="AC36" s="6"/>
      <c r="AD36" s="9">
        <f>U36/U8</f>
        <v>10000000</v>
      </c>
      <c r="AE36" s="43">
        <f t="shared" ref="AE36:AE43" si="10">LN(AD36/K36)/(0.667*LN(2))</f>
        <v>14.794862800653171</v>
      </c>
      <c r="AF36" s="13"/>
    </row>
    <row r="37" spans="1:32" hidden="1" x14ac:dyDescent="0.25">
      <c r="A37" s="7">
        <v>44084</v>
      </c>
      <c r="B37" s="42">
        <v>2</v>
      </c>
      <c r="C37" s="6">
        <v>101</v>
      </c>
      <c r="D37" s="6" t="s">
        <v>11</v>
      </c>
      <c r="E37" s="13">
        <v>1</v>
      </c>
      <c r="F37" s="9">
        <f>(100000)*(F34/J34)</f>
        <v>1.6043822555322541E-3</v>
      </c>
      <c r="G37" s="6"/>
      <c r="H37" s="6">
        <v>55</v>
      </c>
      <c r="I37" s="16">
        <v>0.01</v>
      </c>
      <c r="J37" s="9">
        <f t="shared" ref="J37:J43" si="11">H37/0.001</f>
        <v>55000</v>
      </c>
      <c r="K37" s="9">
        <f t="shared" si="9"/>
        <v>5500</v>
      </c>
      <c r="L37" s="9"/>
      <c r="M37" s="9"/>
      <c r="N37" s="9"/>
      <c r="O37" s="9"/>
      <c r="P37" s="9"/>
      <c r="Q37" s="68"/>
      <c r="R37" s="68"/>
      <c r="S37" s="6"/>
      <c r="T37" s="6"/>
      <c r="U37" s="6"/>
      <c r="V37" s="6"/>
      <c r="W37" s="6"/>
      <c r="X37" s="6"/>
      <c r="Y37" s="13">
        <v>105</v>
      </c>
      <c r="Z37" s="13"/>
      <c r="AA37" s="13">
        <v>49</v>
      </c>
      <c r="AB37" s="13"/>
      <c r="AC37" s="6"/>
      <c r="AD37" s="9">
        <f>Y37/Y8</f>
        <v>105000000</v>
      </c>
      <c r="AE37" s="43">
        <f t="shared" si="10"/>
        <v>21.320237156957891</v>
      </c>
      <c r="AF37" s="13"/>
    </row>
    <row r="38" spans="1:32" hidden="1" x14ac:dyDescent="0.25">
      <c r="A38" s="7">
        <v>44084</v>
      </c>
      <c r="B38" s="42">
        <v>3</v>
      </c>
      <c r="C38" s="6">
        <v>102</v>
      </c>
      <c r="D38" s="6" t="s">
        <v>12</v>
      </c>
      <c r="E38" s="13">
        <v>1</v>
      </c>
      <c r="F38" s="9">
        <f>(100000)*(F28/J28)</f>
        <v>9.225470498995448E-4</v>
      </c>
      <c r="G38" s="6"/>
      <c r="H38" s="6">
        <v>109</v>
      </c>
      <c r="I38" s="16">
        <v>0.01</v>
      </c>
      <c r="J38" s="9">
        <f t="shared" si="11"/>
        <v>109000</v>
      </c>
      <c r="K38" s="9">
        <f t="shared" si="9"/>
        <v>10900</v>
      </c>
      <c r="L38" s="9"/>
      <c r="M38" s="9"/>
      <c r="N38" s="9"/>
      <c r="O38" s="9"/>
      <c r="P38" s="9"/>
      <c r="Q38" s="68"/>
      <c r="R38" s="68"/>
      <c r="S38" s="6"/>
      <c r="T38" s="6"/>
      <c r="U38" s="6"/>
      <c r="V38" s="6"/>
      <c r="W38" s="6"/>
      <c r="X38" s="6"/>
      <c r="Y38" s="13">
        <v>198</v>
      </c>
      <c r="Z38" s="13"/>
      <c r="AA38" s="13">
        <v>54</v>
      </c>
      <c r="AB38" s="13"/>
      <c r="AC38" s="6"/>
      <c r="AD38" s="9">
        <f>AA38/AA8</f>
        <v>108000000</v>
      </c>
      <c r="AE38" s="43">
        <f t="shared" si="10"/>
        <v>19.901672499154408</v>
      </c>
      <c r="AF38" s="13"/>
    </row>
    <row r="39" spans="1:32" hidden="1" x14ac:dyDescent="0.25">
      <c r="A39" s="7">
        <v>44084</v>
      </c>
      <c r="B39" s="42">
        <v>4</v>
      </c>
      <c r="C39" s="3">
        <v>100</v>
      </c>
      <c r="D39" s="4" t="s">
        <v>10</v>
      </c>
      <c r="E39" s="13">
        <v>1</v>
      </c>
      <c r="F39" s="9">
        <f>(100000)*(F27/J27)</f>
        <v>2.6398883704346217E-3</v>
      </c>
      <c r="G39" s="6"/>
      <c r="H39" s="6">
        <v>108</v>
      </c>
      <c r="I39" s="16">
        <v>0.01</v>
      </c>
      <c r="J39" s="9">
        <f t="shared" si="11"/>
        <v>108000</v>
      </c>
      <c r="K39" s="9">
        <f t="shared" si="9"/>
        <v>10800</v>
      </c>
      <c r="L39" s="9"/>
      <c r="M39" s="9"/>
      <c r="N39" s="9"/>
      <c r="O39" s="9"/>
      <c r="P39" s="9"/>
      <c r="Q39" s="68"/>
      <c r="R39" s="68"/>
      <c r="S39" s="6"/>
      <c r="T39" s="6"/>
      <c r="U39" s="6"/>
      <c r="V39" s="6"/>
      <c r="W39" s="6"/>
      <c r="X39" s="6"/>
      <c r="Y39" s="13"/>
      <c r="Z39" s="13"/>
      <c r="AA39" s="13">
        <v>97</v>
      </c>
      <c r="AB39" s="13">
        <v>53</v>
      </c>
      <c r="AC39" s="6"/>
      <c r="AD39" s="9">
        <f>AA39/AA8</f>
        <v>194000000</v>
      </c>
      <c r="AE39" s="43">
        <f t="shared" si="10"/>
        <v>21.188512323198065</v>
      </c>
      <c r="AF39" s="13"/>
    </row>
    <row r="40" spans="1:32" hidden="1" x14ac:dyDescent="0.25">
      <c r="A40" s="7">
        <v>44084</v>
      </c>
      <c r="B40" s="42">
        <v>5</v>
      </c>
      <c r="C40" s="6">
        <v>106</v>
      </c>
      <c r="D40" s="6" t="s">
        <v>17</v>
      </c>
      <c r="E40" s="13">
        <v>1</v>
      </c>
      <c r="F40" s="9">
        <f>(100000)*(F29/J29)</f>
        <v>5.5678875323714378E-4</v>
      </c>
      <c r="G40" s="6"/>
      <c r="H40" s="6">
        <v>120</v>
      </c>
      <c r="I40" s="16">
        <v>0.01</v>
      </c>
      <c r="J40" s="9">
        <f t="shared" si="11"/>
        <v>120000</v>
      </c>
      <c r="K40" s="9">
        <f t="shared" si="9"/>
        <v>12000</v>
      </c>
      <c r="L40" s="9"/>
      <c r="M40" s="9"/>
      <c r="N40" s="9"/>
      <c r="O40" s="9"/>
      <c r="P40" s="9"/>
      <c r="Q40" s="68"/>
      <c r="R40" s="68"/>
      <c r="S40" s="6"/>
      <c r="T40" s="6"/>
      <c r="U40" s="6"/>
      <c r="V40" s="6"/>
      <c r="W40" s="6"/>
      <c r="X40" s="6"/>
      <c r="Y40" s="13">
        <v>139</v>
      </c>
      <c r="Z40" s="13"/>
      <c r="AA40" s="13">
        <v>63</v>
      </c>
      <c r="AB40" s="13"/>
      <c r="AC40" s="6"/>
      <c r="AD40" s="9">
        <f>AA40/AA8</f>
        <v>126000000</v>
      </c>
      <c r="AE40" s="43">
        <f t="shared" si="10"/>
        <v>20.027138991665439</v>
      </c>
      <c r="AF40" s="13"/>
    </row>
    <row r="41" spans="1:32" hidden="1" x14ac:dyDescent="0.25">
      <c r="A41" s="7">
        <v>44084</v>
      </c>
      <c r="B41" s="42">
        <v>6</v>
      </c>
      <c r="C41" s="6">
        <v>105</v>
      </c>
      <c r="D41" s="6" t="s">
        <v>16</v>
      </c>
      <c r="E41" s="13">
        <v>1</v>
      </c>
      <c r="F41" s="9">
        <f>(100000)*(F33/J33)</f>
        <v>3.9329911760811829E-3</v>
      </c>
      <c r="G41" s="6"/>
      <c r="H41" s="6">
        <v>115</v>
      </c>
      <c r="I41" s="16">
        <v>0.01</v>
      </c>
      <c r="J41" s="9">
        <f t="shared" si="11"/>
        <v>115000</v>
      </c>
      <c r="K41" s="9">
        <f t="shared" si="9"/>
        <v>11500</v>
      </c>
      <c r="L41" s="9"/>
      <c r="M41" s="9"/>
      <c r="N41" s="9"/>
      <c r="O41" s="9"/>
      <c r="P41" s="9"/>
      <c r="Q41" s="68"/>
      <c r="R41" s="68"/>
      <c r="S41" s="6"/>
      <c r="T41" s="6"/>
      <c r="U41" s="6"/>
      <c r="V41" s="6"/>
      <c r="W41" s="6"/>
      <c r="X41" s="6">
        <v>146</v>
      </c>
      <c r="Y41" s="13">
        <v>67</v>
      </c>
      <c r="Z41" s="13"/>
      <c r="AA41" s="13"/>
      <c r="AB41" s="13"/>
      <c r="AC41" s="6"/>
      <c r="AD41" s="9">
        <f>Y41/Y8</f>
        <v>67000000</v>
      </c>
      <c r="AE41" s="43">
        <f t="shared" si="10"/>
        <v>18.753090733227658</v>
      </c>
      <c r="AF41" s="13"/>
    </row>
    <row r="42" spans="1:32" hidden="1" x14ac:dyDescent="0.25">
      <c r="A42" s="7">
        <v>44084</v>
      </c>
      <c r="B42" s="42">
        <v>7</v>
      </c>
      <c r="C42" s="6">
        <v>104</v>
      </c>
      <c r="D42" s="6" t="s">
        <v>15</v>
      </c>
      <c r="E42" s="13">
        <v>1</v>
      </c>
      <c r="F42" s="9">
        <f>(100000)*(F31/J31)</f>
        <v>9.5607235142118857E-4</v>
      </c>
      <c r="G42" s="6"/>
      <c r="H42" s="6">
        <v>94</v>
      </c>
      <c r="I42" s="16">
        <v>0.01</v>
      </c>
      <c r="J42" s="9">
        <f t="shared" si="11"/>
        <v>94000</v>
      </c>
      <c r="K42" s="9">
        <f t="shared" si="9"/>
        <v>9400</v>
      </c>
      <c r="L42" s="9"/>
      <c r="M42" s="9"/>
      <c r="N42" s="9"/>
      <c r="O42" s="9"/>
      <c r="P42" s="9"/>
      <c r="Q42" s="68"/>
      <c r="R42" s="68"/>
      <c r="S42" s="6"/>
      <c r="T42" s="6"/>
      <c r="U42" s="6"/>
      <c r="V42" s="6"/>
      <c r="W42" s="6"/>
      <c r="X42" s="6"/>
      <c r="Y42" s="13">
        <v>127</v>
      </c>
      <c r="Z42" s="13"/>
      <c r="AA42" s="13"/>
      <c r="AB42" s="13"/>
      <c r="AC42" s="6"/>
      <c r="AD42" s="9">
        <f>Y42/Y8</f>
        <v>127000000</v>
      </c>
      <c r="AE42" s="43">
        <f t="shared" si="10"/>
        <v>20.572426108911511</v>
      </c>
      <c r="AF42" s="13"/>
    </row>
    <row r="43" spans="1:32" hidden="1" x14ac:dyDescent="0.25">
      <c r="A43" s="7">
        <v>44084</v>
      </c>
      <c r="B43" s="42">
        <v>8</v>
      </c>
      <c r="C43" s="6">
        <v>103</v>
      </c>
      <c r="D43" s="6" t="s">
        <v>14</v>
      </c>
      <c r="E43" s="13">
        <v>1</v>
      </c>
      <c r="F43" s="9">
        <f>(100000)*(F32/J32)</f>
        <v>1.542855340982292E-3</v>
      </c>
      <c r="G43" s="6"/>
      <c r="H43" s="6">
        <v>82</v>
      </c>
      <c r="I43" s="16">
        <v>0.01</v>
      </c>
      <c r="J43" s="9">
        <f t="shared" si="11"/>
        <v>82000</v>
      </c>
      <c r="K43" s="9">
        <f t="shared" si="9"/>
        <v>8200</v>
      </c>
      <c r="L43" s="9"/>
      <c r="M43" s="9"/>
      <c r="N43" s="9"/>
      <c r="O43" s="9"/>
      <c r="P43" s="9"/>
      <c r="Q43" s="68"/>
      <c r="R43" s="68"/>
      <c r="S43" s="6"/>
      <c r="T43" s="6"/>
      <c r="U43" s="6"/>
      <c r="V43" s="6"/>
      <c r="W43" s="6"/>
      <c r="X43" s="6"/>
      <c r="Y43" s="13">
        <v>104</v>
      </c>
      <c r="Z43" s="13"/>
      <c r="AA43" s="13">
        <v>58</v>
      </c>
      <c r="AB43" s="13"/>
      <c r="AC43" s="6"/>
      <c r="AD43" s="9">
        <f>Y43/Y8</f>
        <v>104000000</v>
      </c>
      <c r="AE43" s="43">
        <f t="shared" si="10"/>
        <v>20.435682298459458</v>
      </c>
      <c r="AF43" s="13"/>
    </row>
    <row r="44" spans="1:32" hidden="1" x14ac:dyDescent="0.25">
      <c r="A44" s="34"/>
      <c r="B44" s="56"/>
      <c r="C44" s="35"/>
      <c r="D44" s="35"/>
      <c r="E44" s="58"/>
      <c r="F44" s="46"/>
      <c r="G44" s="35"/>
      <c r="H44" s="35"/>
      <c r="I44" s="59"/>
      <c r="J44" s="46"/>
      <c r="K44" s="46"/>
      <c r="L44" s="46"/>
      <c r="M44" s="46"/>
      <c r="N44" s="46"/>
      <c r="O44" s="46"/>
      <c r="P44" s="46"/>
      <c r="Q44" s="75"/>
      <c r="R44" s="75"/>
      <c r="S44" s="35"/>
      <c r="T44" s="35"/>
      <c r="U44" s="35"/>
      <c r="V44" s="35"/>
      <c r="W44" s="35"/>
      <c r="X44" s="35"/>
      <c r="Y44" s="58"/>
      <c r="Z44" s="58"/>
      <c r="AA44" s="58"/>
      <c r="AB44" s="58"/>
      <c r="AC44" s="35"/>
      <c r="AD44" s="46"/>
      <c r="AE44" s="44"/>
      <c r="AF44" s="58"/>
    </row>
    <row r="45" spans="1:32" hidden="1" x14ac:dyDescent="0.25">
      <c r="A45" s="7">
        <v>44087</v>
      </c>
      <c r="B45" s="42">
        <v>1</v>
      </c>
      <c r="C45" s="6">
        <v>116</v>
      </c>
      <c r="D45" s="12" t="s">
        <v>27</v>
      </c>
      <c r="E45" s="6">
        <v>1</v>
      </c>
      <c r="F45" s="33">
        <v>1.2999999999999999E-3</v>
      </c>
      <c r="G45" s="33"/>
      <c r="H45" s="15">
        <v>122</v>
      </c>
      <c r="I45" s="16">
        <v>0.01</v>
      </c>
      <c r="J45" s="9">
        <f>H45/0.001</f>
        <v>122000</v>
      </c>
      <c r="K45" s="9">
        <f t="shared" ref="K45:K52" si="12">H45/I45</f>
        <v>12200</v>
      </c>
      <c r="L45" s="9"/>
      <c r="M45" s="9"/>
      <c r="N45" s="9"/>
      <c r="O45" s="9"/>
      <c r="P45" s="9"/>
      <c r="Q45" s="68"/>
      <c r="R45" s="68"/>
      <c r="S45" s="6"/>
      <c r="T45" s="6"/>
      <c r="U45" s="6"/>
      <c r="V45" s="6"/>
      <c r="W45" s="6" t="s">
        <v>13</v>
      </c>
      <c r="X45" s="6"/>
      <c r="Y45" s="13">
        <v>136</v>
      </c>
      <c r="Z45" s="13"/>
      <c r="AA45" s="13">
        <v>71</v>
      </c>
      <c r="AB45" s="13"/>
      <c r="AC45" s="6"/>
      <c r="AD45" s="9">
        <f>AA45/AA8</f>
        <v>142000000</v>
      </c>
      <c r="AE45" s="43">
        <f t="shared" ref="AE45:AE56" si="13">LN(AD45/K45)/(0.667*LN(2))</f>
        <v>20.249958263105317</v>
      </c>
      <c r="AF45" s="13" t="s">
        <v>153</v>
      </c>
    </row>
    <row r="46" spans="1:32" hidden="1" x14ac:dyDescent="0.25">
      <c r="A46" s="7">
        <v>44087</v>
      </c>
      <c r="B46" s="42">
        <v>2</v>
      </c>
      <c r="C46" s="6">
        <v>118</v>
      </c>
      <c r="D46" s="12" t="s">
        <v>30</v>
      </c>
      <c r="E46" s="6">
        <v>2</v>
      </c>
      <c r="F46" s="9">
        <v>8.6199999999999992E-3</v>
      </c>
      <c r="G46" s="9"/>
      <c r="H46" s="6">
        <v>133</v>
      </c>
      <c r="I46" s="16">
        <v>0.01</v>
      </c>
      <c r="J46" s="9">
        <f t="shared" ref="J46:J52" si="14">H46/0.001</f>
        <v>133000</v>
      </c>
      <c r="K46" s="9">
        <f t="shared" si="12"/>
        <v>13300</v>
      </c>
      <c r="L46" s="9"/>
      <c r="M46" s="9"/>
      <c r="N46" s="9"/>
      <c r="O46" s="9"/>
      <c r="P46" s="9"/>
      <c r="Q46" s="68"/>
      <c r="R46" s="68"/>
      <c r="S46" s="6"/>
      <c r="T46" s="6"/>
      <c r="U46" s="6"/>
      <c r="V46" s="6"/>
      <c r="W46" s="6" t="s">
        <v>13</v>
      </c>
      <c r="X46" s="6"/>
      <c r="Y46" s="13">
        <v>76</v>
      </c>
      <c r="Z46" s="13"/>
      <c r="AA46" s="13">
        <v>54</v>
      </c>
      <c r="AB46" s="13"/>
      <c r="AC46" s="6"/>
      <c r="AD46" s="9">
        <f>Y46/Y8</f>
        <v>76000000</v>
      </c>
      <c r="AE46" s="43">
        <f t="shared" si="13"/>
        <v>18.711180595939801</v>
      </c>
      <c r="AF46" s="13" t="s">
        <v>153</v>
      </c>
    </row>
    <row r="47" spans="1:32" hidden="1" x14ac:dyDescent="0.25">
      <c r="A47" s="7">
        <v>44087</v>
      </c>
      <c r="B47" s="42">
        <v>3</v>
      </c>
      <c r="C47" s="6">
        <v>113</v>
      </c>
      <c r="D47" s="57" t="s">
        <v>24</v>
      </c>
      <c r="E47" s="6">
        <v>1</v>
      </c>
      <c r="F47" s="9">
        <v>9.4299999999999991E-3</v>
      </c>
      <c r="G47" s="9"/>
      <c r="H47" s="6">
        <v>129</v>
      </c>
      <c r="I47" s="16">
        <v>0.01</v>
      </c>
      <c r="J47" s="9">
        <f t="shared" si="14"/>
        <v>129000</v>
      </c>
      <c r="K47" s="9">
        <f t="shared" si="12"/>
        <v>12900</v>
      </c>
      <c r="L47" s="9"/>
      <c r="M47" s="9"/>
      <c r="N47" s="9"/>
      <c r="O47" s="9"/>
      <c r="P47" s="9"/>
      <c r="Q47" s="68"/>
      <c r="R47" s="68"/>
      <c r="S47" s="6"/>
      <c r="T47" s="6"/>
      <c r="U47" s="6"/>
      <c r="V47" s="6"/>
      <c r="W47" s="6">
        <v>100</v>
      </c>
      <c r="X47" s="6"/>
      <c r="Y47" s="13">
        <v>10</v>
      </c>
      <c r="Z47" s="13"/>
      <c r="AA47" s="13">
        <v>6</v>
      </c>
      <c r="AB47" s="13"/>
      <c r="AC47" s="6"/>
      <c r="AD47" s="9">
        <f>W47/W8</f>
        <v>20000000</v>
      </c>
      <c r="AE47" s="43">
        <f t="shared" si="13"/>
        <v>15.889674991024824</v>
      </c>
      <c r="AF47" s="13" t="s">
        <v>154</v>
      </c>
    </row>
    <row r="48" spans="1:32" hidden="1" x14ac:dyDescent="0.25">
      <c r="A48" s="7">
        <v>44087</v>
      </c>
      <c r="B48" s="42">
        <v>4</v>
      </c>
      <c r="C48" s="6">
        <v>109</v>
      </c>
      <c r="D48" s="12" t="s">
        <v>20</v>
      </c>
      <c r="E48" s="6">
        <v>1</v>
      </c>
      <c r="F48" s="9">
        <v>1.7899999999999999E-2</v>
      </c>
      <c r="G48" s="9"/>
      <c r="H48" s="6">
        <v>132</v>
      </c>
      <c r="I48" s="16">
        <v>0.01</v>
      </c>
      <c r="J48" s="9">
        <f t="shared" si="14"/>
        <v>132000</v>
      </c>
      <c r="K48" s="9">
        <f t="shared" si="12"/>
        <v>13200</v>
      </c>
      <c r="L48" s="9"/>
      <c r="M48" s="9"/>
      <c r="N48" s="9"/>
      <c r="O48" s="9"/>
      <c r="P48" s="9"/>
      <c r="Q48" s="68"/>
      <c r="R48" s="68"/>
      <c r="S48" s="6"/>
      <c r="T48" s="6"/>
      <c r="U48" s="6"/>
      <c r="V48" s="6"/>
      <c r="W48" s="64">
        <v>6</v>
      </c>
      <c r="X48" s="64"/>
      <c r="Y48" s="64">
        <v>1</v>
      </c>
      <c r="Z48" s="64"/>
      <c r="AA48" s="64">
        <v>0</v>
      </c>
      <c r="AB48" s="64"/>
      <c r="AC48" s="64"/>
      <c r="AD48" s="65">
        <f>W48/W8</f>
        <v>1200000</v>
      </c>
      <c r="AE48" s="66">
        <f t="shared" si="13"/>
        <v>9.7546516732005841</v>
      </c>
      <c r="AF48" s="13" t="s">
        <v>155</v>
      </c>
    </row>
    <row r="49" spans="1:32" hidden="1" x14ac:dyDescent="0.25">
      <c r="A49" s="7">
        <v>44087</v>
      </c>
      <c r="B49" s="42">
        <v>5</v>
      </c>
      <c r="C49" s="6">
        <v>114</v>
      </c>
      <c r="D49" s="57" t="s">
        <v>25</v>
      </c>
      <c r="E49" s="6">
        <v>1</v>
      </c>
      <c r="F49" s="9">
        <v>1.2800000000000001E-2</v>
      </c>
      <c r="G49" s="9"/>
      <c r="H49" s="6">
        <v>136</v>
      </c>
      <c r="I49" s="16">
        <v>0.01</v>
      </c>
      <c r="J49" s="9">
        <f t="shared" si="14"/>
        <v>136000</v>
      </c>
      <c r="K49" s="9">
        <f t="shared" si="12"/>
        <v>13600</v>
      </c>
      <c r="L49" s="9"/>
      <c r="M49" s="9"/>
      <c r="N49" s="9"/>
      <c r="O49" s="9"/>
      <c r="P49" s="9"/>
      <c r="Q49" s="68"/>
      <c r="R49" s="68"/>
      <c r="S49" s="6"/>
      <c r="T49" s="6"/>
      <c r="U49" s="6"/>
      <c r="V49" s="6"/>
      <c r="W49" s="64">
        <v>31</v>
      </c>
      <c r="X49" s="64"/>
      <c r="Y49" s="64">
        <v>5</v>
      </c>
      <c r="Z49" s="64"/>
      <c r="AA49" s="64">
        <v>4</v>
      </c>
      <c r="AB49" s="64"/>
      <c r="AC49" s="64"/>
      <c r="AD49" s="65">
        <f>W49/W8</f>
        <v>6199999.9999999991</v>
      </c>
      <c r="AE49" s="66">
        <f t="shared" si="13"/>
        <v>13.242155552921473</v>
      </c>
      <c r="AF49" s="13" t="s">
        <v>156</v>
      </c>
    </row>
    <row r="50" spans="1:32" hidden="1" x14ac:dyDescent="0.25">
      <c r="A50" s="7">
        <v>44087</v>
      </c>
      <c r="B50" s="42">
        <v>6</v>
      </c>
      <c r="C50" s="6">
        <v>115</v>
      </c>
      <c r="D50" s="57" t="s">
        <v>26</v>
      </c>
      <c r="E50" s="6">
        <v>1</v>
      </c>
      <c r="F50" s="9">
        <v>8.77E-3</v>
      </c>
      <c r="G50" s="9"/>
      <c r="H50" s="6">
        <v>127</v>
      </c>
      <c r="I50" s="16">
        <v>0.01</v>
      </c>
      <c r="J50" s="9">
        <f t="shared" si="14"/>
        <v>127000</v>
      </c>
      <c r="K50" s="9">
        <f t="shared" si="12"/>
        <v>12700</v>
      </c>
      <c r="L50" s="9"/>
      <c r="M50" s="9"/>
      <c r="N50" s="9"/>
      <c r="O50" s="9"/>
      <c r="P50" s="9"/>
      <c r="Q50" s="68"/>
      <c r="R50" s="68"/>
      <c r="S50" s="6"/>
      <c r="T50" s="6"/>
      <c r="U50" s="6"/>
      <c r="V50" s="6"/>
      <c r="W50" s="64">
        <v>9</v>
      </c>
      <c r="X50" s="64"/>
      <c r="Y50" s="64">
        <v>1</v>
      </c>
      <c r="Z50" s="64"/>
      <c r="AA50" s="64">
        <v>1</v>
      </c>
      <c r="AB50" s="64"/>
      <c r="AC50" s="64"/>
      <c r="AD50" s="65">
        <f>W50/W8</f>
        <v>1799999.9999999998</v>
      </c>
      <c r="AE50" s="66">
        <f t="shared" si="13"/>
        <v>10.715179309343679</v>
      </c>
      <c r="AF50" s="13" t="s">
        <v>155</v>
      </c>
    </row>
    <row r="51" spans="1:32" hidden="1" x14ac:dyDescent="0.25">
      <c r="A51" s="7">
        <v>44087</v>
      </c>
      <c r="B51" s="42">
        <v>7</v>
      </c>
      <c r="C51" s="6">
        <v>108</v>
      </c>
      <c r="D51" s="12" t="s">
        <v>19</v>
      </c>
      <c r="E51" s="6">
        <v>1</v>
      </c>
      <c r="F51" s="9">
        <v>7.1399999999999996E-3</v>
      </c>
      <c r="G51" s="9"/>
      <c r="H51" s="6">
        <v>119</v>
      </c>
      <c r="I51" s="16">
        <v>0.01</v>
      </c>
      <c r="J51" s="9">
        <f t="shared" si="14"/>
        <v>119000</v>
      </c>
      <c r="K51" s="9">
        <f t="shared" si="12"/>
        <v>11900</v>
      </c>
      <c r="L51" s="9"/>
      <c r="M51" s="9"/>
      <c r="N51" s="9"/>
      <c r="O51" s="9"/>
      <c r="P51" s="9"/>
      <c r="Q51" s="68"/>
      <c r="R51" s="68"/>
      <c r="S51" s="6"/>
      <c r="T51" s="6"/>
      <c r="U51" s="6"/>
      <c r="V51" s="6"/>
      <c r="W51" s="6">
        <v>217</v>
      </c>
      <c r="X51" s="6"/>
      <c r="Y51" s="13">
        <v>50</v>
      </c>
      <c r="Z51" s="13"/>
      <c r="AA51" s="13">
        <v>32</v>
      </c>
      <c r="AB51" s="13"/>
      <c r="AC51" s="6"/>
      <c r="AD51" s="9">
        <f>Y51/Y8</f>
        <v>50000000</v>
      </c>
      <c r="AE51" s="43">
        <f t="shared" si="13"/>
        <v>18.046103157445625</v>
      </c>
      <c r="AF51" s="13" t="s">
        <v>157</v>
      </c>
    </row>
    <row r="52" spans="1:32" hidden="1" x14ac:dyDescent="0.25">
      <c r="A52" s="7">
        <v>44087</v>
      </c>
      <c r="B52" s="42">
        <v>8</v>
      </c>
      <c r="C52" s="6">
        <v>117</v>
      </c>
      <c r="D52" s="12" t="s">
        <v>28</v>
      </c>
      <c r="E52" s="6">
        <v>1</v>
      </c>
      <c r="F52" s="9">
        <v>3.88E-4</v>
      </c>
      <c r="G52" s="9"/>
      <c r="H52" s="6">
        <v>103</v>
      </c>
      <c r="I52" s="16">
        <v>0.01</v>
      </c>
      <c r="J52" s="9">
        <f t="shared" si="14"/>
        <v>103000</v>
      </c>
      <c r="K52" s="9">
        <f t="shared" si="12"/>
        <v>10300</v>
      </c>
      <c r="L52" s="9"/>
      <c r="M52" s="9"/>
      <c r="N52" s="9"/>
      <c r="O52" s="9"/>
      <c r="P52" s="9"/>
      <c r="Q52" s="68"/>
      <c r="R52" s="68"/>
      <c r="S52" s="6"/>
      <c r="T52" s="6"/>
      <c r="U52" s="6"/>
      <c r="V52" s="6"/>
      <c r="W52" s="6" t="s">
        <v>13</v>
      </c>
      <c r="X52" s="6"/>
      <c r="Y52" s="13">
        <v>137</v>
      </c>
      <c r="Z52" s="13"/>
      <c r="AA52" s="13">
        <v>70</v>
      </c>
      <c r="AB52" s="13"/>
      <c r="AC52" s="6"/>
      <c r="AD52" s="9">
        <f>AA52/AA8</f>
        <v>140000000</v>
      </c>
      <c r="AE52" s="43">
        <f t="shared" si="13"/>
        <v>20.585449579177208</v>
      </c>
      <c r="AF52" s="13" t="s">
        <v>153</v>
      </c>
    </row>
    <row r="53" spans="1:32" hidden="1" x14ac:dyDescent="0.25">
      <c r="A53" s="7">
        <v>44087</v>
      </c>
      <c r="B53" s="42">
        <v>9</v>
      </c>
      <c r="C53" s="6">
        <v>100</v>
      </c>
      <c r="D53" s="12" t="s">
        <v>10</v>
      </c>
      <c r="E53" s="6">
        <v>1</v>
      </c>
      <c r="F53" s="9">
        <f>(100000)*(F39/J39)</f>
        <v>2.444341083735761E-3</v>
      </c>
      <c r="G53" s="6"/>
      <c r="H53" s="6">
        <v>87</v>
      </c>
      <c r="I53" s="16">
        <v>0.01</v>
      </c>
      <c r="J53" s="9">
        <f>H53/0.001</f>
        <v>87000</v>
      </c>
      <c r="K53" s="9">
        <f t="shared" ref="K53:K56" si="15">H53/I53</f>
        <v>8700</v>
      </c>
      <c r="L53" s="9"/>
      <c r="M53" s="9"/>
      <c r="N53" s="9"/>
      <c r="O53" s="9"/>
      <c r="P53" s="9"/>
      <c r="Q53" s="68"/>
      <c r="R53" s="68"/>
      <c r="S53" s="6"/>
      <c r="T53" s="6"/>
      <c r="U53" s="6"/>
      <c r="V53" s="6"/>
      <c r="W53" s="6" t="s">
        <v>13</v>
      </c>
      <c r="X53" s="6"/>
      <c r="Y53" s="6">
        <v>191</v>
      </c>
      <c r="Z53" s="6"/>
      <c r="AA53" s="6">
        <v>92</v>
      </c>
      <c r="AB53" s="6"/>
      <c r="AC53" s="6"/>
      <c r="AD53" s="9">
        <f>AA53/AA8</f>
        <v>184000000</v>
      </c>
      <c r="AE53" s="43">
        <f t="shared" si="13"/>
        <v>21.54172539693813</v>
      </c>
      <c r="AF53" s="6" t="s">
        <v>158</v>
      </c>
    </row>
    <row r="54" spans="1:32" hidden="1" x14ac:dyDescent="0.25">
      <c r="A54" s="7">
        <v>44087</v>
      </c>
      <c r="B54" s="42">
        <v>10</v>
      </c>
      <c r="C54" s="6">
        <v>112</v>
      </c>
      <c r="D54" s="57" t="s">
        <v>23</v>
      </c>
      <c r="E54" s="6">
        <v>1</v>
      </c>
      <c r="F54" s="9">
        <v>2.5999999999999999E-2</v>
      </c>
      <c r="G54" s="6"/>
      <c r="H54" s="6">
        <v>155</v>
      </c>
      <c r="I54" s="16">
        <v>0.01</v>
      </c>
      <c r="J54" s="9">
        <f t="shared" ref="J54:J56" si="16">H54/0.001</f>
        <v>155000</v>
      </c>
      <c r="K54" s="9">
        <f t="shared" si="15"/>
        <v>15500</v>
      </c>
      <c r="L54" s="9"/>
      <c r="M54" s="9"/>
      <c r="N54" s="9"/>
      <c r="O54" s="9"/>
      <c r="P54" s="9"/>
      <c r="Q54" s="68"/>
      <c r="R54" s="68"/>
      <c r="S54" s="6"/>
      <c r="T54" s="6"/>
      <c r="U54" s="6"/>
      <c r="V54" s="6"/>
      <c r="W54" s="6">
        <v>97</v>
      </c>
      <c r="X54" s="6"/>
      <c r="Y54" s="6">
        <v>15</v>
      </c>
      <c r="Z54" s="6"/>
      <c r="AA54" s="6">
        <v>8</v>
      </c>
      <c r="AB54" s="6"/>
      <c r="AC54" s="6"/>
      <c r="AD54" s="9">
        <f>W54/W8</f>
        <v>19400000</v>
      </c>
      <c r="AE54" s="43">
        <f t="shared" si="13"/>
        <v>15.426645759482724</v>
      </c>
      <c r="AF54" s="6" t="s">
        <v>154</v>
      </c>
    </row>
    <row r="55" spans="1:32" hidden="1" x14ac:dyDescent="0.25">
      <c r="A55" s="7">
        <v>44087</v>
      </c>
      <c r="B55" s="42">
        <v>11</v>
      </c>
      <c r="C55" s="6">
        <v>111</v>
      </c>
      <c r="D55" s="12" t="s">
        <v>22</v>
      </c>
      <c r="E55" s="6">
        <v>1</v>
      </c>
      <c r="F55" s="9">
        <v>6.3299999999999995E-2</v>
      </c>
      <c r="G55" s="6"/>
      <c r="H55" s="6">
        <v>174</v>
      </c>
      <c r="I55" s="16">
        <v>0.01</v>
      </c>
      <c r="J55" s="9">
        <f t="shared" si="16"/>
        <v>174000</v>
      </c>
      <c r="K55" s="9">
        <f t="shared" si="15"/>
        <v>17400</v>
      </c>
      <c r="L55" s="9"/>
      <c r="M55" s="9"/>
      <c r="N55" s="9"/>
      <c r="O55" s="9"/>
      <c r="P55" s="9"/>
      <c r="Q55" s="68"/>
      <c r="R55" s="68"/>
      <c r="S55" s="6"/>
      <c r="T55" s="6"/>
      <c r="U55" s="6"/>
      <c r="V55" s="6"/>
      <c r="W55" s="64">
        <v>3</v>
      </c>
      <c r="X55" s="64"/>
      <c r="Y55" s="64">
        <v>0</v>
      </c>
      <c r="Z55" s="64"/>
      <c r="AA55" s="64">
        <v>0</v>
      </c>
      <c r="AB55" s="64"/>
      <c r="AC55" s="64"/>
      <c r="AD55" s="65">
        <f>W55/W8</f>
        <v>600000</v>
      </c>
      <c r="AE55" s="66">
        <f t="shared" si="13"/>
        <v>7.6578759963036207</v>
      </c>
      <c r="AF55" s="13" t="s">
        <v>155</v>
      </c>
    </row>
    <row r="56" spans="1:32" hidden="1" x14ac:dyDescent="0.25">
      <c r="A56" s="7">
        <v>44087</v>
      </c>
      <c r="B56" s="42">
        <v>12</v>
      </c>
      <c r="C56" s="6">
        <v>110</v>
      </c>
      <c r="D56" s="12" t="s">
        <v>21</v>
      </c>
      <c r="E56" s="6">
        <v>1</v>
      </c>
      <c r="F56" s="9">
        <v>6.7999999999999996E-3</v>
      </c>
      <c r="G56" s="6"/>
      <c r="H56" s="6">
        <v>150</v>
      </c>
      <c r="I56" s="16">
        <v>0.01</v>
      </c>
      <c r="J56" s="9">
        <f t="shared" si="16"/>
        <v>150000</v>
      </c>
      <c r="K56" s="9">
        <f t="shared" si="15"/>
        <v>15000</v>
      </c>
      <c r="L56" s="9"/>
      <c r="M56" s="9"/>
      <c r="N56" s="9"/>
      <c r="O56" s="9"/>
      <c r="P56" s="9"/>
      <c r="Q56" s="68"/>
      <c r="R56" s="68"/>
      <c r="S56" s="6"/>
      <c r="T56" s="6"/>
      <c r="U56" s="6"/>
      <c r="V56" s="6"/>
      <c r="W56" s="6">
        <v>58</v>
      </c>
      <c r="X56" s="6"/>
      <c r="Y56" s="6">
        <v>5</v>
      </c>
      <c r="Z56" s="6"/>
      <c r="AA56" s="6">
        <v>9</v>
      </c>
      <c r="AB56" s="6"/>
      <c r="AC56" s="6"/>
      <c r="AD56" s="9">
        <f>W56/W8</f>
        <v>11599999.999999998</v>
      </c>
      <c r="AE56" s="43">
        <f t="shared" si="13"/>
        <v>14.385227270305515</v>
      </c>
      <c r="AF56" s="6" t="s">
        <v>159</v>
      </c>
    </row>
    <row r="57" spans="1:32" hidden="1" x14ac:dyDescent="0.25">
      <c r="A57" s="34"/>
      <c r="B57" s="56"/>
      <c r="C57" s="35"/>
      <c r="D57" s="69"/>
      <c r="E57" s="35"/>
      <c r="F57" s="46"/>
      <c r="G57" s="35"/>
      <c r="H57" s="35"/>
      <c r="I57" s="59"/>
      <c r="J57" s="46"/>
      <c r="K57" s="46"/>
      <c r="L57" s="46"/>
      <c r="M57" s="46"/>
      <c r="N57" s="46"/>
      <c r="O57" s="46"/>
      <c r="P57" s="46"/>
      <c r="Q57" s="75"/>
      <c r="R57" s="7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46"/>
      <c r="AE57" s="44"/>
      <c r="AF57" s="35"/>
    </row>
    <row r="58" spans="1:32" hidden="1" x14ac:dyDescent="0.25">
      <c r="A58" s="7">
        <v>44090</v>
      </c>
      <c r="B58" s="42">
        <v>1</v>
      </c>
      <c r="C58" s="6">
        <v>115</v>
      </c>
      <c r="D58" s="57" t="s">
        <v>26</v>
      </c>
      <c r="E58" s="6">
        <v>1</v>
      </c>
      <c r="F58" s="33">
        <f>(100000)*(F50/J50)</f>
        <v>6.9055118110236229E-3</v>
      </c>
      <c r="G58" s="67">
        <v>6.91</v>
      </c>
      <c r="H58" s="15">
        <v>57</v>
      </c>
      <c r="I58" s="16">
        <v>0.01</v>
      </c>
      <c r="J58" s="9">
        <f>H58/0.001</f>
        <v>57000</v>
      </c>
      <c r="K58" s="9">
        <f t="shared" ref="K58:K69" si="17">H58/I58</f>
        <v>5700</v>
      </c>
      <c r="L58" s="9"/>
      <c r="M58" s="9"/>
      <c r="N58" s="9"/>
      <c r="O58" s="9"/>
      <c r="P58" s="9"/>
      <c r="Q58" s="68">
        <v>93</v>
      </c>
      <c r="R58" s="68"/>
      <c r="S58" s="6">
        <v>55</v>
      </c>
      <c r="T58" s="6"/>
      <c r="U58" s="6">
        <v>14</v>
      </c>
      <c r="V58" s="6"/>
      <c r="W58" s="6"/>
      <c r="X58" s="6"/>
      <c r="Y58" s="13"/>
      <c r="Z58" s="13"/>
      <c r="AA58" s="13"/>
      <c r="AB58" s="13"/>
      <c r="AC58" s="6"/>
      <c r="AD58" s="9">
        <f>Q58/Q8</f>
        <v>930000</v>
      </c>
      <c r="AE58" s="43">
        <f t="shared" ref="AE58:AE69" si="18">LN(AD58/K58)/(0.667*LN(2))</f>
        <v>11.019677641256393</v>
      </c>
      <c r="AF58" s="13"/>
    </row>
    <row r="59" spans="1:32" hidden="1" x14ac:dyDescent="0.25">
      <c r="A59" s="7">
        <v>44090</v>
      </c>
      <c r="B59" s="42">
        <v>2</v>
      </c>
      <c r="C59" s="6">
        <v>111</v>
      </c>
      <c r="D59" s="12" t="s">
        <v>22</v>
      </c>
      <c r="E59" s="6">
        <v>1</v>
      </c>
      <c r="F59" s="9">
        <f>(100000)*(F55/J55)</f>
        <v>3.6379310344827581E-2</v>
      </c>
      <c r="G59" s="68">
        <v>36.4</v>
      </c>
      <c r="H59" s="6">
        <v>91</v>
      </c>
      <c r="I59" s="16">
        <v>0.01</v>
      </c>
      <c r="J59" s="9">
        <f t="shared" ref="J59:J65" si="19">H59/0.001</f>
        <v>91000</v>
      </c>
      <c r="K59" s="9">
        <f t="shared" si="17"/>
        <v>9100</v>
      </c>
      <c r="L59" s="9"/>
      <c r="M59" s="9"/>
      <c r="N59" s="9"/>
      <c r="O59" s="9"/>
      <c r="P59" s="9"/>
      <c r="Q59" s="77">
        <v>14</v>
      </c>
      <c r="R59" s="77"/>
      <c r="S59" s="76">
        <v>4</v>
      </c>
      <c r="T59" s="76"/>
      <c r="U59" s="76">
        <v>1</v>
      </c>
      <c r="V59" s="76"/>
      <c r="W59" s="76"/>
      <c r="X59" s="76"/>
      <c r="Y59" s="76"/>
      <c r="Z59" s="76"/>
      <c r="AA59" s="76"/>
      <c r="AB59" s="76"/>
      <c r="AC59" s="76"/>
      <c r="AD59" s="78">
        <f>Q59/Q8</f>
        <v>140000</v>
      </c>
      <c r="AE59" s="79">
        <f t="shared" si="18"/>
        <v>5.9121686231388795</v>
      </c>
      <c r="AF59" s="13"/>
    </row>
    <row r="60" spans="1:32" hidden="1" x14ac:dyDescent="0.25">
      <c r="A60" s="7">
        <v>44090</v>
      </c>
      <c r="B60" s="42">
        <v>3</v>
      </c>
      <c r="C60" s="6">
        <v>100</v>
      </c>
      <c r="D60" s="12" t="s">
        <v>10</v>
      </c>
      <c r="E60" s="6">
        <v>1</v>
      </c>
      <c r="F60" s="9">
        <f>(100000)*(F53/J53)</f>
        <v>2.8095874525698402E-3</v>
      </c>
      <c r="G60" s="68">
        <v>2.81</v>
      </c>
      <c r="H60" s="6">
        <v>94</v>
      </c>
      <c r="I60" s="16">
        <v>0.01</v>
      </c>
      <c r="J60" s="9">
        <f t="shared" si="19"/>
        <v>94000</v>
      </c>
      <c r="K60" s="9">
        <f t="shared" si="17"/>
        <v>9400</v>
      </c>
      <c r="L60" s="9"/>
      <c r="M60" s="9"/>
      <c r="N60" s="9"/>
      <c r="O60" s="9"/>
      <c r="P60" s="9"/>
      <c r="Q60" s="68"/>
      <c r="R60" s="68"/>
      <c r="S60" s="6"/>
      <c r="T60" s="6"/>
      <c r="U60" s="6"/>
      <c r="V60" s="6"/>
      <c r="W60" s="6"/>
      <c r="X60" s="6"/>
      <c r="Y60" s="13"/>
      <c r="Z60" s="13"/>
      <c r="AA60" s="13">
        <v>104</v>
      </c>
      <c r="AB60" s="13">
        <v>37</v>
      </c>
      <c r="AC60" s="6"/>
      <c r="AD60" s="9">
        <f>AA60/AA8</f>
        <v>208000000</v>
      </c>
      <c r="AE60" s="43">
        <f t="shared" si="18"/>
        <v>21.639525106466124</v>
      </c>
      <c r="AF60" s="13"/>
    </row>
    <row r="61" spans="1:32" hidden="1" x14ac:dyDescent="0.25">
      <c r="A61" s="7">
        <v>44090</v>
      </c>
      <c r="B61" s="42">
        <v>4</v>
      </c>
      <c r="C61" s="6">
        <v>108</v>
      </c>
      <c r="D61" s="12" t="s">
        <v>19</v>
      </c>
      <c r="E61" s="6">
        <v>1</v>
      </c>
      <c r="F61" s="9">
        <f>(100000)*(F51/J51)</f>
        <v>5.9999999999999993E-3</v>
      </c>
      <c r="G61" s="68">
        <v>6</v>
      </c>
      <c r="H61" s="6">
        <v>83</v>
      </c>
      <c r="I61" s="16">
        <v>0.01</v>
      </c>
      <c r="J61" s="9">
        <f t="shared" si="19"/>
        <v>83000</v>
      </c>
      <c r="K61" s="9">
        <f t="shared" si="17"/>
        <v>8300</v>
      </c>
      <c r="L61" s="9"/>
      <c r="M61" s="9"/>
      <c r="N61" s="9"/>
      <c r="O61" s="9"/>
      <c r="P61" s="9"/>
      <c r="Q61" s="68"/>
      <c r="R61" s="68"/>
      <c r="S61" s="6"/>
      <c r="T61" s="6"/>
      <c r="U61" s="6"/>
      <c r="V61" s="6"/>
      <c r="W61" s="6"/>
      <c r="X61" s="6">
        <v>77</v>
      </c>
      <c r="Y61" s="13">
        <v>40</v>
      </c>
      <c r="Z61" s="13"/>
      <c r="AA61" s="13"/>
      <c r="AB61" s="13"/>
      <c r="AC61" s="6"/>
      <c r="AD61" s="9">
        <f>X61/X8</f>
        <v>38500000</v>
      </c>
      <c r="AE61" s="43">
        <f t="shared" si="18"/>
        <v>18.260059203744269</v>
      </c>
      <c r="AF61" s="13"/>
    </row>
    <row r="62" spans="1:32" hidden="1" x14ac:dyDescent="0.25">
      <c r="A62" s="7">
        <v>44090</v>
      </c>
      <c r="B62" s="42">
        <v>5</v>
      </c>
      <c r="C62" s="6">
        <v>118</v>
      </c>
      <c r="D62" s="12" t="s">
        <v>30</v>
      </c>
      <c r="E62" s="6">
        <v>2</v>
      </c>
      <c r="F62" s="9">
        <f>(100000)*(F46/J46)</f>
        <v>6.4812030075187968E-3</v>
      </c>
      <c r="G62" s="68">
        <v>6.48</v>
      </c>
      <c r="H62" s="6">
        <v>93</v>
      </c>
      <c r="I62" s="16">
        <v>0.01</v>
      </c>
      <c r="J62" s="9">
        <f t="shared" si="19"/>
        <v>93000</v>
      </c>
      <c r="K62" s="9">
        <f t="shared" si="17"/>
        <v>9300</v>
      </c>
      <c r="L62" s="9"/>
      <c r="M62" s="9"/>
      <c r="N62" s="9"/>
      <c r="O62" s="9"/>
      <c r="P62" s="9"/>
      <c r="Q62" s="68"/>
      <c r="R62" s="68"/>
      <c r="S62" s="6"/>
      <c r="T62" s="6"/>
      <c r="U62" s="6"/>
      <c r="V62" s="6"/>
      <c r="W62" s="6"/>
      <c r="X62" s="6"/>
      <c r="Y62" s="13">
        <v>46</v>
      </c>
      <c r="Z62" s="13"/>
      <c r="AA62" s="13">
        <v>18</v>
      </c>
      <c r="AB62" s="13"/>
      <c r="AC62" s="6"/>
      <c r="AD62" s="9">
        <f>Y62/Y8</f>
        <v>46000000</v>
      </c>
      <c r="AE62" s="43">
        <f t="shared" si="18"/>
        <v>18.398973799847724</v>
      </c>
      <c r="AF62" s="13"/>
    </row>
    <row r="63" spans="1:32" hidden="1" x14ac:dyDescent="0.25">
      <c r="A63" s="7">
        <v>44090</v>
      </c>
      <c r="B63" s="42">
        <v>6</v>
      </c>
      <c r="C63" s="6">
        <v>114</v>
      </c>
      <c r="D63" s="57" t="s">
        <v>25</v>
      </c>
      <c r="E63" s="6">
        <v>1</v>
      </c>
      <c r="F63" s="9">
        <f>(100000)*(F49/J49)</f>
        <v>9.4117647058823539E-3</v>
      </c>
      <c r="G63" s="68">
        <v>9.41</v>
      </c>
      <c r="H63" s="6">
        <v>77</v>
      </c>
      <c r="I63" s="16">
        <v>0.01</v>
      </c>
      <c r="J63" s="9">
        <f t="shared" si="19"/>
        <v>77000</v>
      </c>
      <c r="K63" s="9">
        <f t="shared" si="17"/>
        <v>7700</v>
      </c>
      <c r="L63" s="9"/>
      <c r="M63" s="9"/>
      <c r="N63" s="9"/>
      <c r="O63" s="9"/>
      <c r="P63" s="9"/>
      <c r="Q63" s="68"/>
      <c r="R63" s="68"/>
      <c r="S63" s="6">
        <v>224</v>
      </c>
      <c r="T63" s="6"/>
      <c r="U63" s="6">
        <v>43</v>
      </c>
      <c r="V63" s="6"/>
      <c r="W63" s="6">
        <v>24</v>
      </c>
      <c r="X63" s="6"/>
      <c r="Y63" s="13"/>
      <c r="Z63" s="13"/>
      <c r="AA63" s="13"/>
      <c r="AB63" s="13"/>
      <c r="AC63" s="6"/>
      <c r="AD63" s="9">
        <f>S63/S8</f>
        <v>4480000</v>
      </c>
      <c r="AE63" s="43">
        <f t="shared" si="18"/>
        <v>13.769751980715784</v>
      </c>
      <c r="AF63" s="13"/>
    </row>
    <row r="64" spans="1:32" hidden="1" x14ac:dyDescent="0.25">
      <c r="A64" s="7">
        <v>44090</v>
      </c>
      <c r="B64" s="42">
        <v>7</v>
      </c>
      <c r="C64" s="6">
        <v>117</v>
      </c>
      <c r="D64" s="12" t="s">
        <v>28</v>
      </c>
      <c r="E64" s="6">
        <v>1</v>
      </c>
      <c r="F64" s="9">
        <f>(100000)*(F52/J52)</f>
        <v>3.7669902912621357E-4</v>
      </c>
      <c r="G64" s="68" t="s">
        <v>160</v>
      </c>
      <c r="H64" s="6">
        <v>85</v>
      </c>
      <c r="I64" s="16">
        <v>0.01</v>
      </c>
      <c r="J64" s="9">
        <f t="shared" si="19"/>
        <v>85000</v>
      </c>
      <c r="K64" s="9">
        <f t="shared" si="17"/>
        <v>8500</v>
      </c>
      <c r="L64" s="9"/>
      <c r="M64" s="9"/>
      <c r="N64" s="9"/>
      <c r="O64" s="9"/>
      <c r="P64" s="9"/>
      <c r="Q64" s="68"/>
      <c r="R64" s="68"/>
      <c r="S64" s="6"/>
      <c r="T64" s="6"/>
      <c r="U64" s="6"/>
      <c r="V64" s="6"/>
      <c r="W64" s="6"/>
      <c r="X64" s="6"/>
      <c r="Y64" s="13"/>
      <c r="Z64" s="13"/>
      <c r="AA64" s="13">
        <v>70</v>
      </c>
      <c r="AB64" s="13"/>
      <c r="AC64" s="6"/>
      <c r="AD64" s="9">
        <f>AA64/AA8</f>
        <v>140000000</v>
      </c>
      <c r="AE64" s="43">
        <f t="shared" si="18"/>
        <v>21.000906237416363</v>
      </c>
      <c r="AF64" s="13"/>
    </row>
    <row r="65" spans="1:32" hidden="1" x14ac:dyDescent="0.25">
      <c r="A65" s="7">
        <v>44090</v>
      </c>
      <c r="B65" s="42">
        <v>8</v>
      </c>
      <c r="C65" s="6">
        <v>109</v>
      </c>
      <c r="D65" s="12" t="s">
        <v>20</v>
      </c>
      <c r="E65" s="6">
        <v>1</v>
      </c>
      <c r="F65" s="9">
        <f>(100000)*(F48/J48)</f>
        <v>1.3560606060606061E-2</v>
      </c>
      <c r="G65" s="68">
        <v>13.6</v>
      </c>
      <c r="H65" s="6">
        <v>92</v>
      </c>
      <c r="I65" s="16">
        <v>0.01</v>
      </c>
      <c r="J65" s="9">
        <f t="shared" si="19"/>
        <v>92000</v>
      </c>
      <c r="K65" s="9">
        <f t="shared" si="17"/>
        <v>9200</v>
      </c>
      <c r="L65" s="9"/>
      <c r="M65" s="9"/>
      <c r="N65" s="9"/>
      <c r="O65" s="9"/>
      <c r="P65" s="9"/>
      <c r="Q65" s="68">
        <v>95</v>
      </c>
      <c r="R65" s="68"/>
      <c r="S65" s="6">
        <v>55</v>
      </c>
      <c r="T65" s="6"/>
      <c r="U65" s="76">
        <v>59</v>
      </c>
      <c r="V65" s="6"/>
      <c r="W65" s="6"/>
      <c r="X65" s="6"/>
      <c r="Y65" s="13"/>
      <c r="Z65" s="13"/>
      <c r="AA65" s="13"/>
      <c r="AB65" s="13"/>
      <c r="AC65" s="6"/>
      <c r="AD65" s="9">
        <f>Q65/Q8</f>
        <v>950000</v>
      </c>
      <c r="AE65" s="43">
        <f t="shared" si="18"/>
        <v>10.030209658243868</v>
      </c>
      <c r="AF65" s="13"/>
    </row>
    <row r="66" spans="1:32" hidden="1" x14ac:dyDescent="0.25">
      <c r="A66" s="7">
        <v>44090</v>
      </c>
      <c r="B66" s="42">
        <v>9</v>
      </c>
      <c r="C66" s="6">
        <v>112</v>
      </c>
      <c r="D66" s="57" t="s">
        <v>23</v>
      </c>
      <c r="E66" s="6">
        <v>1</v>
      </c>
      <c r="F66" s="9">
        <f>(100000)*(F54/J54)</f>
        <v>1.6774193548387096E-2</v>
      </c>
      <c r="G66" s="68">
        <v>16.8</v>
      </c>
      <c r="H66" s="6">
        <v>82</v>
      </c>
      <c r="I66" s="16">
        <v>0.01</v>
      </c>
      <c r="J66" s="9">
        <f>H66/0.001</f>
        <v>82000</v>
      </c>
      <c r="K66" s="9">
        <f t="shared" si="17"/>
        <v>8200</v>
      </c>
      <c r="L66" s="9"/>
      <c r="M66" s="9"/>
      <c r="N66" s="9"/>
      <c r="O66" s="9"/>
      <c r="P66" s="9"/>
      <c r="Q66" s="68"/>
      <c r="R66" s="68"/>
      <c r="S66" s="6"/>
      <c r="T66" s="6"/>
      <c r="U66" s="6"/>
      <c r="V66" s="6"/>
      <c r="W66" s="6">
        <v>36</v>
      </c>
      <c r="X66" s="6">
        <v>23</v>
      </c>
      <c r="Y66" s="6"/>
      <c r="Z66" s="6"/>
      <c r="AA66" s="6"/>
      <c r="AB66" s="6"/>
      <c r="AC66" s="6"/>
      <c r="AD66" s="9">
        <f>W66/W8</f>
        <v>7199999.9999999991</v>
      </c>
      <c r="AE66" s="43">
        <f t="shared" si="18"/>
        <v>14.65990596924485</v>
      </c>
      <c r="AF66" s="6"/>
    </row>
    <row r="67" spans="1:32" hidden="1" x14ac:dyDescent="0.25">
      <c r="A67" s="7">
        <v>44090</v>
      </c>
      <c r="B67" s="42">
        <v>10</v>
      </c>
      <c r="C67" s="6">
        <v>113</v>
      </c>
      <c r="D67" s="57" t="s">
        <v>24</v>
      </c>
      <c r="E67" s="6">
        <v>1</v>
      </c>
      <c r="F67" s="9">
        <f>(100000)*(F47/J47)</f>
        <v>7.3100775193798446E-3</v>
      </c>
      <c r="G67" s="68">
        <v>7.31</v>
      </c>
      <c r="H67" s="6">
        <v>63</v>
      </c>
      <c r="I67" s="16">
        <v>0.01</v>
      </c>
      <c r="J67" s="9">
        <f t="shared" ref="J67:J69" si="20">H67/0.001</f>
        <v>63000</v>
      </c>
      <c r="K67" s="9">
        <f t="shared" si="17"/>
        <v>6300</v>
      </c>
      <c r="L67" s="9"/>
      <c r="M67" s="9"/>
      <c r="N67" s="9"/>
      <c r="O67" s="9"/>
      <c r="P67" s="9"/>
      <c r="Q67" s="68"/>
      <c r="R67" s="68"/>
      <c r="S67" s="6"/>
      <c r="T67" s="6"/>
      <c r="U67" s="6"/>
      <c r="V67" s="6"/>
      <c r="W67" s="6">
        <v>58</v>
      </c>
      <c r="X67" s="6">
        <v>25</v>
      </c>
      <c r="Y67" s="6"/>
      <c r="Z67" s="6"/>
      <c r="AA67" s="6"/>
      <c r="AB67" s="6"/>
      <c r="AC67" s="6"/>
      <c r="AD67" s="9">
        <f>W67/W8</f>
        <v>11599999.999999998</v>
      </c>
      <c r="AE67" s="43">
        <f t="shared" si="18"/>
        <v>16.261597235816705</v>
      </c>
      <c r="AF67" s="6"/>
    </row>
    <row r="68" spans="1:32" hidden="1" x14ac:dyDescent="0.25">
      <c r="A68" s="7">
        <v>44090</v>
      </c>
      <c r="B68" s="42">
        <v>11</v>
      </c>
      <c r="C68" s="6">
        <v>116</v>
      </c>
      <c r="D68" s="12" t="s">
        <v>27</v>
      </c>
      <c r="E68" s="6">
        <v>1</v>
      </c>
      <c r="F68" s="9">
        <f>(100000)*F45/J45</f>
        <v>1.0655737704918034E-3</v>
      </c>
      <c r="G68" s="68" t="s">
        <v>161</v>
      </c>
      <c r="H68" s="6">
        <v>75</v>
      </c>
      <c r="I68" s="16">
        <v>0.01</v>
      </c>
      <c r="J68" s="9">
        <f t="shared" si="20"/>
        <v>75000</v>
      </c>
      <c r="K68" s="9">
        <f t="shared" si="17"/>
        <v>7500</v>
      </c>
      <c r="L68" s="9"/>
      <c r="M68" s="9"/>
      <c r="N68" s="9"/>
      <c r="O68" s="9"/>
      <c r="P68" s="9"/>
      <c r="Q68" s="68"/>
      <c r="R68" s="68"/>
      <c r="S68" s="6"/>
      <c r="T68" s="6"/>
      <c r="U68" s="6"/>
      <c r="V68" s="6"/>
      <c r="W68" s="6"/>
      <c r="X68" s="6"/>
      <c r="Y68" s="6">
        <v>123</v>
      </c>
      <c r="Z68" s="6"/>
      <c r="AA68" s="6">
        <v>50</v>
      </c>
      <c r="AB68" s="6"/>
      <c r="AC68" s="6"/>
      <c r="AD68" s="9">
        <f>Y68/Y8</f>
        <v>123000000</v>
      </c>
      <c r="AE68" s="43">
        <f t="shared" si="18"/>
        <v>20.991616483347538</v>
      </c>
      <c r="AF68" s="6"/>
    </row>
    <row r="69" spans="1:32" hidden="1" x14ac:dyDescent="0.25">
      <c r="A69" s="7">
        <v>44090</v>
      </c>
      <c r="B69" s="42">
        <v>12</v>
      </c>
      <c r="C69" s="6">
        <v>110</v>
      </c>
      <c r="D69" s="12" t="s">
        <v>21</v>
      </c>
      <c r="E69" s="6">
        <v>1</v>
      </c>
      <c r="F69" s="9">
        <f>(100000)*(F56/J56)</f>
        <v>4.5333333333333328E-3</v>
      </c>
      <c r="G69" s="68">
        <v>4.53</v>
      </c>
      <c r="H69" s="6">
        <v>76</v>
      </c>
      <c r="I69" s="16">
        <v>0.01</v>
      </c>
      <c r="J69" s="9">
        <f t="shared" si="20"/>
        <v>76000</v>
      </c>
      <c r="K69" s="9">
        <f t="shared" si="17"/>
        <v>7600</v>
      </c>
      <c r="L69" s="9"/>
      <c r="M69" s="9"/>
      <c r="N69" s="9"/>
      <c r="O69" s="9"/>
      <c r="P69" s="9"/>
      <c r="Q69" s="68"/>
      <c r="R69" s="68"/>
      <c r="S69" s="6"/>
      <c r="T69" s="6"/>
      <c r="U69" s="6">
        <v>105</v>
      </c>
      <c r="V69" s="6">
        <v>68</v>
      </c>
      <c r="W69" s="6">
        <v>61</v>
      </c>
      <c r="X69" s="6"/>
      <c r="Y69" s="6"/>
      <c r="Z69" s="6"/>
      <c r="AA69" s="6"/>
      <c r="AB69" s="6"/>
      <c r="AC69" s="6"/>
      <c r="AD69" s="9">
        <f>U69/U8</f>
        <v>10500000</v>
      </c>
      <c r="AE69" s="43">
        <f t="shared" si="18"/>
        <v>15.64033326669359</v>
      </c>
      <c r="AF69" s="6"/>
    </row>
    <row r="70" spans="1:32" hidden="1" x14ac:dyDescent="0.25"/>
    <row r="71" spans="1:32" s="87" customFormat="1" hidden="1" x14ac:dyDescent="0.25">
      <c r="A71" s="48">
        <v>44091</v>
      </c>
      <c r="B71" s="42">
        <v>1</v>
      </c>
      <c r="C71" s="6">
        <v>115</v>
      </c>
      <c r="D71" s="57" t="s">
        <v>26</v>
      </c>
      <c r="E71" s="6">
        <v>1</v>
      </c>
      <c r="F71" s="80">
        <f>(100000)*(F58/J58)</f>
        <v>1.2114933001795829E-2</v>
      </c>
      <c r="G71" s="81"/>
      <c r="H71" s="82">
        <v>144</v>
      </c>
      <c r="I71" s="83">
        <v>0.01</v>
      </c>
      <c r="J71" s="84">
        <f>H71/0.001</f>
        <v>144000</v>
      </c>
      <c r="K71" s="84">
        <f t="shared" ref="K71:K82" si="21">H71/I71</f>
        <v>14400</v>
      </c>
      <c r="L71" s="84"/>
      <c r="M71" s="85"/>
      <c r="N71" s="85"/>
      <c r="O71" s="85"/>
      <c r="P71" s="85"/>
      <c r="Q71" s="85"/>
      <c r="R71" s="85"/>
      <c r="S71" s="13">
        <v>96</v>
      </c>
      <c r="T71" s="13"/>
      <c r="U71" s="13">
        <v>8</v>
      </c>
      <c r="V71" s="13"/>
      <c r="W71" s="13"/>
      <c r="X71" s="13"/>
      <c r="Y71" s="13"/>
      <c r="Z71" s="13"/>
      <c r="AA71" s="13"/>
      <c r="AB71" s="13"/>
      <c r="AC71" s="13"/>
      <c r="AD71" s="84">
        <f>S71/S8</f>
        <v>1920000</v>
      </c>
      <c r="AE71" s="86">
        <f t="shared" ref="AE71:AE82" si="22">LN(AD71/K71)/(0.667*LN(2))</f>
        <v>10.583049009075816</v>
      </c>
      <c r="AF71" s="13"/>
    </row>
    <row r="72" spans="1:32" s="87" customFormat="1" hidden="1" x14ac:dyDescent="0.25">
      <c r="A72" s="48">
        <v>44091</v>
      </c>
      <c r="B72" s="42">
        <v>2</v>
      </c>
      <c r="C72" s="6">
        <v>118</v>
      </c>
      <c r="D72" s="12" t="s">
        <v>30</v>
      </c>
      <c r="E72" s="6">
        <v>2</v>
      </c>
      <c r="F72" s="84">
        <f>(100000)*(F62/J62)</f>
        <v>6.9690354919556951E-3</v>
      </c>
      <c r="G72" s="85"/>
      <c r="H72" s="13">
        <v>95</v>
      </c>
      <c r="I72" s="83">
        <v>0.01</v>
      </c>
      <c r="J72" s="84">
        <f t="shared" ref="J72:J78" si="23">H72/0.001</f>
        <v>95000</v>
      </c>
      <c r="K72" s="84">
        <f t="shared" si="21"/>
        <v>9500</v>
      </c>
      <c r="L72" s="84"/>
      <c r="M72" s="85"/>
      <c r="N72" s="85"/>
      <c r="O72" s="85"/>
      <c r="P72" s="85"/>
      <c r="Q72" s="85"/>
      <c r="R72" s="85"/>
      <c r="S72" s="13"/>
      <c r="T72" s="13"/>
      <c r="U72" s="13"/>
      <c r="V72" s="13"/>
      <c r="W72" s="13"/>
      <c r="X72" s="13">
        <v>89</v>
      </c>
      <c r="Y72" s="13"/>
      <c r="Z72" s="13"/>
      <c r="AA72" s="13"/>
      <c r="AB72" s="13"/>
      <c r="AC72" s="13"/>
      <c r="AD72" s="84">
        <f>X72/X8</f>
        <v>44500000</v>
      </c>
      <c r="AE72" s="86">
        <f t="shared" si="22"/>
        <v>18.281244680936879</v>
      </c>
      <c r="AF72" s="13"/>
    </row>
    <row r="73" spans="1:32" s="87" customFormat="1" hidden="1" x14ac:dyDescent="0.25">
      <c r="A73" s="48">
        <v>44091</v>
      </c>
      <c r="B73" s="42">
        <v>3</v>
      </c>
      <c r="C73" s="6">
        <v>116</v>
      </c>
      <c r="D73" s="12" t="s">
        <v>27</v>
      </c>
      <c r="E73" s="6">
        <v>1</v>
      </c>
      <c r="F73" s="84">
        <f>(100000)*(F68/J68)</f>
        <v>1.4207650273224044E-3</v>
      </c>
      <c r="G73" s="85"/>
      <c r="H73" s="13">
        <v>95</v>
      </c>
      <c r="I73" s="83">
        <v>0.01</v>
      </c>
      <c r="J73" s="84">
        <f t="shared" si="23"/>
        <v>95000</v>
      </c>
      <c r="K73" s="84">
        <f t="shared" si="21"/>
        <v>9500</v>
      </c>
      <c r="L73" s="84"/>
      <c r="M73" s="85"/>
      <c r="N73" s="85"/>
      <c r="O73" s="85"/>
      <c r="P73" s="85"/>
      <c r="Q73" s="85"/>
      <c r="R73" s="85"/>
      <c r="S73" s="13"/>
      <c r="T73" s="13"/>
      <c r="U73" s="13"/>
      <c r="V73" s="13"/>
      <c r="W73" s="13"/>
      <c r="X73" s="13"/>
      <c r="Y73" s="13"/>
      <c r="Z73" s="13"/>
      <c r="AA73" s="13">
        <v>53</v>
      </c>
      <c r="AB73" s="13"/>
      <c r="AC73" s="13"/>
      <c r="AD73" s="84">
        <f>AA73/AA8</f>
        <v>106000000</v>
      </c>
      <c r="AE73" s="86">
        <f t="shared" si="22"/>
        <v>20.158586545399853</v>
      </c>
      <c r="AF73" s="13"/>
    </row>
    <row r="74" spans="1:32" s="87" customFormat="1" hidden="1" x14ac:dyDescent="0.25">
      <c r="A74" s="48">
        <v>44091</v>
      </c>
      <c r="B74" s="42">
        <v>4</v>
      </c>
      <c r="C74" s="6">
        <v>114</v>
      </c>
      <c r="D74" s="57" t="s">
        <v>25</v>
      </c>
      <c r="E74" s="6">
        <v>1</v>
      </c>
      <c r="F74" s="84">
        <f>(100000)*(F63/J63)</f>
        <v>1.2223071046600458E-2</v>
      </c>
      <c r="G74" s="85"/>
      <c r="H74" s="13">
        <v>100</v>
      </c>
      <c r="I74" s="83">
        <v>0.01</v>
      </c>
      <c r="J74" s="84">
        <f t="shared" si="23"/>
        <v>100000</v>
      </c>
      <c r="K74" s="84">
        <f t="shared" si="21"/>
        <v>10000</v>
      </c>
      <c r="L74" s="84"/>
      <c r="M74" s="85"/>
      <c r="N74" s="85"/>
      <c r="O74" s="85"/>
      <c r="P74" s="85"/>
      <c r="Q74" s="85"/>
      <c r="R74" s="85"/>
      <c r="S74" s="13"/>
      <c r="T74" s="13">
        <v>72</v>
      </c>
      <c r="U74" s="13">
        <v>34</v>
      </c>
      <c r="V74" s="13"/>
      <c r="W74" s="13"/>
      <c r="X74" s="13"/>
      <c r="Y74" s="13"/>
      <c r="Z74" s="13"/>
      <c r="AA74" s="13"/>
      <c r="AB74" s="13"/>
      <c r="AC74" s="13"/>
      <c r="AD74" s="84">
        <f>T74/T8</f>
        <v>3599999.9999999995</v>
      </c>
      <c r="AE74" s="86">
        <f t="shared" si="22"/>
        <v>12.731413937525749</v>
      </c>
      <c r="AF74" s="13"/>
    </row>
    <row r="75" spans="1:32" s="87" customFormat="1" hidden="1" x14ac:dyDescent="0.25">
      <c r="A75" s="48">
        <v>44091</v>
      </c>
      <c r="B75" s="42">
        <v>5</v>
      </c>
      <c r="C75" s="6">
        <v>110</v>
      </c>
      <c r="D75" s="12" t="s">
        <v>21</v>
      </c>
      <c r="E75" s="6">
        <v>1</v>
      </c>
      <c r="F75" s="84">
        <f>(100000)*(F69/J69)</f>
        <v>5.9649122807017537E-3</v>
      </c>
      <c r="G75" s="85"/>
      <c r="H75" s="13">
        <v>90</v>
      </c>
      <c r="I75" s="83">
        <v>0.01</v>
      </c>
      <c r="J75" s="84">
        <f t="shared" si="23"/>
        <v>90000</v>
      </c>
      <c r="K75" s="84">
        <f t="shared" si="21"/>
        <v>9000</v>
      </c>
      <c r="L75" s="84"/>
      <c r="M75" s="85"/>
      <c r="N75" s="85"/>
      <c r="O75" s="85"/>
      <c r="P75" s="85"/>
      <c r="Q75" s="85"/>
      <c r="R75" s="85"/>
      <c r="S75" s="13"/>
      <c r="T75" s="13"/>
      <c r="U75" s="13"/>
      <c r="V75" s="13"/>
      <c r="W75" s="13">
        <v>30</v>
      </c>
      <c r="X75" s="13"/>
      <c r="Y75" s="13"/>
      <c r="Z75" s="13"/>
      <c r="AA75" s="13"/>
      <c r="AB75" s="13"/>
      <c r="AC75" s="13"/>
      <c r="AD75" s="84">
        <f>W75/W8</f>
        <v>5999999.9999999991</v>
      </c>
      <c r="AE75" s="86">
        <f t="shared" si="22"/>
        <v>14.064200575623584</v>
      </c>
      <c r="AF75" s="13"/>
    </row>
    <row r="76" spans="1:32" s="87" customFormat="1" hidden="1" x14ac:dyDescent="0.25">
      <c r="A76" s="48">
        <v>44091</v>
      </c>
      <c r="B76" s="42">
        <v>6</v>
      </c>
      <c r="C76" s="6">
        <v>109</v>
      </c>
      <c r="D76" s="12" t="s">
        <v>20</v>
      </c>
      <c r="E76" s="6">
        <v>1</v>
      </c>
      <c r="F76" s="84">
        <f>(100000)*(F65/J65)</f>
        <v>1.4739789196310938E-2</v>
      </c>
      <c r="G76" s="85"/>
      <c r="H76" s="13">
        <v>89</v>
      </c>
      <c r="I76" s="83">
        <v>0.01</v>
      </c>
      <c r="J76" s="84">
        <f t="shared" si="23"/>
        <v>89000</v>
      </c>
      <c r="K76" s="84">
        <f t="shared" si="21"/>
        <v>8900</v>
      </c>
      <c r="L76" s="84"/>
      <c r="M76" s="85"/>
      <c r="N76" s="85"/>
      <c r="O76" s="85"/>
      <c r="P76" s="85"/>
      <c r="Q76" s="85">
        <v>109</v>
      </c>
      <c r="R76" s="85">
        <v>100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84">
        <f>Q76/Q8</f>
        <v>1090000</v>
      </c>
      <c r="AE76" s="86">
        <f t="shared" si="22"/>
        <v>10.399260994880441</v>
      </c>
      <c r="AF76" s="13"/>
    </row>
    <row r="77" spans="1:32" s="87" customFormat="1" hidden="1" x14ac:dyDescent="0.25">
      <c r="A77" s="48">
        <v>44091</v>
      </c>
      <c r="B77" s="42">
        <v>7</v>
      </c>
      <c r="C77" s="6">
        <v>117</v>
      </c>
      <c r="D77" s="12" t="s">
        <v>28</v>
      </c>
      <c r="E77" s="6">
        <v>1</v>
      </c>
      <c r="F77" s="84">
        <f>(100000)*(F64/J64)</f>
        <v>4.431753283837807E-4</v>
      </c>
      <c r="G77" s="85"/>
      <c r="H77" s="13">
        <v>79</v>
      </c>
      <c r="I77" s="83">
        <v>0.01</v>
      </c>
      <c r="J77" s="84">
        <f t="shared" si="23"/>
        <v>79000</v>
      </c>
      <c r="K77" s="84">
        <f t="shared" si="21"/>
        <v>7900</v>
      </c>
      <c r="L77" s="84"/>
      <c r="M77" s="85"/>
      <c r="N77" s="85"/>
      <c r="O77" s="85"/>
      <c r="P77" s="85"/>
      <c r="Q77" s="85"/>
      <c r="R77" s="85"/>
      <c r="S77" s="13"/>
      <c r="T77" s="13"/>
      <c r="U77" s="13"/>
      <c r="V77" s="13"/>
      <c r="W77" s="13"/>
      <c r="X77" s="13"/>
      <c r="Y77" s="13"/>
      <c r="Z77" s="13"/>
      <c r="AA77" s="13">
        <v>70</v>
      </c>
      <c r="AB77" s="13"/>
      <c r="AC77" s="13"/>
      <c r="AD77" s="84">
        <f>AA77/AA8</f>
        <v>140000000</v>
      </c>
      <c r="AE77" s="86">
        <f t="shared" si="22"/>
        <v>21.159242351300318</v>
      </c>
      <c r="AF77" s="13"/>
    </row>
    <row r="78" spans="1:32" s="87" customFormat="1" hidden="1" x14ac:dyDescent="0.25">
      <c r="A78" s="48">
        <v>44091</v>
      </c>
      <c r="B78" s="42">
        <v>8</v>
      </c>
      <c r="C78" s="6">
        <v>108</v>
      </c>
      <c r="D78" s="12" t="s">
        <v>19</v>
      </c>
      <c r="E78" s="6">
        <v>1</v>
      </c>
      <c r="F78" s="84">
        <f>(100000)*(F61/J61)</f>
        <v>7.2289156626506017E-3</v>
      </c>
      <c r="G78" s="85"/>
      <c r="H78" s="13">
        <v>93</v>
      </c>
      <c r="I78" s="83">
        <v>0.01</v>
      </c>
      <c r="J78" s="84">
        <f t="shared" si="23"/>
        <v>93000</v>
      </c>
      <c r="K78" s="84">
        <f t="shared" si="21"/>
        <v>9300</v>
      </c>
      <c r="L78" s="84"/>
      <c r="M78" s="85"/>
      <c r="N78" s="85"/>
      <c r="O78" s="85"/>
      <c r="P78" s="85"/>
      <c r="Q78" s="85"/>
      <c r="R78" s="85"/>
      <c r="S78" s="13"/>
      <c r="T78" s="13"/>
      <c r="U78" s="13"/>
      <c r="V78" s="13"/>
      <c r="W78" s="13"/>
      <c r="X78" s="13">
        <v>88</v>
      </c>
      <c r="Y78" s="13"/>
      <c r="Z78" s="13"/>
      <c r="AA78" s="13"/>
      <c r="AB78" s="13"/>
      <c r="AC78" s="13"/>
      <c r="AD78" s="84">
        <f>X78/X8</f>
        <v>44000000</v>
      </c>
      <c r="AE78" s="86">
        <f t="shared" si="22"/>
        <v>18.302826367434356</v>
      </c>
      <c r="AF78" s="13"/>
    </row>
    <row r="79" spans="1:32" s="87" customFormat="1" hidden="1" x14ac:dyDescent="0.25">
      <c r="A79" s="48">
        <v>44091</v>
      </c>
      <c r="B79" s="42">
        <v>9</v>
      </c>
      <c r="C79" s="6">
        <v>111</v>
      </c>
      <c r="D79" s="12" t="s">
        <v>22</v>
      </c>
      <c r="E79" s="6">
        <v>1</v>
      </c>
      <c r="F79" s="84">
        <f>(100000)*(F59/J59)</f>
        <v>3.9977264115195144E-2</v>
      </c>
      <c r="G79" s="85"/>
      <c r="H79" s="13">
        <v>81</v>
      </c>
      <c r="I79" s="83">
        <v>0.01</v>
      </c>
      <c r="J79" s="84">
        <f>H79/0.001</f>
        <v>81000</v>
      </c>
      <c r="K79" s="84">
        <f t="shared" si="21"/>
        <v>8100</v>
      </c>
      <c r="L79" s="84" t="s">
        <v>13</v>
      </c>
      <c r="M79" s="85">
        <v>141</v>
      </c>
      <c r="N79" s="85"/>
      <c r="O79" s="85">
        <v>96</v>
      </c>
      <c r="P79" s="85"/>
      <c r="Q79" s="85"/>
      <c r="R79" s="85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84">
        <f>O79/O8</f>
        <v>192000</v>
      </c>
      <c r="AE79" s="86">
        <f t="shared" si="22"/>
        <v>6.8471373204256274</v>
      </c>
      <c r="AF79" s="13"/>
    </row>
    <row r="80" spans="1:32" s="87" customFormat="1" hidden="1" x14ac:dyDescent="0.25">
      <c r="A80" s="48">
        <v>44091</v>
      </c>
      <c r="B80" s="42">
        <v>10</v>
      </c>
      <c r="C80" s="6">
        <v>100</v>
      </c>
      <c r="D80" s="12" t="s">
        <v>10</v>
      </c>
      <c r="E80" s="6">
        <v>1</v>
      </c>
      <c r="F80" s="84">
        <f>(100000)*(F60/J60)</f>
        <v>2.9889228218828085E-3</v>
      </c>
      <c r="G80" s="85"/>
      <c r="H80" s="13">
        <v>66</v>
      </c>
      <c r="I80" s="83">
        <v>0.01</v>
      </c>
      <c r="J80" s="84">
        <f t="shared" ref="J80:J82" si="24">H80/0.001</f>
        <v>66000</v>
      </c>
      <c r="K80" s="84">
        <f t="shared" si="21"/>
        <v>6600</v>
      </c>
      <c r="L80" s="84"/>
      <c r="M80" s="85"/>
      <c r="N80" s="85"/>
      <c r="O80" s="85"/>
      <c r="P80" s="85"/>
      <c r="Q80" s="85"/>
      <c r="R80" s="85"/>
      <c r="S80" s="13"/>
      <c r="T80" s="13"/>
      <c r="U80" s="13"/>
      <c r="V80" s="13"/>
      <c r="W80" s="13"/>
      <c r="X80" s="13"/>
      <c r="Y80" s="13"/>
      <c r="Z80" s="13"/>
      <c r="AA80" s="13">
        <v>98</v>
      </c>
      <c r="AB80" s="13"/>
      <c r="AC80" s="13"/>
      <c r="AD80" s="84">
        <f>AA80/AA8</f>
        <v>196000000</v>
      </c>
      <c r="AE80" s="86">
        <f t="shared" si="22"/>
        <v>22.275904204357129</v>
      </c>
      <c r="AF80" s="13"/>
    </row>
    <row r="81" spans="1:32" s="87" customFormat="1" hidden="1" x14ac:dyDescent="0.25">
      <c r="A81" s="48">
        <v>44091</v>
      </c>
      <c r="B81" s="42">
        <v>11</v>
      </c>
      <c r="C81" s="6">
        <v>113</v>
      </c>
      <c r="D81" s="57" t="s">
        <v>24</v>
      </c>
      <c r="E81" s="6">
        <v>1</v>
      </c>
      <c r="F81" s="84">
        <f>(100000)*(F67/J67)</f>
        <v>1.1603297649809278E-2</v>
      </c>
      <c r="G81" s="85"/>
      <c r="H81" s="13">
        <v>111</v>
      </c>
      <c r="I81" s="83">
        <v>0.01</v>
      </c>
      <c r="J81" s="84">
        <f t="shared" si="24"/>
        <v>111000</v>
      </c>
      <c r="K81" s="84">
        <f t="shared" si="21"/>
        <v>11100</v>
      </c>
      <c r="L81" s="84"/>
      <c r="M81" s="85"/>
      <c r="N81" s="85"/>
      <c r="O81" s="85"/>
      <c r="P81" s="85"/>
      <c r="Q81" s="85"/>
      <c r="R81" s="85"/>
      <c r="S81" s="13"/>
      <c r="T81" s="13"/>
      <c r="U81" s="13"/>
      <c r="V81" s="13"/>
      <c r="W81" s="13">
        <v>67</v>
      </c>
      <c r="X81" s="13">
        <v>23</v>
      </c>
      <c r="Y81" s="13"/>
      <c r="Z81" s="13"/>
      <c r="AA81" s="13"/>
      <c r="AB81" s="13"/>
      <c r="AC81" s="13"/>
      <c r="AD81" s="84">
        <f>W81/W8</f>
        <v>13399999.999999998</v>
      </c>
      <c r="AE81" s="86">
        <f t="shared" si="22"/>
        <v>15.348512157076092</v>
      </c>
      <c r="AF81" s="13"/>
    </row>
    <row r="82" spans="1:32" s="87" customFormat="1" hidden="1" x14ac:dyDescent="0.25">
      <c r="A82" s="48">
        <v>44091</v>
      </c>
      <c r="B82" s="42">
        <v>12</v>
      </c>
      <c r="C82" s="6">
        <v>112</v>
      </c>
      <c r="D82" s="57" t="s">
        <v>23</v>
      </c>
      <c r="E82" s="6">
        <v>1</v>
      </c>
      <c r="F82" s="84">
        <f>(100000)*(F66/J66)</f>
        <v>2.0456333595594019E-2</v>
      </c>
      <c r="G82" s="85"/>
      <c r="H82" s="13">
        <v>71</v>
      </c>
      <c r="I82" s="83">
        <v>0.01</v>
      </c>
      <c r="J82" s="84">
        <f t="shared" si="24"/>
        <v>71000</v>
      </c>
      <c r="K82" s="84">
        <f t="shared" si="21"/>
        <v>7100</v>
      </c>
      <c r="L82" s="84"/>
      <c r="M82" s="85"/>
      <c r="N82" s="85"/>
      <c r="O82" s="85"/>
      <c r="P82" s="85"/>
      <c r="Q82" s="85"/>
      <c r="R82" s="85"/>
      <c r="S82" s="13"/>
      <c r="T82" s="13"/>
      <c r="U82" s="13"/>
      <c r="V82" s="13"/>
      <c r="W82" s="13">
        <v>136</v>
      </c>
      <c r="X82" s="13"/>
      <c r="Y82" s="13"/>
      <c r="Z82" s="13"/>
      <c r="AA82" s="13"/>
      <c r="AB82" s="13"/>
      <c r="AC82" s="13"/>
      <c r="AD82" s="84">
        <f>W82/W8</f>
        <v>27199999.999999996</v>
      </c>
      <c r="AE82" s="86">
        <f t="shared" si="22"/>
        <v>17.846326846188521</v>
      </c>
      <c r="AF82" s="13"/>
    </row>
    <row r="83" spans="1:32" hidden="1" x14ac:dyDescent="0.25"/>
    <row r="84" spans="1:32" hidden="1" x14ac:dyDescent="0.25">
      <c r="A84" s="48">
        <v>44095</v>
      </c>
      <c r="B84" s="42">
        <v>1</v>
      </c>
      <c r="C84" s="12">
        <v>100</v>
      </c>
      <c r="D84" s="12" t="s">
        <v>10</v>
      </c>
      <c r="E84" s="12">
        <v>1</v>
      </c>
      <c r="F84" s="80">
        <f>(100000)*(F80/J80)</f>
        <v>4.5286709422466803E-3</v>
      </c>
      <c r="G84" s="81"/>
      <c r="H84" s="82">
        <v>110</v>
      </c>
      <c r="I84" s="83">
        <v>0.01</v>
      </c>
      <c r="J84" s="84">
        <f>H84/0.001</f>
        <v>110000</v>
      </c>
      <c r="K84" s="84">
        <f t="shared" ref="K84:K99" si="25">H84/I84</f>
        <v>11000</v>
      </c>
      <c r="L84" s="84"/>
      <c r="M84" s="85"/>
      <c r="N84" s="85"/>
      <c r="O84" s="85"/>
      <c r="P84" s="85"/>
      <c r="Q84" s="85"/>
      <c r="R84" s="85"/>
      <c r="S84" s="13"/>
      <c r="T84" s="13"/>
      <c r="U84" s="13"/>
      <c r="V84" s="13"/>
      <c r="W84" s="13"/>
      <c r="X84" s="13"/>
      <c r="Y84" s="13"/>
      <c r="Z84" s="13"/>
      <c r="AA84" s="13">
        <v>111</v>
      </c>
      <c r="AB84" s="13">
        <v>43</v>
      </c>
      <c r="AC84" s="13"/>
      <c r="AD84" s="84">
        <f>AA84/AA8</f>
        <v>222000000</v>
      </c>
      <c r="AE84" s="86">
        <f t="shared" ref="AE84:AE99" si="26">LN(AD84/K84)/(0.667*LN(2))</f>
        <v>21.44043258227121</v>
      </c>
      <c r="AF84" s="13"/>
    </row>
    <row r="85" spans="1:32" hidden="1" x14ac:dyDescent="0.25">
      <c r="A85" s="48">
        <v>44095</v>
      </c>
      <c r="B85" s="42">
        <v>2</v>
      </c>
      <c r="C85" s="12">
        <v>115</v>
      </c>
      <c r="D85" s="12" t="s">
        <v>26</v>
      </c>
      <c r="E85" s="12">
        <v>1</v>
      </c>
      <c r="F85" s="90">
        <f>(100000)*(F71/J71)</f>
        <v>8.4131479179137703E-3</v>
      </c>
      <c r="G85" s="91"/>
      <c r="H85" s="92">
        <v>89</v>
      </c>
      <c r="I85" s="83">
        <v>0.01</v>
      </c>
      <c r="J85" s="84">
        <f t="shared" ref="J85:J91" si="27">H85/0.001</f>
        <v>89000</v>
      </c>
      <c r="K85" s="84">
        <f t="shared" si="25"/>
        <v>8900</v>
      </c>
      <c r="L85" s="84"/>
      <c r="M85" s="85"/>
      <c r="N85" s="85"/>
      <c r="O85" s="85"/>
      <c r="P85" s="85"/>
      <c r="Q85" s="85"/>
      <c r="R85" s="85">
        <v>94</v>
      </c>
      <c r="S85" s="13">
        <v>74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84">
        <f>R85/R8</f>
        <v>1342857.142857143</v>
      </c>
      <c r="AE85" s="86">
        <f t="shared" si="26"/>
        <v>10.850501924011578</v>
      </c>
      <c r="AF85" s="13"/>
    </row>
    <row r="86" spans="1:32" hidden="1" x14ac:dyDescent="0.25">
      <c r="A86" s="48">
        <v>44095</v>
      </c>
      <c r="B86" s="42">
        <v>3</v>
      </c>
      <c r="C86" s="12">
        <v>129</v>
      </c>
      <c r="D86" s="92" t="s">
        <v>49</v>
      </c>
      <c r="E86" s="92">
        <v>2</v>
      </c>
      <c r="F86" s="90">
        <v>4.5871559633027525E-3</v>
      </c>
      <c r="G86" s="91"/>
      <c r="H86" s="92">
        <v>79</v>
      </c>
      <c r="I86" s="83">
        <v>0.01</v>
      </c>
      <c r="J86" s="84">
        <f t="shared" si="27"/>
        <v>79000</v>
      </c>
      <c r="K86" s="84">
        <f t="shared" si="25"/>
        <v>7900</v>
      </c>
      <c r="L86" s="84"/>
      <c r="M86" s="85"/>
      <c r="N86" s="85"/>
      <c r="O86" s="85"/>
      <c r="P86" s="85"/>
      <c r="Q86" s="85"/>
      <c r="R86" s="85"/>
      <c r="S86" s="13"/>
      <c r="T86" s="13"/>
      <c r="U86" s="13"/>
      <c r="V86" s="13"/>
      <c r="W86" s="13">
        <v>107</v>
      </c>
      <c r="X86" s="13"/>
      <c r="Y86" s="13">
        <v>20</v>
      </c>
      <c r="Z86" s="13"/>
      <c r="AA86" s="13">
        <v>9</v>
      </c>
      <c r="AB86" s="13"/>
      <c r="AC86" s="13"/>
      <c r="AD86" s="84">
        <f>W86/W8</f>
        <v>21400000</v>
      </c>
      <c r="AE86" s="86">
        <f t="shared" si="26"/>
        <v>17.096657455601395</v>
      </c>
      <c r="AF86" s="13"/>
    </row>
    <row r="87" spans="1:32" hidden="1" x14ac:dyDescent="0.25">
      <c r="A87" s="48">
        <v>44095</v>
      </c>
      <c r="B87" s="42">
        <v>4</v>
      </c>
      <c r="C87" s="12">
        <v>119</v>
      </c>
      <c r="D87" s="92" t="s">
        <v>32</v>
      </c>
      <c r="E87" s="92">
        <v>1</v>
      </c>
      <c r="F87" s="55">
        <v>7.8125000000000004E-4</v>
      </c>
      <c r="G87" s="91"/>
      <c r="H87" s="92">
        <v>84</v>
      </c>
      <c r="I87" s="83">
        <v>0.01</v>
      </c>
      <c r="J87" s="84">
        <f t="shared" si="27"/>
        <v>84000</v>
      </c>
      <c r="K87" s="84">
        <f t="shared" si="25"/>
        <v>8400</v>
      </c>
      <c r="L87" s="84"/>
      <c r="M87" s="85"/>
      <c r="N87" s="85"/>
      <c r="O87" s="85"/>
      <c r="P87" s="85"/>
      <c r="Q87" s="85"/>
      <c r="R87" s="85"/>
      <c r="S87" s="13"/>
      <c r="T87" s="13"/>
      <c r="U87" s="13"/>
      <c r="V87" s="13"/>
      <c r="W87" s="13" t="s">
        <v>164</v>
      </c>
      <c r="X87" s="13"/>
      <c r="Y87" s="13">
        <v>72</v>
      </c>
      <c r="Z87" s="13"/>
      <c r="AA87" s="13">
        <v>51</v>
      </c>
      <c r="AB87" s="13"/>
      <c r="AC87" s="13"/>
      <c r="AD87" s="84">
        <f>Y87/Y8</f>
        <v>72000000</v>
      </c>
      <c r="AE87" s="86">
        <f t="shared" si="26"/>
        <v>19.588185844397305</v>
      </c>
      <c r="AF87" s="13"/>
    </row>
    <row r="88" spans="1:32" hidden="1" x14ac:dyDescent="0.25">
      <c r="A88" s="48">
        <v>44095</v>
      </c>
      <c r="B88" s="42">
        <v>5</v>
      </c>
      <c r="C88" s="12">
        <v>123</v>
      </c>
      <c r="D88" s="92" t="s">
        <v>38</v>
      </c>
      <c r="E88" s="92">
        <v>1</v>
      </c>
      <c r="F88" s="90">
        <v>2.7397260273972603E-3</v>
      </c>
      <c r="G88" s="91"/>
      <c r="H88" s="92">
        <v>132</v>
      </c>
      <c r="I88" s="83">
        <v>0.01</v>
      </c>
      <c r="J88" s="84">
        <f t="shared" si="27"/>
        <v>132000</v>
      </c>
      <c r="K88" s="84">
        <f t="shared" si="25"/>
        <v>13200</v>
      </c>
      <c r="L88" s="84"/>
      <c r="M88" s="85"/>
      <c r="N88" s="85"/>
      <c r="O88" s="85"/>
      <c r="P88" s="85"/>
      <c r="Q88" s="85"/>
      <c r="R88" s="85"/>
      <c r="S88" s="13"/>
      <c r="T88" s="13"/>
      <c r="U88" s="13"/>
      <c r="V88" s="13"/>
      <c r="W88" s="76">
        <v>20</v>
      </c>
      <c r="X88" s="76"/>
      <c r="Y88" s="76">
        <v>5</v>
      </c>
      <c r="Z88" s="76"/>
      <c r="AA88" s="76">
        <v>4</v>
      </c>
      <c r="AB88" s="76"/>
      <c r="AC88" s="76"/>
      <c r="AD88" s="78">
        <f>W88/W8</f>
        <v>3999999.9999999995</v>
      </c>
      <c r="AE88" s="79">
        <f t="shared" si="26"/>
        <v>12.358797991290848</v>
      </c>
      <c r="AF88" s="13"/>
    </row>
    <row r="89" spans="1:32" hidden="1" x14ac:dyDescent="0.25">
      <c r="A89" s="48">
        <v>44095</v>
      </c>
      <c r="B89" s="42">
        <v>6</v>
      </c>
      <c r="C89" s="12">
        <v>121</v>
      </c>
      <c r="D89" s="92" t="s">
        <v>34</v>
      </c>
      <c r="E89" s="92">
        <v>1</v>
      </c>
      <c r="F89" s="90">
        <v>4.9504950495049506E-4</v>
      </c>
      <c r="G89" s="91"/>
      <c r="H89" s="92">
        <v>94</v>
      </c>
      <c r="I89" s="83">
        <v>0.01</v>
      </c>
      <c r="J89" s="84">
        <f t="shared" si="27"/>
        <v>94000</v>
      </c>
      <c r="K89" s="84">
        <f t="shared" si="25"/>
        <v>9400</v>
      </c>
      <c r="L89" s="84"/>
      <c r="M89" s="85"/>
      <c r="N89" s="85"/>
      <c r="O89" s="85"/>
      <c r="P89" s="85"/>
      <c r="Q89" s="85"/>
      <c r="R89" s="85"/>
      <c r="S89" s="13"/>
      <c r="T89" s="13"/>
      <c r="U89" s="13"/>
      <c r="V89" s="13"/>
      <c r="W89" s="13">
        <v>194</v>
      </c>
      <c r="X89" s="13"/>
      <c r="Y89" s="13">
        <v>41</v>
      </c>
      <c r="Z89" s="13"/>
      <c r="AA89" s="13">
        <v>23</v>
      </c>
      <c r="AB89" s="13"/>
      <c r="AC89" s="13"/>
      <c r="AD89" s="84">
        <f>W89/W8</f>
        <v>38800000</v>
      </c>
      <c r="AE89" s="86">
        <f t="shared" si="26"/>
        <v>18.007658583465634</v>
      </c>
      <c r="AF89" s="13"/>
    </row>
    <row r="90" spans="1:32" hidden="1" x14ac:dyDescent="0.25">
      <c r="A90" s="48">
        <v>44095</v>
      </c>
      <c r="B90" s="42">
        <v>7</v>
      </c>
      <c r="C90" s="12">
        <v>124</v>
      </c>
      <c r="D90" s="92" t="s">
        <v>39</v>
      </c>
      <c r="E90" s="92">
        <v>1</v>
      </c>
      <c r="F90" s="90">
        <v>5.8823529411764701E-4</v>
      </c>
      <c r="G90" s="91"/>
      <c r="H90" s="92">
        <v>76</v>
      </c>
      <c r="I90" s="83">
        <v>0.01</v>
      </c>
      <c r="J90" s="84">
        <f t="shared" si="27"/>
        <v>76000</v>
      </c>
      <c r="K90" s="84">
        <f t="shared" si="25"/>
        <v>7600</v>
      </c>
      <c r="L90" s="84"/>
      <c r="M90" s="85"/>
      <c r="N90" s="85"/>
      <c r="O90" s="85"/>
      <c r="P90" s="85"/>
      <c r="Q90" s="85"/>
      <c r="R90" s="85"/>
      <c r="S90" s="13"/>
      <c r="T90" s="13"/>
      <c r="U90" s="13"/>
      <c r="V90" s="13"/>
      <c r="W90" s="13">
        <v>132</v>
      </c>
      <c r="X90" s="13"/>
      <c r="Y90" s="13">
        <v>35</v>
      </c>
      <c r="Z90" s="13"/>
      <c r="AA90" s="13">
        <v>21</v>
      </c>
      <c r="AB90" s="13"/>
      <c r="AC90" s="13"/>
      <c r="AD90" s="84">
        <f>W90/W8</f>
        <v>26399999.999999996</v>
      </c>
      <c r="AE90" s="86">
        <f t="shared" si="26"/>
        <v>17.634559056337263</v>
      </c>
      <c r="AF90" s="13"/>
    </row>
    <row r="91" spans="1:32" hidden="1" x14ac:dyDescent="0.25">
      <c r="A91" s="48">
        <v>44095</v>
      </c>
      <c r="B91" s="42">
        <v>8</v>
      </c>
      <c r="C91" s="12">
        <v>120</v>
      </c>
      <c r="D91" s="92" t="s">
        <v>33</v>
      </c>
      <c r="E91" s="92">
        <v>1</v>
      </c>
      <c r="F91" s="90">
        <v>1.8867924528301886E-2</v>
      </c>
      <c r="G91" s="91"/>
      <c r="H91" s="92">
        <v>134</v>
      </c>
      <c r="I91" s="83">
        <v>0.01</v>
      </c>
      <c r="J91" s="84">
        <f t="shared" si="27"/>
        <v>134000</v>
      </c>
      <c r="K91" s="84">
        <f t="shared" si="25"/>
        <v>13400</v>
      </c>
      <c r="L91" s="84"/>
      <c r="M91" s="85"/>
      <c r="N91" s="85"/>
      <c r="O91" s="85"/>
      <c r="P91" s="85"/>
      <c r="Q91" s="85"/>
      <c r="R91" s="85"/>
      <c r="S91" s="13"/>
      <c r="T91" s="13"/>
      <c r="U91" s="13"/>
      <c r="V91" s="13"/>
      <c r="W91" s="76">
        <v>9</v>
      </c>
      <c r="X91" s="76"/>
      <c r="Y91" s="76">
        <v>4</v>
      </c>
      <c r="Z91" s="76"/>
      <c r="AA91" s="76">
        <v>0</v>
      </c>
      <c r="AB91" s="76"/>
      <c r="AC91" s="76"/>
      <c r="AD91" s="78">
        <f>W91/W8</f>
        <v>1799999.9999999998</v>
      </c>
      <c r="AE91" s="79">
        <f t="shared" si="26"/>
        <v>10.59913057818085</v>
      </c>
      <c r="AF91" s="13"/>
    </row>
    <row r="92" spans="1:32" hidden="1" x14ac:dyDescent="0.25">
      <c r="A92" s="48">
        <v>44095</v>
      </c>
      <c r="B92" s="42">
        <v>9</v>
      </c>
      <c r="C92" s="12">
        <v>130</v>
      </c>
      <c r="D92" s="92" t="s">
        <v>50</v>
      </c>
      <c r="E92" s="92">
        <v>1</v>
      </c>
      <c r="F92" s="90">
        <v>1.8867924528301887E-3</v>
      </c>
      <c r="G92" s="91"/>
      <c r="H92" s="92">
        <v>89</v>
      </c>
      <c r="I92" s="83">
        <v>0.01</v>
      </c>
      <c r="J92" s="84">
        <f>H92/0.001</f>
        <v>89000</v>
      </c>
      <c r="K92" s="84">
        <f t="shared" si="25"/>
        <v>8900</v>
      </c>
      <c r="L92" s="84"/>
      <c r="M92" s="85"/>
      <c r="N92" s="85"/>
      <c r="O92" s="85"/>
      <c r="P92" s="85"/>
      <c r="Q92" s="85"/>
      <c r="R92" s="85"/>
      <c r="S92" s="13"/>
      <c r="T92" s="13"/>
      <c r="U92" s="13"/>
      <c r="V92" s="13"/>
      <c r="W92" s="76">
        <v>10</v>
      </c>
      <c r="X92" s="76"/>
      <c r="Y92" s="76">
        <v>3</v>
      </c>
      <c r="Z92" s="76"/>
      <c r="AA92" s="76">
        <v>3</v>
      </c>
      <c r="AB92" s="76"/>
      <c r="AC92" s="76"/>
      <c r="AD92" s="78">
        <f>W92/W8</f>
        <v>1999999.9999999998</v>
      </c>
      <c r="AE92" s="79">
        <f t="shared" si="26"/>
        <v>11.712112366691233</v>
      </c>
      <c r="AF92" s="13"/>
    </row>
    <row r="93" spans="1:32" hidden="1" x14ac:dyDescent="0.25">
      <c r="A93" s="48">
        <v>44095</v>
      </c>
      <c r="B93" s="42">
        <v>10</v>
      </c>
      <c r="C93" s="12">
        <v>128</v>
      </c>
      <c r="D93" s="92" t="s">
        <v>48</v>
      </c>
      <c r="E93" s="92">
        <v>1</v>
      </c>
      <c r="F93" s="90">
        <v>1.4705882352941176E-3</v>
      </c>
      <c r="G93" s="91"/>
      <c r="H93" s="92">
        <v>79</v>
      </c>
      <c r="I93" s="83">
        <v>0.01</v>
      </c>
      <c r="J93" s="84">
        <f t="shared" ref="J93:J99" si="28">H93/0.001</f>
        <v>79000</v>
      </c>
      <c r="K93" s="84">
        <f t="shared" si="25"/>
        <v>7900</v>
      </c>
      <c r="L93" s="84"/>
      <c r="M93" s="85"/>
      <c r="N93" s="85"/>
      <c r="O93" s="85"/>
      <c r="P93" s="85"/>
      <c r="Q93" s="85"/>
      <c r="R93" s="85"/>
      <c r="S93" s="13"/>
      <c r="T93" s="13"/>
      <c r="U93" s="13"/>
      <c r="V93" s="13"/>
      <c r="W93" s="76">
        <v>9</v>
      </c>
      <c r="X93" s="76"/>
      <c r="Y93" s="76">
        <v>2</v>
      </c>
      <c r="Z93" s="76"/>
      <c r="AA93" s="76">
        <v>0</v>
      </c>
      <c r="AB93" s="76"/>
      <c r="AC93" s="76"/>
      <c r="AD93" s="78">
        <f>W93/W8</f>
        <v>1799999.9999999998</v>
      </c>
      <c r="AE93" s="79">
        <f t="shared" si="26"/>
        <v>11.742021795992947</v>
      </c>
      <c r="AF93" s="13"/>
    </row>
    <row r="94" spans="1:32" hidden="1" x14ac:dyDescent="0.25">
      <c r="A94" s="48">
        <v>44095</v>
      </c>
      <c r="B94" s="42">
        <v>11</v>
      </c>
      <c r="C94" s="12">
        <v>109</v>
      </c>
      <c r="D94" s="12" t="s">
        <v>20</v>
      </c>
      <c r="E94" s="12">
        <v>1</v>
      </c>
      <c r="F94" s="90">
        <f>(100000)*(F76/J76)</f>
        <v>1.6561560894731393E-2</v>
      </c>
      <c r="G94" s="91"/>
      <c r="H94" s="92">
        <v>101</v>
      </c>
      <c r="I94" s="83">
        <v>0.01</v>
      </c>
      <c r="J94" s="84">
        <f t="shared" si="28"/>
        <v>101000</v>
      </c>
      <c r="K94" s="84">
        <f t="shared" si="25"/>
        <v>10100</v>
      </c>
      <c r="L94" s="84"/>
      <c r="M94" s="85"/>
      <c r="N94" s="85"/>
      <c r="O94" s="85"/>
      <c r="P94" s="85"/>
      <c r="Q94" s="85">
        <v>106</v>
      </c>
      <c r="R94" s="85">
        <v>78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4">
        <f>Q94/Q8</f>
        <v>1060000</v>
      </c>
      <c r="AE94" s="86">
        <f t="shared" si="26"/>
        <v>10.065315084836776</v>
      </c>
      <c r="AF94" s="13"/>
    </row>
    <row r="95" spans="1:32" hidden="1" x14ac:dyDescent="0.25">
      <c r="A95" s="48">
        <v>44095</v>
      </c>
      <c r="B95" s="42">
        <v>12</v>
      </c>
      <c r="C95" s="12">
        <v>111</v>
      </c>
      <c r="D95" s="12" t="s">
        <v>22</v>
      </c>
      <c r="E95" s="12">
        <v>1</v>
      </c>
      <c r="F95" s="90">
        <f>(100000)*(F79/J79)</f>
        <v>4.935464705579648E-2</v>
      </c>
      <c r="G95" s="91"/>
      <c r="H95" s="92">
        <v>105</v>
      </c>
      <c r="I95" s="83">
        <v>0.01</v>
      </c>
      <c r="J95" s="84">
        <f t="shared" si="28"/>
        <v>105000</v>
      </c>
      <c r="K95" s="84">
        <f t="shared" si="25"/>
        <v>10500</v>
      </c>
      <c r="L95" s="84"/>
      <c r="M95" s="85">
        <v>194</v>
      </c>
      <c r="N95" s="85"/>
      <c r="O95" s="85">
        <v>85</v>
      </c>
      <c r="P95" s="85"/>
      <c r="Q95" s="85"/>
      <c r="R95" s="85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84">
        <f>O95/O8</f>
        <v>170000</v>
      </c>
      <c r="AE95" s="86">
        <f t="shared" si="26"/>
        <v>6.022598970553136</v>
      </c>
      <c r="AF95" s="13"/>
    </row>
    <row r="96" spans="1:32" hidden="1" x14ac:dyDescent="0.25">
      <c r="A96" s="48">
        <v>44095</v>
      </c>
      <c r="B96" s="42">
        <v>13</v>
      </c>
      <c r="C96" s="92">
        <v>127</v>
      </c>
      <c r="D96" s="92" t="s">
        <v>46</v>
      </c>
      <c r="E96" s="92">
        <v>1</v>
      </c>
      <c r="F96" s="55">
        <v>2.2988505747126436E-3</v>
      </c>
      <c r="G96" s="12"/>
      <c r="H96" s="12">
        <v>147</v>
      </c>
      <c r="I96" s="83">
        <v>0.01</v>
      </c>
      <c r="J96" s="84">
        <f t="shared" si="28"/>
        <v>147000</v>
      </c>
      <c r="K96" s="84">
        <f t="shared" si="25"/>
        <v>14700</v>
      </c>
      <c r="L96" s="6"/>
      <c r="M96" s="6"/>
      <c r="N96" s="6"/>
      <c r="O96" s="6"/>
      <c r="P96" s="6"/>
      <c r="Q96" s="68"/>
      <c r="R96" s="68"/>
      <c r="S96" s="6"/>
      <c r="T96" s="6"/>
      <c r="U96" s="6"/>
      <c r="V96" s="6"/>
      <c r="W96" s="76">
        <v>28</v>
      </c>
      <c r="X96" s="76"/>
      <c r="Y96" s="76">
        <v>11</v>
      </c>
      <c r="Z96" s="76"/>
      <c r="AA96" s="76">
        <v>4</v>
      </c>
      <c r="AB96" s="76"/>
      <c r="AC96" s="76"/>
      <c r="AD96" s="78">
        <f>W96/W8</f>
        <v>5600000</v>
      </c>
      <c r="AE96" s="79">
        <f t="shared" si="26"/>
        <v>12.853773406121931</v>
      </c>
      <c r="AF96" s="6"/>
    </row>
    <row r="97" spans="1:32" hidden="1" x14ac:dyDescent="0.25">
      <c r="A97" s="48">
        <v>44095</v>
      </c>
      <c r="B97" s="42">
        <v>14</v>
      </c>
      <c r="C97" s="12">
        <v>122</v>
      </c>
      <c r="D97" s="92" t="s">
        <v>36</v>
      </c>
      <c r="E97" s="92">
        <v>1</v>
      </c>
      <c r="F97" s="55">
        <v>2.2727272727272726E-3</v>
      </c>
      <c r="G97" s="12"/>
      <c r="H97" s="12">
        <v>116</v>
      </c>
      <c r="I97" s="83">
        <v>0.01</v>
      </c>
      <c r="J97" s="84">
        <f t="shared" si="28"/>
        <v>116000</v>
      </c>
      <c r="K97" s="84">
        <f t="shared" si="25"/>
        <v>11600</v>
      </c>
      <c r="L97" s="6"/>
      <c r="M97" s="6"/>
      <c r="N97" s="6"/>
      <c r="O97" s="6"/>
      <c r="P97" s="6"/>
      <c r="Q97" s="68"/>
      <c r="R97" s="68"/>
      <c r="S97" s="6"/>
      <c r="T97" s="6"/>
      <c r="U97" s="6"/>
      <c r="V97" s="6"/>
      <c r="W97" s="6">
        <v>45</v>
      </c>
      <c r="X97" s="6"/>
      <c r="Y97" s="6">
        <v>13</v>
      </c>
      <c r="Z97" s="6"/>
      <c r="AA97" s="6">
        <v>6</v>
      </c>
      <c r="AB97" s="6"/>
      <c r="AC97" s="6"/>
      <c r="AD97" s="84">
        <f>W97/W8</f>
        <v>9000000</v>
      </c>
      <c r="AE97" s="86">
        <f t="shared" si="26"/>
        <v>14.392288434578996</v>
      </c>
      <c r="AF97" s="6"/>
    </row>
    <row r="98" spans="1:32" hidden="1" x14ac:dyDescent="0.25">
      <c r="A98" s="48">
        <v>44095</v>
      </c>
      <c r="B98" s="42">
        <v>15</v>
      </c>
      <c r="C98" s="12">
        <v>114</v>
      </c>
      <c r="D98" s="12" t="s">
        <v>25</v>
      </c>
      <c r="E98" s="12">
        <v>1</v>
      </c>
      <c r="F98" s="55">
        <f>(100000)*(F74/J74)</f>
        <v>1.2223071046600458E-2</v>
      </c>
      <c r="G98" s="12"/>
      <c r="H98" s="12">
        <v>97</v>
      </c>
      <c r="I98" s="83">
        <v>0.01</v>
      </c>
      <c r="J98" s="84">
        <f t="shared" si="28"/>
        <v>97000</v>
      </c>
      <c r="K98" s="84">
        <f t="shared" si="25"/>
        <v>9700</v>
      </c>
      <c r="L98" s="6"/>
      <c r="M98" s="6"/>
      <c r="N98" s="6"/>
      <c r="O98" s="6"/>
      <c r="P98" s="6"/>
      <c r="Q98" s="68"/>
      <c r="R98" s="68"/>
      <c r="S98" s="6"/>
      <c r="T98" s="6">
        <v>68</v>
      </c>
      <c r="U98" s="6">
        <v>40</v>
      </c>
      <c r="V98" s="6"/>
      <c r="W98" s="6"/>
      <c r="X98" s="6"/>
      <c r="Y98" s="6"/>
      <c r="Z98" s="6"/>
      <c r="AA98" s="6"/>
      <c r="AB98" s="6"/>
      <c r="AC98" s="6"/>
      <c r="AD98" s="84">
        <f>T98/T8</f>
        <v>3399999.9999999995</v>
      </c>
      <c r="AE98" s="86">
        <f t="shared" si="26"/>
        <v>12.673664593291303</v>
      </c>
      <c r="AF98" s="6"/>
    </row>
    <row r="99" spans="1:32" hidden="1" x14ac:dyDescent="0.25">
      <c r="A99" s="48">
        <v>44095</v>
      </c>
      <c r="B99" s="42">
        <v>16</v>
      </c>
      <c r="C99" s="12">
        <v>125</v>
      </c>
      <c r="D99" s="92" t="s">
        <v>40</v>
      </c>
      <c r="E99" s="92">
        <v>1</v>
      </c>
      <c r="F99" s="55">
        <v>8.9285714285714283E-4</v>
      </c>
      <c r="G99" s="12"/>
      <c r="H99" s="12">
        <v>123</v>
      </c>
      <c r="I99" s="83">
        <v>0.01</v>
      </c>
      <c r="J99" s="84">
        <f t="shared" si="28"/>
        <v>123000</v>
      </c>
      <c r="K99" s="84">
        <f t="shared" si="25"/>
        <v>12300</v>
      </c>
      <c r="L99" s="6"/>
      <c r="M99" s="6"/>
      <c r="N99" s="6"/>
      <c r="O99" s="6"/>
      <c r="P99" s="6"/>
      <c r="Q99" s="68"/>
      <c r="R99" s="68"/>
      <c r="S99" s="6"/>
      <c r="T99" s="6"/>
      <c r="U99" s="6"/>
      <c r="V99" s="6"/>
      <c r="W99" s="6">
        <v>84</v>
      </c>
      <c r="X99" s="6"/>
      <c r="Y99" s="6">
        <v>18</v>
      </c>
      <c r="Z99" s="6"/>
      <c r="AA99" s="6">
        <v>7</v>
      </c>
      <c r="AB99" s="6"/>
      <c r="AC99" s="6"/>
      <c r="AD99" s="84">
        <f>W99/W8</f>
        <v>16800000</v>
      </c>
      <c r="AE99" s="86">
        <f t="shared" si="26"/>
        <v>15.61557301664409</v>
      </c>
      <c r="AF99" s="6"/>
    </row>
    <row r="100" spans="1:32" hidden="1" x14ac:dyDescent="0.25">
      <c r="A100" s="94"/>
      <c r="B100" s="56"/>
      <c r="C100" s="69"/>
      <c r="D100" s="93"/>
      <c r="E100" s="93"/>
      <c r="F100" s="95"/>
      <c r="G100" s="69"/>
      <c r="H100" s="69"/>
      <c r="I100" s="96"/>
      <c r="J100" s="97"/>
      <c r="K100" s="97"/>
      <c r="L100" s="35"/>
      <c r="M100" s="35"/>
      <c r="N100" s="35"/>
      <c r="O100" s="35"/>
      <c r="P100" s="35"/>
      <c r="Q100" s="75"/>
      <c r="R100" s="7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97"/>
      <c r="AE100" s="89"/>
      <c r="AF100" s="35"/>
    </row>
    <row r="101" spans="1:32" hidden="1" x14ac:dyDescent="0.25">
      <c r="A101" s="48">
        <v>44096</v>
      </c>
      <c r="B101" s="42">
        <v>1</v>
      </c>
      <c r="C101" s="12">
        <v>123</v>
      </c>
      <c r="D101" s="92" t="s">
        <v>38</v>
      </c>
      <c r="E101" s="92">
        <v>1</v>
      </c>
      <c r="F101" s="80">
        <f>(100000)*(F88/J88)</f>
        <v>2.0755500207555E-3</v>
      </c>
      <c r="G101" s="81"/>
      <c r="H101" s="82">
        <v>99</v>
      </c>
      <c r="I101" s="83">
        <v>0.01</v>
      </c>
      <c r="J101" s="84">
        <f>H101/0.001</f>
        <v>99000</v>
      </c>
      <c r="K101" s="84">
        <f t="shared" ref="K101:K113" si="29">H101/I101</f>
        <v>9900</v>
      </c>
      <c r="L101" s="84"/>
      <c r="M101" s="85"/>
      <c r="N101" s="85"/>
      <c r="O101" s="85"/>
      <c r="P101" s="85"/>
      <c r="Q101" s="85"/>
      <c r="R101" s="85"/>
      <c r="S101" s="13">
        <v>137</v>
      </c>
      <c r="T101" s="13">
        <v>85</v>
      </c>
      <c r="U101" s="13">
        <v>32</v>
      </c>
      <c r="V101" s="13"/>
      <c r="W101" s="13"/>
      <c r="X101" s="13"/>
      <c r="Y101" s="13"/>
      <c r="Z101" s="13"/>
      <c r="AA101" s="13"/>
      <c r="AB101" s="13"/>
      <c r="AC101" s="13"/>
      <c r="AD101" s="84">
        <f>T101/T8</f>
        <v>4250000</v>
      </c>
      <c r="AE101" s="86">
        <f t="shared" ref="AE101:AE113" si="30">LN(AD101/K101)/(0.667*LN(2))</f>
        <v>13.112171815172683</v>
      </c>
      <c r="AF101" s="13"/>
    </row>
    <row r="102" spans="1:32" hidden="1" x14ac:dyDescent="0.25">
      <c r="A102" s="48">
        <v>44096</v>
      </c>
      <c r="B102" s="42">
        <v>2</v>
      </c>
      <c r="C102" s="12">
        <v>121</v>
      </c>
      <c r="D102" s="92" t="s">
        <v>34</v>
      </c>
      <c r="E102" s="92">
        <v>1</v>
      </c>
      <c r="F102" s="90">
        <f>(100000)*(F89/J89)</f>
        <v>5.266484095218033E-4</v>
      </c>
      <c r="G102" s="91"/>
      <c r="H102" s="92">
        <v>109</v>
      </c>
      <c r="I102" s="83">
        <v>0.01</v>
      </c>
      <c r="J102" s="84">
        <f t="shared" ref="J102:J108" si="31">H102/0.001</f>
        <v>109000</v>
      </c>
      <c r="K102" s="84">
        <f t="shared" si="29"/>
        <v>10900</v>
      </c>
      <c r="L102" s="84"/>
      <c r="M102" s="85"/>
      <c r="N102" s="85"/>
      <c r="O102" s="85"/>
      <c r="P102" s="85"/>
      <c r="Q102" s="85"/>
      <c r="R102" s="85"/>
      <c r="S102" s="13"/>
      <c r="T102" s="13"/>
      <c r="U102" s="13"/>
      <c r="V102" s="13"/>
      <c r="W102" s="13"/>
      <c r="X102" s="13">
        <v>101</v>
      </c>
      <c r="Y102" s="13">
        <v>45</v>
      </c>
      <c r="Z102" s="13"/>
      <c r="AA102" s="13"/>
      <c r="AB102" s="13"/>
      <c r="AC102" s="13"/>
      <c r="AD102" s="84">
        <f>X102/X8</f>
        <v>50500000</v>
      </c>
      <c r="AE102" s="86">
        <f t="shared" si="30"/>
        <v>18.257480566003476</v>
      </c>
      <c r="AF102" s="13"/>
    </row>
    <row r="103" spans="1:32" hidden="1" x14ac:dyDescent="0.25">
      <c r="A103" s="48">
        <v>44096</v>
      </c>
      <c r="B103" s="42">
        <v>3</v>
      </c>
      <c r="C103" s="12">
        <v>124</v>
      </c>
      <c r="D103" s="92" t="s">
        <v>39</v>
      </c>
      <c r="E103" s="92">
        <v>1</v>
      </c>
      <c r="F103" s="90">
        <f>(100000)*(F90/J90)</f>
        <v>7.7399380804953565E-4</v>
      </c>
      <c r="G103" s="91"/>
      <c r="H103" s="92">
        <v>116</v>
      </c>
      <c r="I103" s="83">
        <v>0.01</v>
      </c>
      <c r="J103" s="84">
        <f t="shared" si="31"/>
        <v>116000</v>
      </c>
      <c r="K103" s="84">
        <f t="shared" si="29"/>
        <v>11600</v>
      </c>
      <c r="L103" s="84"/>
      <c r="M103" s="85"/>
      <c r="N103" s="85"/>
      <c r="O103" s="85"/>
      <c r="P103" s="85"/>
      <c r="Q103" s="85"/>
      <c r="R103" s="85"/>
      <c r="S103" s="13"/>
      <c r="T103" s="13"/>
      <c r="U103" s="13"/>
      <c r="V103" s="13"/>
      <c r="W103" s="13"/>
      <c r="X103" s="13">
        <v>111</v>
      </c>
      <c r="Y103" s="13">
        <v>66</v>
      </c>
      <c r="Z103" s="13"/>
      <c r="AA103" s="13"/>
      <c r="AB103" s="13"/>
      <c r="AC103" s="13"/>
      <c r="AD103" s="84">
        <f>X103/X8</f>
        <v>55500000</v>
      </c>
      <c r="AE103" s="86">
        <f t="shared" si="30"/>
        <v>18.327057347484235</v>
      </c>
      <c r="AF103" s="13"/>
    </row>
    <row r="104" spans="1:32" hidden="1" x14ac:dyDescent="0.25">
      <c r="A104" s="48">
        <v>44096</v>
      </c>
      <c r="B104" s="42">
        <v>4</v>
      </c>
      <c r="C104" s="12">
        <v>119</v>
      </c>
      <c r="D104" s="92" t="s">
        <v>32</v>
      </c>
      <c r="E104" s="92">
        <v>1</v>
      </c>
      <c r="F104" s="55">
        <f>(100000)*(F87/J87)</f>
        <v>9.3005952380952387E-4</v>
      </c>
      <c r="G104" s="91"/>
      <c r="H104" s="92">
        <v>116</v>
      </c>
      <c r="I104" s="83">
        <v>0.01</v>
      </c>
      <c r="J104" s="84">
        <f t="shared" si="31"/>
        <v>116000</v>
      </c>
      <c r="K104" s="84">
        <f t="shared" si="29"/>
        <v>11600</v>
      </c>
      <c r="L104" s="84"/>
      <c r="M104" s="85"/>
      <c r="N104" s="85"/>
      <c r="O104" s="85"/>
      <c r="P104" s="85"/>
      <c r="Q104" s="85"/>
      <c r="R104" s="85"/>
      <c r="S104" s="13"/>
      <c r="T104" s="13"/>
      <c r="U104" s="13"/>
      <c r="V104" s="13"/>
      <c r="W104" s="13"/>
      <c r="X104" s="13"/>
      <c r="Y104" s="13">
        <v>97</v>
      </c>
      <c r="Z104" s="13"/>
      <c r="AA104" s="13">
        <v>52</v>
      </c>
      <c r="AB104" s="13"/>
      <c r="AC104" s="13"/>
      <c r="AD104" s="84">
        <f>Y104/Y8</f>
        <v>97000000</v>
      </c>
      <c r="AE104" s="86">
        <f t="shared" si="30"/>
        <v>19.534698990418299</v>
      </c>
      <c r="AF104" s="13"/>
    </row>
    <row r="105" spans="1:32" hidden="1" x14ac:dyDescent="0.25">
      <c r="A105" s="48">
        <v>44096</v>
      </c>
      <c r="B105" s="42">
        <v>5</v>
      </c>
      <c r="C105" s="12">
        <v>111</v>
      </c>
      <c r="D105" s="12" t="s">
        <v>22</v>
      </c>
      <c r="E105" s="12">
        <v>1</v>
      </c>
      <c r="F105" s="90">
        <f>(100000)*(F95/J95)</f>
        <v>4.7004425767425216E-2</v>
      </c>
      <c r="G105" s="91"/>
      <c r="H105" s="92">
        <v>96</v>
      </c>
      <c r="I105" s="83">
        <v>0.01</v>
      </c>
      <c r="J105" s="84">
        <f t="shared" si="31"/>
        <v>96000</v>
      </c>
      <c r="K105" s="84">
        <f t="shared" si="29"/>
        <v>9600</v>
      </c>
      <c r="L105" s="84"/>
      <c r="M105" s="85"/>
      <c r="N105" s="85"/>
      <c r="O105" s="85">
        <v>61</v>
      </c>
      <c r="P105" s="85"/>
      <c r="Q105" s="85"/>
      <c r="R105" s="85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84">
        <f>O105/O8</f>
        <v>122000</v>
      </c>
      <c r="AE105" s="86">
        <f t="shared" si="30"/>
        <v>5.4988049950960907</v>
      </c>
      <c r="AF105" s="13"/>
    </row>
    <row r="106" spans="1:32" hidden="1" x14ac:dyDescent="0.25">
      <c r="A106" s="48">
        <v>44096</v>
      </c>
      <c r="B106" s="42">
        <v>6</v>
      </c>
      <c r="C106" s="12">
        <v>125</v>
      </c>
      <c r="D106" s="92" t="s">
        <v>40</v>
      </c>
      <c r="E106" s="92">
        <v>1</v>
      </c>
      <c r="F106" s="90">
        <f>(100000)*(F99/J99)</f>
        <v>7.2590011614401847E-4</v>
      </c>
      <c r="G106" s="91"/>
      <c r="H106" s="92">
        <v>63</v>
      </c>
      <c r="I106" s="83">
        <v>0.01</v>
      </c>
      <c r="J106" s="84">
        <f t="shared" si="31"/>
        <v>63000</v>
      </c>
      <c r="K106" s="84">
        <f t="shared" si="29"/>
        <v>6300</v>
      </c>
      <c r="L106" s="84"/>
      <c r="M106" s="85"/>
      <c r="N106" s="85"/>
      <c r="O106" s="85"/>
      <c r="P106" s="85"/>
      <c r="Q106" s="85"/>
      <c r="R106" s="85"/>
      <c r="S106" s="13"/>
      <c r="T106" s="13"/>
      <c r="U106" s="13"/>
      <c r="V106" s="13"/>
      <c r="W106" s="13">
        <v>52</v>
      </c>
      <c r="X106" s="13">
        <v>23</v>
      </c>
      <c r="Y106" s="13"/>
      <c r="Z106" s="13"/>
      <c r="AA106" s="13"/>
      <c r="AB106" s="13"/>
      <c r="AC106" s="13"/>
      <c r="AD106" s="84">
        <f>W106/W8</f>
        <v>10400000</v>
      </c>
      <c r="AE106" s="86">
        <f t="shared" si="30"/>
        <v>16.02540341724627</v>
      </c>
      <c r="AF106" s="13"/>
    </row>
    <row r="107" spans="1:32" hidden="1" x14ac:dyDescent="0.25">
      <c r="A107" s="48">
        <v>44096</v>
      </c>
      <c r="B107" s="42">
        <v>7</v>
      </c>
      <c r="C107" s="12">
        <v>130</v>
      </c>
      <c r="D107" s="92" t="s">
        <v>50</v>
      </c>
      <c r="E107" s="92">
        <v>1</v>
      </c>
      <c r="F107" s="90">
        <f>(100000)*(F92/J92)</f>
        <v>2.1199915200339199E-3</v>
      </c>
      <c r="G107" s="91"/>
      <c r="H107" s="92">
        <v>102</v>
      </c>
      <c r="I107" s="83">
        <v>0.01</v>
      </c>
      <c r="J107" s="84">
        <f t="shared" si="31"/>
        <v>102000</v>
      </c>
      <c r="K107" s="84">
        <f t="shared" si="29"/>
        <v>10200</v>
      </c>
      <c r="L107" s="84"/>
      <c r="M107" s="85"/>
      <c r="N107" s="85"/>
      <c r="O107" s="85"/>
      <c r="P107" s="85"/>
      <c r="Q107" s="85">
        <v>226</v>
      </c>
      <c r="S107" s="85">
        <v>116</v>
      </c>
      <c r="T107" s="13"/>
      <c r="U107" s="13">
        <v>32</v>
      </c>
      <c r="V107" s="13"/>
      <c r="W107" s="13"/>
      <c r="X107" s="13"/>
      <c r="Y107" s="13"/>
      <c r="Z107" s="13"/>
      <c r="AA107" s="13"/>
      <c r="AB107" s="13"/>
      <c r="AC107" s="13"/>
      <c r="AD107" s="84">
        <f>S107/S8</f>
        <v>2320000</v>
      </c>
      <c r="AE107" s="86">
        <f t="shared" si="30"/>
        <v>11.738248640076163</v>
      </c>
      <c r="AF107" s="13"/>
    </row>
    <row r="108" spans="1:32" hidden="1" x14ac:dyDescent="0.25">
      <c r="A108" s="48">
        <v>44096</v>
      </c>
      <c r="B108" s="42">
        <v>8</v>
      </c>
      <c r="C108" s="92">
        <v>127</v>
      </c>
      <c r="D108" s="92" t="s">
        <v>46</v>
      </c>
      <c r="E108" s="92">
        <v>1</v>
      </c>
      <c r="F108" s="90">
        <f>(100000)*F96/J96</f>
        <v>1.563843928375948E-3</v>
      </c>
      <c r="G108" s="91"/>
      <c r="H108" s="92">
        <v>65</v>
      </c>
      <c r="I108" s="83">
        <v>0.01</v>
      </c>
      <c r="J108" s="84">
        <f t="shared" si="31"/>
        <v>65000</v>
      </c>
      <c r="K108" s="84">
        <f t="shared" si="29"/>
        <v>6500</v>
      </c>
      <c r="L108" s="84"/>
      <c r="M108" s="85"/>
      <c r="N108" s="85"/>
      <c r="O108" s="85"/>
      <c r="P108" s="85"/>
      <c r="Q108" s="85"/>
      <c r="R108" s="85"/>
      <c r="S108" s="13">
        <v>127</v>
      </c>
      <c r="T108" s="13"/>
      <c r="U108" s="13">
        <v>24</v>
      </c>
      <c r="V108" s="13"/>
      <c r="W108" s="13"/>
      <c r="X108" s="13"/>
      <c r="Y108" s="13"/>
      <c r="Z108" s="13"/>
      <c r="AA108" s="13"/>
      <c r="AB108" s="13"/>
      <c r="AC108" s="13"/>
      <c r="AD108" s="84">
        <f>S108/S8</f>
        <v>2540000</v>
      </c>
      <c r="AE108" s="86">
        <f t="shared" si="30"/>
        <v>12.908805192681314</v>
      </c>
      <c r="AF108" s="13"/>
    </row>
    <row r="109" spans="1:32" hidden="1" x14ac:dyDescent="0.25">
      <c r="A109" s="48">
        <v>44096</v>
      </c>
      <c r="B109" s="42">
        <v>9</v>
      </c>
      <c r="C109" s="12">
        <v>100</v>
      </c>
      <c r="D109" s="12" t="s">
        <v>10</v>
      </c>
      <c r="E109" s="12">
        <v>1</v>
      </c>
      <c r="F109" s="90">
        <f>(100000)*(F84/J84)</f>
        <v>4.1169735838606182E-3</v>
      </c>
      <c r="G109" s="91"/>
      <c r="H109" s="92">
        <v>130</v>
      </c>
      <c r="I109" s="83">
        <v>0.01</v>
      </c>
      <c r="J109" s="84">
        <f>H109/0.001</f>
        <v>130000</v>
      </c>
      <c r="K109" s="84">
        <f t="shared" si="29"/>
        <v>13000</v>
      </c>
      <c r="L109" s="84"/>
      <c r="M109" s="85"/>
      <c r="N109" s="85"/>
      <c r="O109" s="85"/>
      <c r="P109" s="85"/>
      <c r="Q109" s="85"/>
      <c r="R109" s="85"/>
      <c r="S109" s="13"/>
      <c r="T109" s="13"/>
      <c r="U109" s="13"/>
      <c r="V109" s="13"/>
      <c r="W109" s="13"/>
      <c r="X109" s="13"/>
      <c r="Y109" s="13"/>
      <c r="Z109" s="13"/>
      <c r="AA109" s="13">
        <v>110</v>
      </c>
      <c r="AB109" s="13"/>
      <c r="AC109" s="13"/>
      <c r="AD109" s="84">
        <f>AA109/AA8</f>
        <v>220000000</v>
      </c>
      <c r="AE109" s="86">
        <f t="shared" si="30"/>
        <v>21.059526656740111</v>
      </c>
      <c r="AF109" s="13"/>
    </row>
    <row r="110" spans="1:32" hidden="1" x14ac:dyDescent="0.25">
      <c r="A110" s="48">
        <v>44096</v>
      </c>
      <c r="B110" s="42">
        <v>10</v>
      </c>
      <c r="C110" s="12">
        <v>122</v>
      </c>
      <c r="D110" s="92" t="s">
        <v>36</v>
      </c>
      <c r="E110" s="92">
        <v>1</v>
      </c>
      <c r="F110" s="90">
        <f>(100000)*(F97/J97)</f>
        <v>1.9592476489028211E-3</v>
      </c>
      <c r="G110" s="91"/>
      <c r="H110" s="92">
        <v>73</v>
      </c>
      <c r="I110" s="83">
        <v>0.01</v>
      </c>
      <c r="J110" s="84">
        <f t="shared" ref="J110:J113" si="32">H110/0.001</f>
        <v>73000</v>
      </c>
      <c r="K110" s="84">
        <f t="shared" si="29"/>
        <v>7300</v>
      </c>
      <c r="L110" s="84"/>
      <c r="M110" s="85"/>
      <c r="N110" s="85"/>
      <c r="O110" s="85"/>
      <c r="P110" s="85"/>
      <c r="Q110" s="85"/>
      <c r="R110" s="85"/>
      <c r="S110" s="13"/>
      <c r="T110" s="13"/>
      <c r="U110" s="13">
        <v>51</v>
      </c>
      <c r="V110" s="13"/>
      <c r="W110" s="13">
        <v>22</v>
      </c>
      <c r="X110" s="13"/>
      <c r="Y110" s="13"/>
      <c r="Z110" s="13"/>
      <c r="AA110" s="13"/>
      <c r="AB110" s="13"/>
      <c r="AC110" s="13"/>
      <c r="AD110" s="84">
        <f>U110/U8</f>
        <v>5100000</v>
      </c>
      <c r="AE110" s="86">
        <f t="shared" si="30"/>
        <v>14.165494854203247</v>
      </c>
      <c r="AF110" s="13"/>
    </row>
    <row r="111" spans="1:32" hidden="1" x14ac:dyDescent="0.25">
      <c r="A111" s="48">
        <v>44096</v>
      </c>
      <c r="B111" s="42">
        <v>11</v>
      </c>
      <c r="C111" s="12">
        <v>120</v>
      </c>
      <c r="D111" s="92" t="s">
        <v>33</v>
      </c>
      <c r="E111" s="92">
        <v>1</v>
      </c>
      <c r="F111" s="90">
        <f>(100000)*(F91/J91)</f>
        <v>1.4080540692762603E-2</v>
      </c>
      <c r="G111" s="91"/>
      <c r="H111" s="92">
        <v>53</v>
      </c>
      <c r="I111" s="83">
        <v>0.01</v>
      </c>
      <c r="J111" s="84">
        <f t="shared" si="32"/>
        <v>53000</v>
      </c>
      <c r="K111" s="84">
        <f t="shared" si="29"/>
        <v>5300</v>
      </c>
      <c r="L111" s="84"/>
      <c r="M111" s="85"/>
      <c r="N111" s="85"/>
      <c r="O111" s="85"/>
      <c r="P111" s="85"/>
      <c r="Q111" s="77">
        <v>18</v>
      </c>
      <c r="R111" s="77"/>
      <c r="S111" s="76">
        <v>9</v>
      </c>
      <c r="T111" s="76"/>
      <c r="U111" s="76">
        <v>4</v>
      </c>
      <c r="V111" s="76"/>
      <c r="W111" s="76"/>
      <c r="X111" s="76"/>
      <c r="Y111" s="76"/>
      <c r="Z111" s="76"/>
      <c r="AA111" s="76"/>
      <c r="AB111" s="76"/>
      <c r="AC111" s="76"/>
      <c r="AD111" s="78">
        <f>Q111/Q8</f>
        <v>180000</v>
      </c>
      <c r="AE111" s="79">
        <f t="shared" si="30"/>
        <v>7.6249786156729211</v>
      </c>
      <c r="AF111" s="13"/>
    </row>
    <row r="112" spans="1:32" hidden="1" x14ac:dyDescent="0.25">
      <c r="A112" s="48">
        <v>44096</v>
      </c>
      <c r="B112" s="42">
        <v>12</v>
      </c>
      <c r="C112" s="12">
        <v>129</v>
      </c>
      <c r="D112" s="92" t="s">
        <v>49</v>
      </c>
      <c r="E112" s="92">
        <v>2</v>
      </c>
      <c r="F112" s="90">
        <f>(100000)*(F86/J86)</f>
        <v>5.806526535826269E-3</v>
      </c>
      <c r="G112" s="91"/>
      <c r="H112" s="92">
        <v>112</v>
      </c>
      <c r="I112" s="83">
        <v>0.01</v>
      </c>
      <c r="J112" s="84">
        <f t="shared" si="32"/>
        <v>112000</v>
      </c>
      <c r="K112" s="84">
        <f t="shared" si="29"/>
        <v>11200</v>
      </c>
      <c r="L112" s="84"/>
      <c r="M112" s="85"/>
      <c r="N112" s="85"/>
      <c r="O112" s="85"/>
      <c r="P112" s="85"/>
      <c r="Q112" s="85"/>
      <c r="R112" s="85"/>
      <c r="S112" s="13"/>
      <c r="T112" s="13"/>
      <c r="U112" s="13"/>
      <c r="V112" s="13"/>
      <c r="W112" s="13">
        <v>217</v>
      </c>
      <c r="X112" s="13">
        <v>58</v>
      </c>
      <c r="Y112" s="13"/>
      <c r="Z112" s="13"/>
      <c r="AA112" s="13"/>
      <c r="AB112" s="13"/>
      <c r="AC112" s="13"/>
      <c r="AD112" s="84">
        <f>X112/X8</f>
        <v>29000000</v>
      </c>
      <c r="AE112" s="86">
        <f t="shared" si="30"/>
        <v>16.999008174841705</v>
      </c>
      <c r="AF112" s="13"/>
    </row>
    <row r="113" spans="1:32" hidden="1" x14ac:dyDescent="0.25">
      <c r="A113" s="48">
        <v>44096</v>
      </c>
      <c r="B113" s="42">
        <v>13</v>
      </c>
      <c r="C113" s="12">
        <v>128</v>
      </c>
      <c r="D113" s="92" t="s">
        <v>48</v>
      </c>
      <c r="E113" s="92">
        <v>1</v>
      </c>
      <c r="F113" s="55">
        <f>(100000)*(F93/J93)</f>
        <v>1.8615040953090095E-3</v>
      </c>
      <c r="G113" s="12"/>
      <c r="H113" s="12">
        <v>76</v>
      </c>
      <c r="I113" s="83">
        <v>0.01</v>
      </c>
      <c r="J113" s="84">
        <f t="shared" si="32"/>
        <v>76000</v>
      </c>
      <c r="K113" s="84">
        <f t="shared" si="29"/>
        <v>7600</v>
      </c>
      <c r="L113" s="6"/>
      <c r="M113" s="13"/>
      <c r="N113" s="13"/>
      <c r="O113" s="13"/>
      <c r="P113" s="13"/>
      <c r="Q113" s="85">
        <v>123</v>
      </c>
      <c r="R113" s="85"/>
      <c r="S113" s="13">
        <v>76</v>
      </c>
      <c r="T113" s="13"/>
      <c r="U113" s="13">
        <v>26</v>
      </c>
      <c r="V113" s="13"/>
      <c r="W113" s="13"/>
      <c r="X113" s="13"/>
      <c r="Y113" s="13"/>
      <c r="Z113" s="13"/>
      <c r="AA113" s="13"/>
      <c r="AB113" s="13"/>
      <c r="AC113" s="13"/>
      <c r="AD113" s="84">
        <f>S113/S8</f>
        <v>1520000</v>
      </c>
      <c r="AE113" s="86">
        <f t="shared" si="30"/>
        <v>11.46005425753332</v>
      </c>
      <c r="AF113" s="13"/>
    </row>
    <row r="114" spans="1:32" hidden="1" x14ac:dyDescent="0.25">
      <c r="A114" s="94"/>
      <c r="B114" s="56"/>
      <c r="C114" s="69"/>
      <c r="D114" s="93"/>
      <c r="E114" s="93"/>
      <c r="F114" s="95"/>
      <c r="G114" s="69"/>
      <c r="H114" s="69"/>
      <c r="I114" s="96"/>
      <c r="J114" s="97"/>
      <c r="K114" s="97"/>
      <c r="L114" s="35"/>
      <c r="M114" s="58"/>
      <c r="N114" s="58"/>
      <c r="O114" s="58"/>
      <c r="P114" s="58"/>
      <c r="Q114" s="98"/>
      <c r="R114" s="9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97"/>
      <c r="AE114" s="89"/>
      <c r="AF114" s="58"/>
    </row>
    <row r="115" spans="1:32" hidden="1" x14ac:dyDescent="0.25">
      <c r="A115" s="48">
        <v>44097</v>
      </c>
      <c r="B115" s="42">
        <v>1</v>
      </c>
      <c r="C115" s="12">
        <v>129</v>
      </c>
      <c r="D115" s="92" t="s">
        <v>49</v>
      </c>
      <c r="E115" s="92">
        <v>2</v>
      </c>
      <c r="F115" s="80">
        <f>(100000)*(F112/J112)</f>
        <v>5.1843986927020257E-3</v>
      </c>
      <c r="G115" s="81"/>
      <c r="H115" s="82">
        <v>136</v>
      </c>
      <c r="I115" s="83">
        <v>0.01</v>
      </c>
      <c r="J115" s="84">
        <f>H115/0.001</f>
        <v>136000</v>
      </c>
      <c r="K115" s="84">
        <f t="shared" ref="K115:K126" si="33">H115/I115</f>
        <v>13600</v>
      </c>
      <c r="L115" s="84"/>
      <c r="M115" s="85"/>
      <c r="N115" s="85"/>
      <c r="O115" s="85"/>
      <c r="P115" s="85"/>
      <c r="Q115" s="85"/>
      <c r="R115" s="85"/>
      <c r="S115" s="13"/>
      <c r="T115" s="13"/>
      <c r="U115" s="13"/>
      <c r="V115" s="13"/>
      <c r="W115" s="13">
        <v>151</v>
      </c>
      <c r="X115" s="13">
        <v>43</v>
      </c>
      <c r="Y115" s="13"/>
      <c r="Z115" s="13"/>
      <c r="AA115" s="13"/>
      <c r="AB115" s="13"/>
      <c r="AC115" s="13"/>
      <c r="AD115" s="84">
        <f>W115/W8</f>
        <v>30199999.999999996</v>
      </c>
      <c r="AE115" s="86">
        <f t="shared" ref="AE115:AE126" si="34">LN(AD115/K115)/(0.667*LN(2))</f>
        <v>16.666755896157163</v>
      </c>
      <c r="AF115" s="13"/>
    </row>
    <row r="116" spans="1:32" hidden="1" x14ac:dyDescent="0.25">
      <c r="A116" s="48">
        <v>44097</v>
      </c>
      <c r="B116" s="42">
        <v>2</v>
      </c>
      <c r="C116" s="12">
        <v>122</v>
      </c>
      <c r="D116" s="92" t="s">
        <v>36</v>
      </c>
      <c r="E116" s="92">
        <v>1</v>
      </c>
      <c r="F116" s="90">
        <f>(100000)*(F110/J110)</f>
        <v>2.6839008889079741E-3</v>
      </c>
      <c r="G116" s="91"/>
      <c r="H116" s="92">
        <v>144</v>
      </c>
      <c r="I116" s="83">
        <v>0.01</v>
      </c>
      <c r="J116" s="84">
        <f t="shared" ref="J116:J122" si="35">H116/0.001</f>
        <v>144000</v>
      </c>
      <c r="K116" s="84">
        <f t="shared" si="33"/>
        <v>14400</v>
      </c>
      <c r="L116" s="84"/>
      <c r="M116" s="85"/>
      <c r="N116" s="85"/>
      <c r="O116" s="85"/>
      <c r="P116" s="85"/>
      <c r="Q116" s="85"/>
      <c r="R116" s="85"/>
      <c r="S116" s="13"/>
      <c r="T116" s="13" t="s">
        <v>164</v>
      </c>
      <c r="U116" s="13">
        <v>123</v>
      </c>
      <c r="V116" s="13"/>
      <c r="W116" s="13"/>
      <c r="X116" s="13"/>
      <c r="Y116" s="13"/>
      <c r="Z116" s="13"/>
      <c r="AA116" s="13"/>
      <c r="AB116" s="13"/>
      <c r="AC116" s="13"/>
      <c r="AD116" s="84">
        <f>U116/U8</f>
        <v>12299999.999999998</v>
      </c>
      <c r="AE116" s="86">
        <f t="shared" si="34"/>
        <v>14.600260552562242</v>
      </c>
      <c r="AF116" s="13"/>
    </row>
    <row r="117" spans="1:32" hidden="1" x14ac:dyDescent="0.25">
      <c r="A117" s="48">
        <v>44097</v>
      </c>
      <c r="B117" s="42">
        <v>3</v>
      </c>
      <c r="C117" s="12">
        <v>100</v>
      </c>
      <c r="D117" s="12" t="s">
        <v>10</v>
      </c>
      <c r="E117" s="12">
        <v>1</v>
      </c>
      <c r="F117" s="90">
        <f>(100000)*F109/J109</f>
        <v>3.1669027568158601E-3</v>
      </c>
      <c r="G117" s="91"/>
      <c r="H117" s="92">
        <v>115</v>
      </c>
      <c r="I117" s="83">
        <v>0.01</v>
      </c>
      <c r="J117" s="84">
        <f t="shared" si="35"/>
        <v>115000</v>
      </c>
      <c r="K117" s="84">
        <f t="shared" si="33"/>
        <v>11500</v>
      </c>
      <c r="L117" s="84"/>
      <c r="M117" s="85"/>
      <c r="N117" s="85"/>
      <c r="O117" s="85"/>
      <c r="P117" s="85"/>
      <c r="Q117" s="85"/>
      <c r="R117" s="85"/>
      <c r="S117" s="13"/>
      <c r="T117" s="13"/>
      <c r="U117" s="13"/>
      <c r="V117" s="13"/>
      <c r="W117" s="13"/>
      <c r="X117" s="13"/>
      <c r="Y117" s="13"/>
      <c r="Z117" s="13"/>
      <c r="AA117" s="13">
        <v>77</v>
      </c>
      <c r="AB117" s="13"/>
      <c r="AC117" s="13"/>
      <c r="AD117" s="84">
        <f>AA117/AA8</f>
        <v>154000000</v>
      </c>
      <c r="AE117" s="86">
        <f t="shared" si="34"/>
        <v>20.55323668560716</v>
      </c>
      <c r="AF117" s="13"/>
    </row>
    <row r="118" spans="1:32" hidden="1" x14ac:dyDescent="0.25">
      <c r="A118" s="48">
        <v>44097</v>
      </c>
      <c r="B118" s="42">
        <v>4</v>
      </c>
      <c r="C118" s="92">
        <v>127</v>
      </c>
      <c r="D118" s="92" t="s">
        <v>46</v>
      </c>
      <c r="E118" s="92">
        <v>1</v>
      </c>
      <c r="F118" s="55">
        <f>(100000)*(F108/J108)</f>
        <v>2.4059137359629971E-3</v>
      </c>
      <c r="G118" s="91"/>
      <c r="H118" s="92">
        <v>142</v>
      </c>
      <c r="I118" s="83">
        <v>0.01</v>
      </c>
      <c r="J118" s="84">
        <f t="shared" si="35"/>
        <v>142000</v>
      </c>
      <c r="K118" s="84">
        <f t="shared" si="33"/>
        <v>14200</v>
      </c>
      <c r="L118" s="84"/>
      <c r="M118" s="85"/>
      <c r="N118" s="85"/>
      <c r="O118" s="85"/>
      <c r="P118" s="85"/>
      <c r="Q118" s="85"/>
      <c r="R118" s="85"/>
      <c r="S118" s="13"/>
      <c r="T118" s="13">
        <v>93</v>
      </c>
      <c r="U118" s="13">
        <v>32</v>
      </c>
      <c r="V118" s="13"/>
      <c r="W118" s="13"/>
      <c r="X118" s="13"/>
      <c r="Y118" s="13"/>
      <c r="Z118" s="13"/>
      <c r="AA118" s="13"/>
      <c r="AB118" s="13"/>
      <c r="AC118" s="13"/>
      <c r="AD118" s="84">
        <f>T118/T8</f>
        <v>4650000</v>
      </c>
      <c r="AE118" s="86">
        <f t="shared" si="34"/>
        <v>12.52653069904863</v>
      </c>
      <c r="AF118" s="13"/>
    </row>
    <row r="119" spans="1:32" hidden="1" x14ac:dyDescent="0.25">
      <c r="A119" s="48">
        <v>44097</v>
      </c>
      <c r="B119" s="42">
        <v>5</v>
      </c>
      <c r="C119" s="12">
        <v>128</v>
      </c>
      <c r="D119" s="92" t="s">
        <v>48</v>
      </c>
      <c r="E119" s="92">
        <v>1</v>
      </c>
      <c r="F119" s="90">
        <f>(100000)*(F113/J113)</f>
        <v>2.4493474938276439E-3</v>
      </c>
      <c r="G119" s="91"/>
      <c r="H119" s="92">
        <v>144</v>
      </c>
      <c r="I119" s="83">
        <v>0.01</v>
      </c>
      <c r="J119" s="84">
        <f t="shared" si="35"/>
        <v>144000</v>
      </c>
      <c r="K119" s="84">
        <f t="shared" si="33"/>
        <v>14400</v>
      </c>
      <c r="L119" s="84"/>
      <c r="M119" s="85"/>
      <c r="N119" s="85"/>
      <c r="O119" s="85"/>
      <c r="P119" s="85"/>
      <c r="Q119" s="85"/>
      <c r="R119" s="85"/>
      <c r="S119" s="13">
        <v>118</v>
      </c>
      <c r="T119" s="13">
        <v>66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84">
        <f>S119/S8</f>
        <v>2360000</v>
      </c>
      <c r="AE119" s="86">
        <f t="shared" si="34"/>
        <v>11.02934668319978</v>
      </c>
      <c r="AF119" s="13"/>
    </row>
    <row r="120" spans="1:32" hidden="1" x14ac:dyDescent="0.25">
      <c r="A120" s="48">
        <v>44097</v>
      </c>
      <c r="B120" s="42">
        <v>6</v>
      </c>
      <c r="C120" s="12">
        <v>123</v>
      </c>
      <c r="D120" s="92" t="s">
        <v>38</v>
      </c>
      <c r="E120" s="92">
        <v>1</v>
      </c>
      <c r="F120" s="90">
        <f>(100000)*F101/J101</f>
        <v>2.0965151724803028E-3</v>
      </c>
      <c r="G120" s="91"/>
      <c r="H120" s="92">
        <v>117</v>
      </c>
      <c r="I120" s="83">
        <v>0.01</v>
      </c>
      <c r="J120" s="84">
        <f t="shared" si="35"/>
        <v>117000</v>
      </c>
      <c r="K120" s="84">
        <f t="shared" si="33"/>
        <v>11700</v>
      </c>
      <c r="L120" s="84"/>
      <c r="M120" s="85"/>
      <c r="N120" s="85"/>
      <c r="O120" s="85"/>
      <c r="P120" s="85"/>
      <c r="Q120" s="85"/>
      <c r="R120" s="85"/>
      <c r="S120" s="13"/>
      <c r="T120" s="13">
        <v>83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84">
        <f>T120/T8</f>
        <v>4149999.9999999995</v>
      </c>
      <c r="AE120" s="86">
        <f t="shared" si="34"/>
        <v>12.699338825225798</v>
      </c>
      <c r="AF120" s="13"/>
    </row>
    <row r="121" spans="1:32" hidden="1" x14ac:dyDescent="0.25">
      <c r="A121" s="48">
        <v>44097</v>
      </c>
      <c r="B121" s="42">
        <v>7</v>
      </c>
      <c r="C121" s="12">
        <v>120</v>
      </c>
      <c r="D121" s="92" t="s">
        <v>33</v>
      </c>
      <c r="E121" s="92">
        <v>1</v>
      </c>
      <c r="F121" s="90">
        <f>(100000)*F111/J111</f>
        <v>2.6567057910872837E-2</v>
      </c>
      <c r="G121" s="91"/>
      <c r="H121" s="92">
        <v>253</v>
      </c>
      <c r="I121" s="83">
        <v>0.01</v>
      </c>
      <c r="J121" s="84">
        <f t="shared" si="35"/>
        <v>253000</v>
      </c>
      <c r="K121" s="84">
        <f t="shared" si="33"/>
        <v>25300</v>
      </c>
      <c r="L121" s="84"/>
      <c r="M121" s="85"/>
      <c r="N121" s="85" t="s">
        <v>13</v>
      </c>
      <c r="O121" s="85" t="s">
        <v>13</v>
      </c>
      <c r="P121" s="85"/>
      <c r="Q121" s="85">
        <v>98</v>
      </c>
      <c r="S121" s="85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84">
        <f>Q121/Q8</f>
        <v>980000</v>
      </c>
      <c r="AE121" s="86">
        <f t="shared" si="34"/>
        <v>7.9094039868000339</v>
      </c>
      <c r="AF121" s="13" t="s">
        <v>165</v>
      </c>
    </row>
    <row r="122" spans="1:32" hidden="1" x14ac:dyDescent="0.25">
      <c r="A122" s="48">
        <v>44097</v>
      </c>
      <c r="B122" s="42">
        <v>8</v>
      </c>
      <c r="C122" s="12">
        <v>119</v>
      </c>
      <c r="D122" s="92" t="s">
        <v>32</v>
      </c>
      <c r="E122" s="92">
        <v>1</v>
      </c>
      <c r="F122" s="90">
        <f>(100000)*(F104/J104)</f>
        <v>8.0177545155993432E-4</v>
      </c>
      <c r="G122" s="91"/>
      <c r="H122" s="92">
        <v>110</v>
      </c>
      <c r="I122" s="83">
        <v>0.01</v>
      </c>
      <c r="J122" s="84">
        <f t="shared" si="35"/>
        <v>110000</v>
      </c>
      <c r="K122" s="84">
        <f t="shared" si="33"/>
        <v>11000</v>
      </c>
      <c r="L122" s="84"/>
      <c r="M122" s="85"/>
      <c r="N122" s="85"/>
      <c r="O122" s="85"/>
      <c r="P122" s="85"/>
      <c r="Q122" s="85"/>
      <c r="R122" s="85"/>
      <c r="S122" s="13"/>
      <c r="T122" s="13"/>
      <c r="U122" s="13"/>
      <c r="V122" s="13"/>
      <c r="W122" s="13"/>
      <c r="X122" s="13"/>
      <c r="Y122" s="13">
        <v>111</v>
      </c>
      <c r="Z122" s="13"/>
      <c r="AA122" s="13"/>
      <c r="AB122" s="13"/>
      <c r="AC122" s="13"/>
      <c r="AD122" s="84">
        <f>Y122/Y8</f>
        <v>111000000</v>
      </c>
      <c r="AE122" s="86">
        <f t="shared" si="34"/>
        <v>19.941182207458617</v>
      </c>
      <c r="AF122" s="13"/>
    </row>
    <row r="123" spans="1:32" hidden="1" x14ac:dyDescent="0.25">
      <c r="A123" s="48">
        <v>44097</v>
      </c>
      <c r="B123" s="42">
        <v>9</v>
      </c>
      <c r="C123" s="12">
        <v>125</v>
      </c>
      <c r="D123" s="92" t="s">
        <v>40</v>
      </c>
      <c r="E123" s="92">
        <v>1</v>
      </c>
      <c r="F123" s="90">
        <f>(100000)*F106/J106</f>
        <v>1.1522224065778071E-3</v>
      </c>
      <c r="G123" s="91"/>
      <c r="H123" s="92">
        <v>135</v>
      </c>
      <c r="I123" s="83">
        <v>0.01</v>
      </c>
      <c r="J123" s="84">
        <f>H123/0.001</f>
        <v>135000</v>
      </c>
      <c r="K123" s="84">
        <f t="shared" si="33"/>
        <v>13500</v>
      </c>
      <c r="L123" s="84"/>
      <c r="M123" s="85"/>
      <c r="N123" s="85"/>
      <c r="O123" s="85"/>
      <c r="P123" s="85"/>
      <c r="Q123" s="85"/>
      <c r="R123" s="85"/>
      <c r="S123" s="13"/>
      <c r="T123" s="13"/>
      <c r="U123" s="13">
        <v>160</v>
      </c>
      <c r="V123" s="13"/>
      <c r="W123" s="13">
        <v>87</v>
      </c>
      <c r="X123" s="13"/>
      <c r="Y123" s="13"/>
      <c r="Z123" s="13"/>
      <c r="AA123" s="13"/>
      <c r="AB123" s="13"/>
      <c r="AC123" s="13"/>
      <c r="AD123" s="84">
        <f>W123/W8</f>
        <v>17400000</v>
      </c>
      <c r="AE123" s="86">
        <f t="shared" si="34"/>
        <v>15.490123213583185</v>
      </c>
      <c r="AF123" s="13"/>
    </row>
    <row r="124" spans="1:32" hidden="1" x14ac:dyDescent="0.25">
      <c r="A124" s="48">
        <v>44097</v>
      </c>
      <c r="B124" s="42">
        <v>10</v>
      </c>
      <c r="C124" s="12">
        <v>121</v>
      </c>
      <c r="D124" s="92" t="s">
        <v>34</v>
      </c>
      <c r="E124" s="92">
        <v>1</v>
      </c>
      <c r="F124" s="90">
        <f>(100000)*(F102/J102)</f>
        <v>4.8316367846037002E-4</v>
      </c>
      <c r="G124" s="91"/>
      <c r="H124" s="92">
        <v>103</v>
      </c>
      <c r="I124" s="83">
        <v>0.01</v>
      </c>
      <c r="J124" s="84">
        <f t="shared" ref="J124:J126" si="36">H124/0.001</f>
        <v>103000</v>
      </c>
      <c r="K124" s="84">
        <f t="shared" si="33"/>
        <v>10300</v>
      </c>
      <c r="L124" s="84"/>
      <c r="M124" s="85"/>
      <c r="N124" s="85"/>
      <c r="O124" s="85"/>
      <c r="P124" s="85"/>
      <c r="Q124" s="85"/>
      <c r="R124" s="85"/>
      <c r="S124" s="13"/>
      <c r="T124" s="13"/>
      <c r="U124" s="13"/>
      <c r="V124" s="13"/>
      <c r="W124" s="13"/>
      <c r="X124" s="13">
        <v>137</v>
      </c>
      <c r="Y124" s="13"/>
      <c r="Z124" s="13"/>
      <c r="AA124" s="13"/>
      <c r="AB124" s="13"/>
      <c r="AC124" s="13"/>
      <c r="AD124" s="84">
        <f>X124/X8</f>
        <v>68500000</v>
      </c>
      <c r="AE124" s="86">
        <f t="shared" si="34"/>
        <v>19.0393462298752</v>
      </c>
      <c r="AF124" s="13"/>
    </row>
    <row r="125" spans="1:32" hidden="1" x14ac:dyDescent="0.25">
      <c r="A125" s="48">
        <v>44097</v>
      </c>
      <c r="B125" s="42">
        <v>11</v>
      </c>
      <c r="C125" s="12">
        <v>130</v>
      </c>
      <c r="D125" s="92" t="s">
        <v>50</v>
      </c>
      <c r="E125" s="92">
        <v>1</v>
      </c>
      <c r="F125" s="90">
        <f>(100000)*F107/J107</f>
        <v>2.0784230588567843E-3</v>
      </c>
      <c r="G125" s="91"/>
      <c r="H125" s="92">
        <v>124</v>
      </c>
      <c r="I125" s="83">
        <v>0.01</v>
      </c>
      <c r="J125" s="84">
        <f t="shared" si="36"/>
        <v>124000</v>
      </c>
      <c r="K125" s="84">
        <f t="shared" si="33"/>
        <v>12400</v>
      </c>
      <c r="L125" s="84"/>
      <c r="M125" s="85"/>
      <c r="N125" s="85"/>
      <c r="O125" s="85"/>
      <c r="P125" s="85"/>
      <c r="Q125" s="85"/>
      <c r="R125" s="85"/>
      <c r="S125" s="13">
        <v>185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4">
        <f>S125/S8</f>
        <v>3700000</v>
      </c>
      <c r="AE125" s="86">
        <f t="shared" si="34"/>
        <v>12.325399310201142</v>
      </c>
      <c r="AF125" s="13"/>
    </row>
    <row r="126" spans="1:32" hidden="1" x14ac:dyDescent="0.25">
      <c r="A126" s="48">
        <v>44097</v>
      </c>
      <c r="B126" s="42">
        <v>12</v>
      </c>
      <c r="C126" s="12">
        <v>124</v>
      </c>
      <c r="D126" s="92" t="s">
        <v>39</v>
      </c>
      <c r="E126" s="92">
        <v>1</v>
      </c>
      <c r="F126" s="90">
        <f>(100000)*F103/J103</f>
        <v>6.6723604142201348E-4</v>
      </c>
      <c r="G126" s="91"/>
      <c r="H126" s="92">
        <v>116</v>
      </c>
      <c r="I126" s="83">
        <v>0.01</v>
      </c>
      <c r="J126" s="84">
        <f t="shared" si="36"/>
        <v>116000</v>
      </c>
      <c r="K126" s="84">
        <f t="shared" si="33"/>
        <v>11600</v>
      </c>
      <c r="L126" s="84"/>
      <c r="M126" s="85"/>
      <c r="N126" s="85"/>
      <c r="O126" s="85"/>
      <c r="P126" s="85"/>
      <c r="Q126" s="85"/>
      <c r="R126" s="85"/>
      <c r="S126" s="13"/>
      <c r="T126" s="13"/>
      <c r="U126" s="13"/>
      <c r="V126" s="13"/>
      <c r="W126" s="13"/>
      <c r="X126" s="13"/>
      <c r="Y126" s="13">
        <v>39</v>
      </c>
      <c r="Z126" s="13"/>
      <c r="AA126" s="13"/>
      <c r="AB126" s="13"/>
      <c r="AC126" s="13"/>
      <c r="AD126" s="84">
        <f>Y126/Y8</f>
        <v>39000000</v>
      </c>
      <c r="AE126" s="86">
        <f t="shared" si="34"/>
        <v>17.56391844570334</v>
      </c>
      <c r="AF126" s="13"/>
    </row>
    <row r="127" spans="1:32" hidden="1" x14ac:dyDescent="0.25"/>
    <row r="128" spans="1:32" hidden="1" x14ac:dyDescent="0.25">
      <c r="A128" s="48">
        <v>44098</v>
      </c>
      <c r="B128" s="42">
        <v>1</v>
      </c>
      <c r="C128" s="92">
        <v>137</v>
      </c>
      <c r="D128" s="6" t="s">
        <v>97</v>
      </c>
      <c r="E128" s="6">
        <v>2</v>
      </c>
      <c r="F128" s="9">
        <v>1.7241379310344831E-2</v>
      </c>
      <c r="G128" s="81"/>
      <c r="H128" s="82">
        <v>85</v>
      </c>
      <c r="I128" s="83">
        <v>0.01</v>
      </c>
      <c r="J128" s="84">
        <f>H128/0.001</f>
        <v>85000</v>
      </c>
      <c r="K128" s="84">
        <f t="shared" ref="K128:K139" si="37">H128/I128</f>
        <v>8500</v>
      </c>
      <c r="L128" s="84"/>
      <c r="M128" s="85"/>
      <c r="N128" s="85"/>
      <c r="O128" s="85"/>
      <c r="P128" s="85"/>
      <c r="Q128" s="85"/>
      <c r="R128" s="85"/>
      <c r="S128" s="13"/>
      <c r="T128" s="13"/>
      <c r="U128" s="13" t="s">
        <v>13</v>
      </c>
      <c r="V128" s="13"/>
      <c r="W128" s="13" t="s">
        <v>13</v>
      </c>
      <c r="X128" s="13"/>
      <c r="Y128" s="13">
        <v>86</v>
      </c>
      <c r="Z128" s="13"/>
      <c r="AA128" s="13"/>
      <c r="AB128" s="13"/>
      <c r="AC128" s="13"/>
      <c r="AD128" s="84">
        <f>Y128/Y8</f>
        <v>86000000</v>
      </c>
      <c r="AE128" s="86">
        <f t="shared" ref="AE128:AE143" si="38">LN(AD128/K128)/(0.667*LN(2))</f>
        <v>19.946905844248644</v>
      </c>
      <c r="AF128" s="13" t="s">
        <v>153</v>
      </c>
    </row>
    <row r="129" spans="1:32" hidden="1" x14ac:dyDescent="0.25">
      <c r="A129" s="48">
        <v>44098</v>
      </c>
      <c r="B129" s="42">
        <v>2</v>
      </c>
      <c r="C129" s="92">
        <v>131</v>
      </c>
      <c r="D129" s="6" t="s">
        <v>91</v>
      </c>
      <c r="E129" s="68">
        <v>1</v>
      </c>
      <c r="F129" s="9">
        <v>7.7519379844961248E-3</v>
      </c>
      <c r="G129" s="91"/>
      <c r="H129" s="92">
        <v>94</v>
      </c>
      <c r="I129" s="83">
        <v>0.01</v>
      </c>
      <c r="J129" s="84">
        <f t="shared" ref="J129:J134" si="39">H129/0.001</f>
        <v>94000</v>
      </c>
      <c r="K129" s="84">
        <f t="shared" si="37"/>
        <v>9400</v>
      </c>
      <c r="L129" s="84"/>
      <c r="M129" s="85"/>
      <c r="N129" s="85"/>
      <c r="O129" s="85"/>
      <c r="P129" s="85"/>
      <c r="Q129" s="85"/>
      <c r="R129" s="85"/>
      <c r="S129" s="13"/>
      <c r="T129" s="13"/>
      <c r="U129" s="13" t="s">
        <v>13</v>
      </c>
      <c r="V129" s="13"/>
      <c r="W129" s="13" t="s">
        <v>13</v>
      </c>
      <c r="X129" s="13"/>
      <c r="Y129" s="13">
        <v>126</v>
      </c>
      <c r="Z129" s="13"/>
      <c r="AA129" s="13"/>
      <c r="AB129" s="13"/>
      <c r="AC129" s="13"/>
      <c r="AD129" s="84">
        <f>Y129/Y8</f>
        <v>126000000</v>
      </c>
      <c r="AE129" s="86">
        <f t="shared" si="38"/>
        <v>20.555327513300945</v>
      </c>
      <c r="AF129" s="13" t="s">
        <v>153</v>
      </c>
    </row>
    <row r="130" spans="1:32" hidden="1" x14ac:dyDescent="0.25">
      <c r="A130" s="48">
        <v>44098</v>
      </c>
      <c r="B130" s="42">
        <v>3</v>
      </c>
      <c r="C130" s="92">
        <v>140</v>
      </c>
      <c r="D130" s="6" t="s">
        <v>100</v>
      </c>
      <c r="E130" s="6">
        <v>1</v>
      </c>
      <c r="F130" s="9">
        <v>3.333333333333334E-2</v>
      </c>
      <c r="G130" s="91"/>
      <c r="H130" s="92">
        <v>75</v>
      </c>
      <c r="I130" s="83">
        <v>0.01</v>
      </c>
      <c r="J130" s="84">
        <f t="shared" si="39"/>
        <v>75000</v>
      </c>
      <c r="K130" s="84">
        <f t="shared" si="37"/>
        <v>7500</v>
      </c>
      <c r="L130" s="84"/>
      <c r="M130" s="85"/>
      <c r="N130" s="85"/>
      <c r="O130" s="85"/>
      <c r="P130" s="85"/>
      <c r="Q130" s="85"/>
      <c r="R130" s="85"/>
      <c r="S130" s="13"/>
      <c r="T130" s="13"/>
      <c r="U130" s="13">
        <v>157</v>
      </c>
      <c r="V130" s="13"/>
      <c r="W130" s="13">
        <v>101</v>
      </c>
      <c r="X130" s="13"/>
      <c r="Y130" s="13">
        <v>29</v>
      </c>
      <c r="Z130" s="13"/>
      <c r="AA130" s="13"/>
      <c r="AB130" s="13"/>
      <c r="AC130" s="13"/>
      <c r="AD130" s="84">
        <f>W130/W8</f>
        <v>20200000</v>
      </c>
      <c r="AE130" s="86">
        <f t="shared" si="38"/>
        <v>17.084223503625189</v>
      </c>
      <c r="AF130" s="13" t="s">
        <v>154</v>
      </c>
    </row>
    <row r="131" spans="1:32" hidden="1" x14ac:dyDescent="0.25">
      <c r="A131" s="48">
        <v>44098</v>
      </c>
      <c r="B131" s="42">
        <v>4</v>
      </c>
      <c r="C131" s="92">
        <v>144</v>
      </c>
      <c r="D131" s="6" t="s">
        <v>104</v>
      </c>
      <c r="E131" s="6">
        <v>1</v>
      </c>
      <c r="F131" s="106">
        <v>8.3300000000000006E-3</v>
      </c>
      <c r="G131" s="91"/>
      <c r="H131" s="92">
        <v>58</v>
      </c>
      <c r="I131" s="83">
        <v>0.1</v>
      </c>
      <c r="J131" s="84">
        <f>H131/0.01</f>
        <v>5800</v>
      </c>
      <c r="K131" s="84">
        <f t="shared" si="37"/>
        <v>580</v>
      </c>
      <c r="L131" s="84"/>
      <c r="M131" s="85"/>
      <c r="N131" s="85"/>
      <c r="O131" s="85"/>
      <c r="P131" s="85"/>
      <c r="Q131" s="85">
        <v>98</v>
      </c>
      <c r="R131" s="85"/>
      <c r="S131" s="13">
        <v>52</v>
      </c>
      <c r="T131" s="13"/>
      <c r="U131" s="13">
        <v>2</v>
      </c>
      <c r="V131" s="13"/>
      <c r="W131" s="13">
        <v>4</v>
      </c>
      <c r="X131" s="13"/>
      <c r="Y131" s="13"/>
      <c r="Z131" s="13"/>
      <c r="AA131" s="13"/>
      <c r="AB131" s="13"/>
      <c r="AC131" s="13"/>
      <c r="AD131" s="84">
        <f>Q131/Q8</f>
        <v>980000</v>
      </c>
      <c r="AE131" s="86">
        <f t="shared" si="38"/>
        <v>16.075731834557306</v>
      </c>
      <c r="AF131" s="13" t="s">
        <v>168</v>
      </c>
    </row>
    <row r="132" spans="1:32" hidden="1" x14ac:dyDescent="0.25">
      <c r="A132" s="48">
        <v>44098</v>
      </c>
      <c r="B132" s="42">
        <v>5</v>
      </c>
      <c r="C132" s="12">
        <v>128</v>
      </c>
      <c r="D132" s="92" t="s">
        <v>48</v>
      </c>
      <c r="E132" s="91">
        <v>1</v>
      </c>
      <c r="F132" s="90">
        <f>(100000)*(F119/J119)</f>
        <v>1.7009357596025304E-3</v>
      </c>
      <c r="G132" s="91"/>
      <c r="H132" s="92">
        <v>66</v>
      </c>
      <c r="I132" s="83">
        <v>0.01</v>
      </c>
      <c r="J132" s="84">
        <f t="shared" si="39"/>
        <v>66000</v>
      </c>
      <c r="K132" s="84">
        <f t="shared" si="37"/>
        <v>6600</v>
      </c>
      <c r="L132" s="84"/>
      <c r="M132" s="85"/>
      <c r="N132" s="85"/>
      <c r="O132" s="85"/>
      <c r="P132" s="85"/>
      <c r="Q132" s="85"/>
      <c r="R132" s="85"/>
      <c r="S132" s="13">
        <v>59</v>
      </c>
      <c r="T132" s="13"/>
      <c r="U132" s="13">
        <v>13</v>
      </c>
      <c r="V132" s="13"/>
      <c r="W132" s="13"/>
      <c r="X132" s="13"/>
      <c r="Y132" s="13"/>
      <c r="Z132" s="13"/>
      <c r="AA132" s="13"/>
      <c r="AB132" s="13"/>
      <c r="AC132" s="13"/>
      <c r="AD132" s="84">
        <f>S132/S8</f>
        <v>1180000</v>
      </c>
      <c r="AE132" s="86">
        <f t="shared" si="38"/>
        <v>11.217548905214562</v>
      </c>
      <c r="AF132" s="13" t="s">
        <v>170</v>
      </c>
    </row>
    <row r="133" spans="1:32" hidden="1" x14ac:dyDescent="0.25">
      <c r="A133" s="48">
        <v>44098</v>
      </c>
      <c r="B133" s="42">
        <v>6</v>
      </c>
      <c r="C133" s="92">
        <v>133</v>
      </c>
      <c r="D133" s="6" t="s">
        <v>93</v>
      </c>
      <c r="E133" s="6">
        <v>1</v>
      </c>
      <c r="F133" s="9">
        <v>2.9411764705882353E-3</v>
      </c>
      <c r="G133" s="91"/>
      <c r="H133" s="92">
        <v>114</v>
      </c>
      <c r="I133" s="83">
        <v>0.01</v>
      </c>
      <c r="J133" s="84">
        <f t="shared" si="39"/>
        <v>114000</v>
      </c>
      <c r="K133" s="84">
        <f t="shared" si="37"/>
        <v>11400</v>
      </c>
      <c r="L133" s="84"/>
      <c r="M133" s="85"/>
      <c r="N133" s="85"/>
      <c r="O133" s="85"/>
      <c r="P133" s="85"/>
      <c r="Q133" s="85"/>
      <c r="R133" s="85"/>
      <c r="S133" s="13"/>
      <c r="T133" s="13"/>
      <c r="U133" s="13" t="s">
        <v>13</v>
      </c>
      <c r="V133" s="13"/>
      <c r="W133" s="13" t="s">
        <v>13</v>
      </c>
      <c r="X133" s="13"/>
      <c r="Y133" s="13">
        <v>158</v>
      </c>
      <c r="Z133" s="13"/>
      <c r="AA133" s="13"/>
      <c r="AB133" s="13"/>
      <c r="AC133" s="13"/>
      <c r="AD133" s="84">
        <f>Y133/Y8</f>
        <v>158000000</v>
      </c>
      <c r="AE133" s="86">
        <f t="shared" si="38"/>
        <v>20.627590874905266</v>
      </c>
      <c r="AF133" s="13" t="s">
        <v>153</v>
      </c>
    </row>
    <row r="134" spans="1:32" hidden="1" x14ac:dyDescent="0.25">
      <c r="A134" s="48">
        <v>44098</v>
      </c>
      <c r="B134" s="42">
        <v>7</v>
      </c>
      <c r="C134" s="12">
        <v>123</v>
      </c>
      <c r="D134" s="92" t="s">
        <v>38</v>
      </c>
      <c r="E134" s="91">
        <v>1</v>
      </c>
      <c r="F134" s="90">
        <f>(100000)*(F120/J120)</f>
        <v>1.7918933098122246E-3</v>
      </c>
      <c r="G134" s="91"/>
      <c r="H134" s="92">
        <v>89</v>
      </c>
      <c r="I134" s="83">
        <v>0.01</v>
      </c>
      <c r="J134" s="84">
        <f t="shared" si="39"/>
        <v>89000</v>
      </c>
      <c r="K134" s="84">
        <f t="shared" si="37"/>
        <v>8900</v>
      </c>
      <c r="L134" s="84"/>
      <c r="M134" s="85"/>
      <c r="N134" s="85"/>
      <c r="O134" s="85"/>
      <c r="P134" s="85"/>
      <c r="Q134" s="85"/>
      <c r="S134" s="85"/>
      <c r="T134" s="13">
        <v>33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84">
        <f>T134/T8</f>
        <v>1649999.9999999998</v>
      </c>
      <c r="AE134" s="86">
        <f t="shared" si="38"/>
        <v>11.296019449856287</v>
      </c>
      <c r="AF134" s="13" t="s">
        <v>170</v>
      </c>
    </row>
    <row r="135" spans="1:32" hidden="1" x14ac:dyDescent="0.25">
      <c r="A135" s="48">
        <v>44098</v>
      </c>
      <c r="B135" s="42">
        <v>8</v>
      </c>
      <c r="C135" s="92">
        <v>143</v>
      </c>
      <c r="D135" s="6" t="s">
        <v>103</v>
      </c>
      <c r="E135" s="6">
        <v>2</v>
      </c>
      <c r="F135" s="106">
        <v>3.3300000000000003E-2</v>
      </c>
      <c r="G135" s="91"/>
      <c r="H135" s="92">
        <v>104</v>
      </c>
      <c r="I135" s="83">
        <v>0.1</v>
      </c>
      <c r="J135" s="84">
        <f>H135/0.01</f>
        <v>10400</v>
      </c>
      <c r="K135" s="84">
        <f t="shared" si="37"/>
        <v>1040</v>
      </c>
      <c r="L135" s="84"/>
      <c r="M135" s="85"/>
      <c r="N135" s="85"/>
      <c r="O135" s="85"/>
      <c r="P135" s="85"/>
      <c r="Q135" s="85">
        <v>161</v>
      </c>
      <c r="R135" s="85"/>
      <c r="S135" s="13">
        <v>66</v>
      </c>
      <c r="T135" s="13"/>
      <c r="U135" s="13">
        <v>13</v>
      </c>
      <c r="V135" s="13"/>
      <c r="W135" s="13">
        <v>5</v>
      </c>
      <c r="X135" s="13"/>
      <c r="Y135" s="13"/>
      <c r="Z135" s="13"/>
      <c r="AA135" s="13"/>
      <c r="AB135" s="13"/>
      <c r="AC135" s="13"/>
      <c r="AD135" s="84">
        <f>S135/S8</f>
        <v>1320000</v>
      </c>
      <c r="AE135" s="86">
        <f t="shared" si="38"/>
        <v>15.456879589024659</v>
      </c>
      <c r="AF135" s="13" t="s">
        <v>171</v>
      </c>
    </row>
    <row r="136" spans="1:32" hidden="1" x14ac:dyDescent="0.25">
      <c r="A136" s="48">
        <v>44098</v>
      </c>
      <c r="B136" s="42">
        <v>9</v>
      </c>
      <c r="C136" s="92">
        <v>132</v>
      </c>
      <c r="D136" s="6" t="s">
        <v>92</v>
      </c>
      <c r="E136" s="6">
        <v>1</v>
      </c>
      <c r="F136" s="9">
        <v>6.5359477124183017E-3</v>
      </c>
      <c r="G136" s="91"/>
      <c r="H136" s="92">
        <v>87</v>
      </c>
      <c r="I136" s="83">
        <v>0.01</v>
      </c>
      <c r="J136" s="84">
        <f>H136/0.001</f>
        <v>87000</v>
      </c>
      <c r="K136" s="84">
        <f t="shared" si="37"/>
        <v>8700</v>
      </c>
      <c r="L136" s="84"/>
      <c r="M136" s="85"/>
      <c r="N136" s="85"/>
      <c r="O136" s="85"/>
      <c r="P136" s="85"/>
      <c r="Q136" s="85"/>
      <c r="R136" s="85"/>
      <c r="S136" s="13"/>
      <c r="T136" s="13"/>
      <c r="U136" s="13" t="s">
        <v>13</v>
      </c>
      <c r="V136" s="13"/>
      <c r="W136" s="13" t="s">
        <v>13</v>
      </c>
      <c r="X136" s="13"/>
      <c r="Y136" s="13">
        <v>131</v>
      </c>
      <c r="Z136" s="13"/>
      <c r="AA136" s="13"/>
      <c r="AB136" s="13"/>
      <c r="AC136" s="13"/>
      <c r="AD136" s="84">
        <f>Y136/Y8</f>
        <v>131000000</v>
      </c>
      <c r="AE136" s="86">
        <f t="shared" si="38"/>
        <v>20.806884385664425</v>
      </c>
      <c r="AF136" s="13" t="s">
        <v>153</v>
      </c>
    </row>
    <row r="137" spans="1:32" hidden="1" x14ac:dyDescent="0.25">
      <c r="A137" s="48">
        <v>44098</v>
      </c>
      <c r="B137" s="42">
        <v>10</v>
      </c>
      <c r="C137" s="12">
        <v>130</v>
      </c>
      <c r="D137" s="92" t="s">
        <v>50</v>
      </c>
      <c r="E137" s="91">
        <v>1</v>
      </c>
      <c r="F137" s="90">
        <f>(100000)*(F125/J125)</f>
        <v>1.6761476281103101E-3</v>
      </c>
      <c r="G137" s="91"/>
      <c r="H137" s="92">
        <v>86</v>
      </c>
      <c r="I137" s="83">
        <v>0.01</v>
      </c>
      <c r="J137" s="84">
        <f t="shared" ref="J137:J139" si="40">H137/0.001</f>
        <v>86000</v>
      </c>
      <c r="K137" s="84">
        <f t="shared" si="37"/>
        <v>8600</v>
      </c>
      <c r="L137" s="84"/>
      <c r="M137" s="85"/>
      <c r="N137" s="85"/>
      <c r="O137" s="85"/>
      <c r="P137" s="85"/>
      <c r="Q137" s="85"/>
      <c r="R137" s="85"/>
      <c r="S137" s="13">
        <v>110</v>
      </c>
      <c r="T137" s="13">
        <v>53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84">
        <f>S137/S8</f>
        <v>2200000</v>
      </c>
      <c r="AE137" s="86">
        <f t="shared" si="38"/>
        <v>11.99243050764211</v>
      </c>
      <c r="AF137" s="13" t="s">
        <v>170</v>
      </c>
    </row>
    <row r="138" spans="1:32" hidden="1" x14ac:dyDescent="0.25">
      <c r="A138" s="48">
        <v>44098</v>
      </c>
      <c r="B138" s="42">
        <v>11</v>
      </c>
      <c r="C138" s="12">
        <v>120</v>
      </c>
      <c r="D138" s="92" t="s">
        <v>33</v>
      </c>
      <c r="E138" s="91">
        <v>1</v>
      </c>
      <c r="F138" s="90">
        <f>(100000)*F121/J121</f>
        <v>1.050081340350705E-2</v>
      </c>
      <c r="G138" s="91"/>
      <c r="H138" s="92">
        <v>74</v>
      </c>
      <c r="I138" s="83">
        <v>0.01</v>
      </c>
      <c r="J138" s="84">
        <f t="shared" si="40"/>
        <v>74000</v>
      </c>
      <c r="K138" s="84">
        <f t="shared" si="37"/>
        <v>7400</v>
      </c>
      <c r="L138" s="84"/>
      <c r="M138" s="85"/>
      <c r="N138" s="85">
        <v>131</v>
      </c>
      <c r="O138" s="85">
        <v>100</v>
      </c>
      <c r="P138" s="85"/>
      <c r="Q138" s="85">
        <v>31</v>
      </c>
      <c r="R138" s="85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84">
        <f>O138/O8</f>
        <v>200000</v>
      </c>
      <c r="AE138" s="86">
        <f t="shared" si="38"/>
        <v>7.1309309130931595</v>
      </c>
      <c r="AF138" s="13" t="s">
        <v>172</v>
      </c>
    </row>
    <row r="139" spans="1:32" hidden="1" x14ac:dyDescent="0.25">
      <c r="A139" s="48">
        <v>44098</v>
      </c>
      <c r="B139" s="42">
        <v>12</v>
      </c>
      <c r="C139" s="12">
        <v>100</v>
      </c>
      <c r="D139" s="12" t="s">
        <v>10</v>
      </c>
      <c r="E139" s="105">
        <v>1</v>
      </c>
      <c r="F139" s="90">
        <f>(100000)*F117/J117</f>
        <v>2.7538284841877045E-3</v>
      </c>
      <c r="G139" s="91"/>
      <c r="H139" s="92">
        <v>59</v>
      </c>
      <c r="I139" s="83">
        <v>0.01</v>
      </c>
      <c r="J139" s="84">
        <f t="shared" si="40"/>
        <v>59000</v>
      </c>
      <c r="K139" s="84">
        <f t="shared" si="37"/>
        <v>5900</v>
      </c>
      <c r="L139" s="84"/>
      <c r="M139" s="85"/>
      <c r="N139" s="85"/>
      <c r="O139" s="85"/>
      <c r="P139" s="85"/>
      <c r="Q139" s="85"/>
      <c r="R139" s="85"/>
      <c r="S139" s="13"/>
      <c r="T139" s="13"/>
      <c r="U139" s="13"/>
      <c r="V139" s="13"/>
      <c r="W139" s="13"/>
      <c r="X139" s="13"/>
      <c r="Y139" s="13"/>
      <c r="Z139" s="13"/>
      <c r="AA139" s="13">
        <v>79</v>
      </c>
      <c r="AB139" s="13"/>
      <c r="AC139" s="13"/>
      <c r="AD139" s="84">
        <f>AA139/AA8</f>
        <v>158000000</v>
      </c>
      <c r="AE139" s="86">
        <f t="shared" si="38"/>
        <v>22.052248993050544</v>
      </c>
      <c r="AF139" s="13" t="s">
        <v>158</v>
      </c>
    </row>
    <row r="140" spans="1:32" hidden="1" x14ac:dyDescent="0.25">
      <c r="A140" s="48">
        <v>44098</v>
      </c>
      <c r="B140" s="42">
        <v>13</v>
      </c>
      <c r="C140" s="92">
        <v>135</v>
      </c>
      <c r="D140" s="6" t="s">
        <v>95</v>
      </c>
      <c r="E140" s="6">
        <v>1</v>
      </c>
      <c r="F140" s="9">
        <v>8.5470085470085479E-3</v>
      </c>
      <c r="G140" s="91"/>
      <c r="H140" s="92">
        <v>115</v>
      </c>
      <c r="I140" s="83">
        <v>0.01</v>
      </c>
      <c r="J140" s="84">
        <f>H140/0.001</f>
        <v>115000</v>
      </c>
      <c r="K140" s="84">
        <f t="shared" ref="K140:K143" si="41">H140/I140</f>
        <v>11500</v>
      </c>
      <c r="L140" s="84"/>
      <c r="M140" s="85"/>
      <c r="N140" s="85"/>
      <c r="O140" s="85"/>
      <c r="P140" s="85"/>
      <c r="Q140" s="85"/>
      <c r="R140" s="85"/>
      <c r="S140" s="13"/>
      <c r="T140" s="13"/>
      <c r="U140" s="13" t="s">
        <v>13</v>
      </c>
      <c r="V140" s="13"/>
      <c r="W140" s="13" t="s">
        <v>13</v>
      </c>
      <c r="X140" s="13"/>
      <c r="Y140" s="13">
        <v>113</v>
      </c>
      <c r="Z140" s="13"/>
      <c r="AA140" s="13"/>
      <c r="AB140" s="13"/>
      <c r="AC140" s="13"/>
      <c r="AD140" s="84">
        <f>Y140/Y8</f>
        <v>113000000</v>
      </c>
      <c r="AE140" s="86">
        <f t="shared" si="38"/>
        <v>19.883660106477155</v>
      </c>
      <c r="AF140" s="13" t="s">
        <v>153</v>
      </c>
    </row>
    <row r="141" spans="1:32" hidden="1" x14ac:dyDescent="0.25">
      <c r="A141" s="48">
        <v>44098</v>
      </c>
      <c r="B141" s="42">
        <v>14</v>
      </c>
      <c r="C141" s="92">
        <v>142</v>
      </c>
      <c r="D141" s="6" t="s">
        <v>102</v>
      </c>
      <c r="E141" s="6">
        <v>1</v>
      </c>
      <c r="F141" s="106">
        <v>3.3300000000000003E-2</v>
      </c>
      <c r="G141" s="91"/>
      <c r="H141" s="92">
        <v>114</v>
      </c>
      <c r="I141" s="83">
        <v>0.1</v>
      </c>
      <c r="J141" s="84">
        <f>H141/0.01</f>
        <v>11400</v>
      </c>
      <c r="K141" s="84">
        <f t="shared" si="41"/>
        <v>1140</v>
      </c>
      <c r="L141" s="84"/>
      <c r="M141" s="85"/>
      <c r="N141" s="85"/>
      <c r="O141" s="85"/>
      <c r="P141" s="85"/>
      <c r="Q141" s="85" t="s">
        <v>13</v>
      </c>
      <c r="R141" s="85"/>
      <c r="S141" s="13">
        <v>102</v>
      </c>
      <c r="T141" s="13"/>
      <c r="U141" s="13">
        <v>21</v>
      </c>
      <c r="V141" s="13"/>
      <c r="W141" s="13">
        <v>18</v>
      </c>
      <c r="X141" s="13"/>
      <c r="Y141" s="13"/>
      <c r="Z141" s="13"/>
      <c r="AA141" s="13"/>
      <c r="AB141" s="13"/>
      <c r="AC141" s="13"/>
      <c r="AD141" s="84">
        <f>S141/S8</f>
        <v>2040000</v>
      </c>
      <c r="AE141" s="86">
        <f t="shared" si="38"/>
        <v>16.19987947896378</v>
      </c>
      <c r="AF141" s="13" t="s">
        <v>169</v>
      </c>
    </row>
    <row r="142" spans="1:32" hidden="1" x14ac:dyDescent="0.25">
      <c r="A142" s="48">
        <v>44098</v>
      </c>
      <c r="B142" s="42">
        <v>15</v>
      </c>
      <c r="C142" s="92">
        <v>139</v>
      </c>
      <c r="D142" s="6" t="s">
        <v>99</v>
      </c>
      <c r="E142" s="6">
        <v>1</v>
      </c>
      <c r="F142" s="9">
        <v>3.1250000000000007E-2</v>
      </c>
      <c r="G142" s="91"/>
      <c r="H142" s="92">
        <v>67</v>
      </c>
      <c r="I142" s="83">
        <v>0.01</v>
      </c>
      <c r="J142" s="84">
        <f t="shared" ref="J142:J143" si="42">H142/0.001</f>
        <v>67000</v>
      </c>
      <c r="K142" s="84">
        <f t="shared" si="41"/>
        <v>6700</v>
      </c>
      <c r="L142" s="84"/>
      <c r="M142" s="85"/>
      <c r="N142" s="85"/>
      <c r="O142" s="85"/>
      <c r="P142" s="85"/>
      <c r="Q142" s="85"/>
      <c r="R142" s="85"/>
      <c r="S142" s="13"/>
      <c r="T142" s="13"/>
      <c r="U142" s="13" t="s">
        <v>13</v>
      </c>
      <c r="V142" s="13"/>
      <c r="W142" s="13">
        <v>182</v>
      </c>
      <c r="X142" s="13"/>
      <c r="Y142" s="13">
        <v>49</v>
      </c>
      <c r="Z142" s="13"/>
      <c r="AA142" s="13"/>
      <c r="AB142" s="13"/>
      <c r="AC142" s="13"/>
      <c r="AD142" s="84">
        <f>W142/W8</f>
        <v>36400000</v>
      </c>
      <c r="AE142" s="86">
        <f t="shared" si="38"/>
        <v>18.601933634787127</v>
      </c>
      <c r="AF142" s="13" t="s">
        <v>173</v>
      </c>
    </row>
    <row r="143" spans="1:32" hidden="1" x14ac:dyDescent="0.25">
      <c r="A143" s="48">
        <v>44098</v>
      </c>
      <c r="B143" s="42">
        <v>16</v>
      </c>
      <c r="C143" s="92">
        <v>127</v>
      </c>
      <c r="D143" s="92" t="s">
        <v>46</v>
      </c>
      <c r="E143" s="91">
        <v>1</v>
      </c>
      <c r="F143" s="90">
        <f>(100000)*F118/J118</f>
        <v>1.6943054478612656E-3</v>
      </c>
      <c r="G143" s="91"/>
      <c r="H143" s="92">
        <v>76</v>
      </c>
      <c r="I143" s="83">
        <v>0.01</v>
      </c>
      <c r="J143" s="84">
        <f t="shared" si="42"/>
        <v>76000</v>
      </c>
      <c r="K143" s="84">
        <f t="shared" si="41"/>
        <v>7600</v>
      </c>
      <c r="L143" s="84"/>
      <c r="M143" s="85"/>
      <c r="N143" s="85"/>
      <c r="O143" s="85"/>
      <c r="P143" s="85"/>
      <c r="Q143" s="85"/>
      <c r="R143" s="85"/>
      <c r="S143" s="13">
        <v>145</v>
      </c>
      <c r="T143" s="13">
        <v>53</v>
      </c>
      <c r="U143" s="13">
        <v>32</v>
      </c>
      <c r="V143" s="13"/>
      <c r="W143" s="13"/>
      <c r="X143" s="13"/>
      <c r="Y143" s="13"/>
      <c r="Z143" s="13"/>
      <c r="AA143" s="13"/>
      <c r="AB143" s="13"/>
      <c r="AC143" s="13"/>
      <c r="AD143" s="84">
        <f>S143/S8</f>
        <v>2900000</v>
      </c>
      <c r="AE143" s="86">
        <f t="shared" si="38"/>
        <v>12.857327985526348</v>
      </c>
      <c r="AF143" s="13" t="s">
        <v>170</v>
      </c>
    </row>
    <row r="144" spans="1:32" hidden="1" x14ac:dyDescent="0.25"/>
    <row r="145" spans="1:32" hidden="1" x14ac:dyDescent="0.25">
      <c r="A145" s="48">
        <v>44102</v>
      </c>
      <c r="B145" s="42">
        <v>1</v>
      </c>
      <c r="C145" s="92">
        <v>143</v>
      </c>
      <c r="D145" s="6" t="s">
        <v>103</v>
      </c>
      <c r="E145" s="6">
        <v>2</v>
      </c>
      <c r="F145" s="106">
        <f>(10000)*(F135/J135)</f>
        <v>3.2019230769230772E-2</v>
      </c>
      <c r="G145" s="81"/>
      <c r="H145" s="82">
        <v>73</v>
      </c>
      <c r="I145" s="83">
        <v>0.1</v>
      </c>
      <c r="J145" s="84">
        <f>H145/0.01</f>
        <v>7300</v>
      </c>
      <c r="K145" s="84">
        <f t="shared" ref="K145:K156" si="43">H145/I145</f>
        <v>730</v>
      </c>
      <c r="L145" s="84"/>
      <c r="M145" s="85"/>
      <c r="N145" s="85"/>
      <c r="O145" s="85"/>
      <c r="P145" s="85"/>
      <c r="Q145" s="85"/>
      <c r="R145" s="85">
        <v>82</v>
      </c>
      <c r="S145" s="13">
        <v>71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4">
        <f>R145/R8</f>
        <v>1171428.5714285716</v>
      </c>
      <c r="AE145" s="86">
        <f t="shared" ref="AE145:AE151" si="44">LN(AD145/K145)/(0.667*LN(2))</f>
        <v>15.964145282203766</v>
      </c>
      <c r="AF145" s="13"/>
    </row>
    <row r="146" spans="1:32" hidden="1" x14ac:dyDescent="0.25">
      <c r="A146" s="48">
        <v>44102</v>
      </c>
      <c r="B146" s="42">
        <v>2</v>
      </c>
      <c r="C146" s="12">
        <v>120</v>
      </c>
      <c r="D146" s="92" t="s">
        <v>33</v>
      </c>
      <c r="E146" s="91">
        <v>1</v>
      </c>
      <c r="F146" s="90">
        <f>(100000)*F138/J138</f>
        <v>1.4190288383117635E-2</v>
      </c>
      <c r="G146" s="91"/>
      <c r="H146" s="92">
        <v>84</v>
      </c>
      <c r="I146" s="83">
        <v>0.01</v>
      </c>
      <c r="J146" s="84">
        <f t="shared" ref="J146:J147" si="45">H146/0.001</f>
        <v>84000</v>
      </c>
      <c r="K146" s="84">
        <f t="shared" si="43"/>
        <v>8400</v>
      </c>
      <c r="L146" s="84"/>
      <c r="M146" s="85"/>
      <c r="N146" s="85"/>
      <c r="O146" s="85">
        <v>137</v>
      </c>
      <c r="P146" s="85"/>
      <c r="Q146" s="85">
        <v>41</v>
      </c>
      <c r="R146" s="85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84">
        <f>O146/O8</f>
        <v>274000</v>
      </c>
      <c r="AE146" s="86">
        <f t="shared" si="44"/>
        <v>7.5376952849612122</v>
      </c>
      <c r="AF146" s="13"/>
    </row>
    <row r="147" spans="1:32" hidden="1" x14ac:dyDescent="0.25">
      <c r="A147" s="48">
        <v>44102</v>
      </c>
      <c r="B147" s="42">
        <v>3</v>
      </c>
      <c r="C147" s="92">
        <v>137</v>
      </c>
      <c r="D147" s="6" t="s">
        <v>97</v>
      </c>
      <c r="E147" s="6">
        <v>2</v>
      </c>
      <c r="F147" s="9">
        <f>(100000)*F128/J128</f>
        <v>2.0283975659229212E-2</v>
      </c>
      <c r="G147" s="91"/>
      <c r="H147" s="92">
        <v>101</v>
      </c>
      <c r="I147" s="83">
        <v>0.01</v>
      </c>
      <c r="J147" s="84">
        <f t="shared" si="45"/>
        <v>101000</v>
      </c>
      <c r="K147" s="84">
        <f t="shared" si="43"/>
        <v>10100</v>
      </c>
      <c r="L147" s="84"/>
      <c r="M147" s="85"/>
      <c r="N147" s="85"/>
      <c r="O147" s="85"/>
      <c r="P147" s="85"/>
      <c r="Q147" s="85"/>
      <c r="R147" s="85"/>
      <c r="S147" s="13"/>
      <c r="T147" s="13"/>
      <c r="U147" s="13"/>
      <c r="V147" s="13"/>
      <c r="W147" s="13"/>
      <c r="X147" s="13"/>
      <c r="Y147" s="13">
        <v>81</v>
      </c>
      <c r="Z147" s="13"/>
      <c r="AA147" s="13">
        <v>48</v>
      </c>
      <c r="AB147" s="13"/>
      <c r="AC147" s="13"/>
      <c r="AD147" s="84">
        <f>Y147/Y8</f>
        <v>81000000</v>
      </c>
      <c r="AE147" s="86">
        <f t="shared" si="44"/>
        <v>19.444304197424707</v>
      </c>
      <c r="AF147" s="13"/>
    </row>
    <row r="148" spans="1:32" hidden="1" x14ac:dyDescent="0.25">
      <c r="A148" s="48">
        <v>44102</v>
      </c>
      <c r="B148" s="42">
        <v>4</v>
      </c>
      <c r="C148" s="92">
        <v>142</v>
      </c>
      <c r="D148" s="6" t="s">
        <v>102</v>
      </c>
      <c r="E148" s="6">
        <v>1</v>
      </c>
      <c r="F148" s="106">
        <f>(10000)*F141/J141</f>
        <v>2.9210526315789478E-2</v>
      </c>
      <c r="G148" s="91"/>
      <c r="H148" s="92">
        <v>71</v>
      </c>
      <c r="I148" s="83">
        <v>0.1</v>
      </c>
      <c r="J148" s="84">
        <f>H148/0.01</f>
        <v>7100</v>
      </c>
      <c r="K148" s="84">
        <f t="shared" si="43"/>
        <v>710</v>
      </c>
      <c r="L148" s="84"/>
      <c r="M148" s="85"/>
      <c r="N148" s="85"/>
      <c r="O148" s="85"/>
      <c r="P148" s="85"/>
      <c r="Q148" s="85"/>
      <c r="R148" s="85"/>
      <c r="S148" s="13">
        <v>55</v>
      </c>
      <c r="T148" s="13">
        <v>24</v>
      </c>
      <c r="U148" s="13"/>
      <c r="V148" s="13"/>
      <c r="W148" s="13"/>
      <c r="X148" s="13"/>
      <c r="Y148" s="13"/>
      <c r="Z148" s="13"/>
      <c r="AA148" s="13"/>
      <c r="AB148" s="13"/>
      <c r="AC148" s="13"/>
      <c r="AD148" s="84">
        <f>S148/S8</f>
        <v>1100000</v>
      </c>
      <c r="AE148" s="86">
        <f t="shared" si="44"/>
        <v>15.888151242401896</v>
      </c>
      <c r="AF148" s="13"/>
    </row>
    <row r="149" spans="1:32" hidden="1" x14ac:dyDescent="0.25">
      <c r="A149" s="48">
        <v>44102</v>
      </c>
      <c r="B149" s="42">
        <v>5</v>
      </c>
      <c r="C149" s="92">
        <v>139</v>
      </c>
      <c r="D149" s="6" t="s">
        <v>99</v>
      </c>
      <c r="E149" s="6">
        <v>1</v>
      </c>
      <c r="F149" s="90">
        <f>(100000)*F142/J142</f>
        <v>4.6641791044776136E-2</v>
      </c>
      <c r="G149" s="91"/>
      <c r="H149" s="92">
        <v>103</v>
      </c>
      <c r="I149" s="83">
        <v>0.01</v>
      </c>
      <c r="J149" s="84">
        <f t="shared" ref="J149:J151" si="46">H149/0.001</f>
        <v>103000</v>
      </c>
      <c r="K149" s="84">
        <f t="shared" si="43"/>
        <v>10300</v>
      </c>
      <c r="L149" s="84"/>
      <c r="M149" s="85"/>
      <c r="N149" s="85"/>
      <c r="O149" s="85"/>
      <c r="P149" s="85"/>
      <c r="Q149" s="85"/>
      <c r="R149" s="85"/>
      <c r="S149" s="13"/>
      <c r="T149" s="13"/>
      <c r="U149" s="13"/>
      <c r="V149" s="13"/>
      <c r="W149" s="13"/>
      <c r="X149" s="13"/>
      <c r="Y149" s="13">
        <v>36</v>
      </c>
      <c r="Z149" s="13">
        <v>28</v>
      </c>
      <c r="AA149" s="13"/>
      <c r="AB149" s="13"/>
      <c r="AC149" s="13"/>
      <c r="AD149" s="84">
        <f>Y149/Y8</f>
        <v>36000000</v>
      </c>
      <c r="AE149" s="86">
        <f t="shared" si="44"/>
        <v>17.647881340042794</v>
      </c>
      <c r="AF149" s="13"/>
    </row>
    <row r="150" spans="1:32" hidden="1" x14ac:dyDescent="0.25">
      <c r="A150" s="48">
        <v>44102</v>
      </c>
      <c r="B150" s="42">
        <v>6</v>
      </c>
      <c r="C150" s="92">
        <v>140</v>
      </c>
      <c r="D150" s="6" t="s">
        <v>100</v>
      </c>
      <c r="E150" s="6">
        <v>1</v>
      </c>
      <c r="F150" s="9">
        <f>(100000)*F130/J130</f>
        <v>4.4444444444444453E-2</v>
      </c>
      <c r="G150" s="91"/>
      <c r="H150" s="92">
        <v>104</v>
      </c>
      <c r="I150" s="83">
        <v>0.01</v>
      </c>
      <c r="J150" s="84">
        <f t="shared" si="46"/>
        <v>104000</v>
      </c>
      <c r="K150" s="84">
        <f t="shared" si="43"/>
        <v>10400</v>
      </c>
      <c r="L150" s="84"/>
      <c r="M150" s="85"/>
      <c r="N150" s="85"/>
      <c r="O150" s="85"/>
      <c r="P150" s="85"/>
      <c r="Q150" s="85"/>
      <c r="R150" s="85"/>
      <c r="S150" s="13"/>
      <c r="T150" s="13"/>
      <c r="U150" s="13"/>
      <c r="V150" s="13"/>
      <c r="W150" s="13">
        <v>127</v>
      </c>
      <c r="X150" s="13">
        <v>66</v>
      </c>
      <c r="Y150" s="13"/>
      <c r="Z150" s="13"/>
      <c r="AA150" s="13"/>
      <c r="AB150" s="13"/>
      <c r="AC150" s="13"/>
      <c r="AD150" s="84">
        <f>W150/W8</f>
        <v>25399999.999999996</v>
      </c>
      <c r="AE150" s="86">
        <f t="shared" si="44"/>
        <v>16.872607576151665</v>
      </c>
      <c r="AF150" s="13"/>
    </row>
    <row r="151" spans="1:32" hidden="1" x14ac:dyDescent="0.25">
      <c r="A151" s="48">
        <v>44102</v>
      </c>
      <c r="B151" s="42">
        <v>7</v>
      </c>
      <c r="C151" s="92">
        <v>135</v>
      </c>
      <c r="D151" s="6" t="s">
        <v>95</v>
      </c>
      <c r="E151" s="6">
        <v>1</v>
      </c>
      <c r="F151" s="90">
        <f>(100000)*(F140/J140)</f>
        <v>7.4321813452248248E-3</v>
      </c>
      <c r="G151" s="91"/>
      <c r="H151" s="92">
        <v>78</v>
      </c>
      <c r="I151" s="83">
        <v>0.01</v>
      </c>
      <c r="J151" s="84">
        <f t="shared" si="46"/>
        <v>78000</v>
      </c>
      <c r="K151" s="84">
        <f t="shared" si="43"/>
        <v>7800</v>
      </c>
      <c r="L151" s="84"/>
      <c r="M151" s="85"/>
      <c r="N151" s="85"/>
      <c r="O151" s="85"/>
      <c r="P151" s="85"/>
      <c r="Q151" s="85"/>
      <c r="S151" s="85"/>
      <c r="T151" s="13"/>
      <c r="U151" s="13"/>
      <c r="V151" s="13"/>
      <c r="W151" s="13"/>
      <c r="X151" s="13"/>
      <c r="Y151" s="13">
        <v>80</v>
      </c>
      <c r="Z151" s="13"/>
      <c r="AA151" s="13">
        <v>53</v>
      </c>
      <c r="AB151" s="13"/>
      <c r="AC151" s="13"/>
      <c r="AD151" s="84">
        <f>Y151/Y8</f>
        <v>80000000</v>
      </c>
      <c r="AE151" s="86">
        <f t="shared" si="44"/>
        <v>19.976369198762463</v>
      </c>
      <c r="AF151" s="13"/>
    </row>
    <row r="152" spans="1:32" hidden="1" x14ac:dyDescent="0.25">
      <c r="A152" s="48">
        <v>44102</v>
      </c>
      <c r="B152" s="42">
        <v>8</v>
      </c>
      <c r="C152" s="92">
        <v>144</v>
      </c>
      <c r="D152" s="6" t="s">
        <v>104</v>
      </c>
      <c r="E152" s="6">
        <v>1</v>
      </c>
      <c r="F152" s="106">
        <f>(10000)*(F131/J131)</f>
        <v>1.4362068965517241E-2</v>
      </c>
      <c r="G152" s="91"/>
      <c r="H152" s="92" t="s">
        <v>177</v>
      </c>
      <c r="I152" s="83">
        <v>0.1</v>
      </c>
      <c r="J152" s="84" t="e">
        <f>H152/0.01</f>
        <v>#VALUE!</v>
      </c>
      <c r="K152" s="84" t="e">
        <f t="shared" si="43"/>
        <v>#VALUE!</v>
      </c>
      <c r="L152" s="84"/>
      <c r="M152" s="85"/>
      <c r="N152" s="85"/>
      <c r="O152" s="85"/>
      <c r="P152" s="85"/>
      <c r="Q152" s="85">
        <v>120</v>
      </c>
      <c r="R152" s="85"/>
      <c r="S152" s="13">
        <v>49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84">
        <f>Q152/Q8</f>
        <v>1200000</v>
      </c>
      <c r="AE152" s="86"/>
      <c r="AF152" s="13" t="s">
        <v>178</v>
      </c>
    </row>
    <row r="153" spans="1:32" hidden="1" x14ac:dyDescent="0.25">
      <c r="A153" s="48">
        <v>44102</v>
      </c>
      <c r="B153" s="42">
        <v>9</v>
      </c>
      <c r="C153" s="12">
        <v>100</v>
      </c>
      <c r="D153" s="12" t="s">
        <v>10</v>
      </c>
      <c r="E153" s="105">
        <v>1</v>
      </c>
      <c r="F153" s="84">
        <f>(100000)*(F139/J139)</f>
        <v>4.6675059054028896E-3</v>
      </c>
      <c r="G153" s="91"/>
      <c r="H153" s="92">
        <v>127</v>
      </c>
      <c r="I153" s="83">
        <v>0.01</v>
      </c>
      <c r="J153" s="84">
        <f>H153/0.001</f>
        <v>127000</v>
      </c>
      <c r="K153" s="84">
        <f t="shared" si="43"/>
        <v>12700</v>
      </c>
      <c r="L153" s="84"/>
      <c r="M153" s="85"/>
      <c r="N153" s="85"/>
      <c r="O153" s="85"/>
      <c r="P153" s="85"/>
      <c r="Q153" s="85"/>
      <c r="R153" s="85"/>
      <c r="S153" s="13"/>
      <c r="T153" s="13"/>
      <c r="U153" s="13"/>
      <c r="V153" s="13"/>
      <c r="W153" s="13"/>
      <c r="X153" s="13"/>
      <c r="Y153" s="13"/>
      <c r="Z153" s="13"/>
      <c r="AA153" s="13">
        <v>139</v>
      </c>
      <c r="AB153" s="13">
        <v>44</v>
      </c>
      <c r="AC153" s="13"/>
      <c r="AD153" s="84">
        <f>AA153/AA8</f>
        <v>278000000</v>
      </c>
      <c r="AE153" s="86">
        <f>LN(AD153/K153)/(0.667*LN(2))</f>
        <v>21.61614507571333</v>
      </c>
      <c r="AF153" s="13"/>
    </row>
    <row r="154" spans="1:32" hidden="1" x14ac:dyDescent="0.25">
      <c r="A154" s="48">
        <v>44102</v>
      </c>
      <c r="B154" s="42">
        <v>10</v>
      </c>
      <c r="C154" s="92">
        <v>132</v>
      </c>
      <c r="D154" s="6" t="s">
        <v>92</v>
      </c>
      <c r="E154" s="6">
        <v>1</v>
      </c>
      <c r="F154" s="9">
        <f>(100000)*(F136/J136)</f>
        <v>7.5125835774923011E-3</v>
      </c>
      <c r="G154" s="91"/>
      <c r="H154" s="92">
        <v>107</v>
      </c>
      <c r="I154" s="83">
        <v>0.01</v>
      </c>
      <c r="J154" s="84">
        <f t="shared" ref="J154:J156" si="47">H154/0.001</f>
        <v>107000</v>
      </c>
      <c r="K154" s="84">
        <f t="shared" si="43"/>
        <v>10700</v>
      </c>
      <c r="L154" s="84"/>
      <c r="M154" s="85"/>
      <c r="N154" s="85"/>
      <c r="O154" s="85"/>
      <c r="P154" s="85"/>
      <c r="Q154" s="85"/>
      <c r="R154" s="85"/>
      <c r="S154" s="13"/>
      <c r="T154" s="13"/>
      <c r="U154" s="13"/>
      <c r="V154" s="13"/>
      <c r="W154" s="13"/>
      <c r="X154" s="13"/>
      <c r="Y154" s="13">
        <v>171</v>
      </c>
      <c r="Z154" s="13"/>
      <c r="AA154" s="13">
        <v>102</v>
      </c>
      <c r="AB154" s="13"/>
      <c r="AC154" s="13"/>
      <c r="AD154" s="84">
        <f>AA154/AA8</f>
        <v>204000000</v>
      </c>
      <c r="AE154" s="86">
        <f>LN(AD154/K154)/(0.667*LN(2))</f>
        <v>21.317347428965217</v>
      </c>
      <c r="AF154" s="13"/>
    </row>
    <row r="155" spans="1:32" hidden="1" x14ac:dyDescent="0.25">
      <c r="A155" s="48">
        <v>44102</v>
      </c>
      <c r="B155" s="42">
        <v>11</v>
      </c>
      <c r="C155" s="92">
        <v>131</v>
      </c>
      <c r="D155" s="6" t="s">
        <v>91</v>
      </c>
      <c r="E155" s="68">
        <v>1</v>
      </c>
      <c r="F155" s="90">
        <f>(100000)*F129/J129</f>
        <v>8.2467425366980051E-3</v>
      </c>
      <c r="G155" s="91"/>
      <c r="H155" s="92">
        <v>103</v>
      </c>
      <c r="I155" s="83">
        <v>0.01</v>
      </c>
      <c r="J155" s="84">
        <f t="shared" si="47"/>
        <v>103000</v>
      </c>
      <c r="K155" s="84">
        <f t="shared" si="43"/>
        <v>10300</v>
      </c>
      <c r="L155" s="84"/>
      <c r="M155" s="85"/>
      <c r="N155" s="85"/>
      <c r="O155" s="85"/>
      <c r="P155" s="85"/>
      <c r="Q155" s="85"/>
      <c r="R155" s="85"/>
      <c r="S155" s="13"/>
      <c r="T155" s="13"/>
      <c r="U155" s="13"/>
      <c r="V155" s="13"/>
      <c r="W155" s="13"/>
      <c r="X155" s="13"/>
      <c r="Y155" s="13">
        <v>161</v>
      </c>
      <c r="Z155" s="13"/>
      <c r="AA155" s="13">
        <v>113</v>
      </c>
      <c r="AB155" s="13"/>
      <c r="AC155" s="13"/>
      <c r="AD155" s="84">
        <f>AA155/AA8</f>
        <v>226000000</v>
      </c>
      <c r="AE155" s="86">
        <f>LN(AD155/K155)/(0.667*LN(2))</f>
        <v>21.621275584379937</v>
      </c>
      <c r="AF155" s="13"/>
    </row>
    <row r="156" spans="1:32" hidden="1" x14ac:dyDescent="0.25">
      <c r="A156" s="48">
        <v>44102</v>
      </c>
      <c r="B156" s="42">
        <v>12</v>
      </c>
      <c r="C156" s="92">
        <v>133</v>
      </c>
      <c r="D156" s="6" t="s">
        <v>93</v>
      </c>
      <c r="E156" s="6">
        <v>1</v>
      </c>
      <c r="F156" s="9">
        <f>(100000)*F133/J133</f>
        <v>2.5799793601651187E-3</v>
      </c>
      <c r="G156" s="91"/>
      <c r="H156" s="92">
        <v>60</v>
      </c>
      <c r="I156" s="83">
        <v>0.01</v>
      </c>
      <c r="J156" s="84">
        <f t="shared" si="47"/>
        <v>60000</v>
      </c>
      <c r="K156" s="84">
        <f t="shared" si="43"/>
        <v>6000</v>
      </c>
      <c r="L156" s="84"/>
      <c r="M156" s="85"/>
      <c r="N156" s="85"/>
      <c r="O156" s="85"/>
      <c r="P156" s="85"/>
      <c r="Q156" s="85"/>
      <c r="R156" s="85"/>
      <c r="S156" s="13"/>
      <c r="T156" s="13"/>
      <c r="U156" s="13"/>
      <c r="V156" s="13"/>
      <c r="W156" s="13"/>
      <c r="X156" s="13"/>
      <c r="Y156" s="13">
        <v>110</v>
      </c>
      <c r="Z156" s="13"/>
      <c r="AA156" s="13"/>
      <c r="AB156" s="13"/>
      <c r="AC156" s="13"/>
      <c r="AD156" s="84">
        <f>Y156/Y8</f>
        <v>110000000</v>
      </c>
      <c r="AE156" s="86">
        <f>LN(AD156/K156)/(0.667*LN(2))</f>
        <v>21.232655918239267</v>
      </c>
      <c r="AF156" s="13"/>
    </row>
    <row r="157" spans="1:32" hidden="1" x14ac:dyDescent="0.25"/>
    <row r="158" spans="1:32" hidden="1" x14ac:dyDescent="0.25">
      <c r="A158" s="7">
        <v>44103</v>
      </c>
      <c r="B158" s="42">
        <v>1</v>
      </c>
      <c r="C158" s="92">
        <v>132</v>
      </c>
      <c r="D158" s="6" t="s">
        <v>92</v>
      </c>
      <c r="E158" s="6">
        <v>1</v>
      </c>
      <c r="F158" s="90">
        <f>(100000)*(F154/J154)</f>
        <v>7.0211061471890657E-3</v>
      </c>
      <c r="G158" s="81"/>
      <c r="H158" s="82">
        <v>91</v>
      </c>
      <c r="I158" s="83">
        <v>0.01</v>
      </c>
      <c r="J158" s="84">
        <f>H158/0.001</f>
        <v>91000</v>
      </c>
      <c r="K158" s="84">
        <f t="shared" ref="K158:K168" si="48">H158/I158</f>
        <v>9100</v>
      </c>
      <c r="L158" s="84"/>
      <c r="M158" s="85"/>
      <c r="N158" s="85"/>
      <c r="O158" s="85"/>
      <c r="P158" s="85"/>
      <c r="Q158" s="85"/>
      <c r="R158" s="85"/>
      <c r="S158" s="13"/>
      <c r="T158" s="13"/>
      <c r="U158" s="13"/>
      <c r="V158" s="13"/>
      <c r="W158" s="13"/>
      <c r="X158" s="13"/>
      <c r="Y158" s="13"/>
      <c r="Z158" s="13"/>
      <c r="AA158" s="13">
        <v>75</v>
      </c>
      <c r="AB158" s="13"/>
      <c r="AC158" s="13"/>
      <c r="AD158" s="84">
        <f>AA158/AA8</f>
        <v>150000000</v>
      </c>
      <c r="AE158" s="86">
        <f t="shared" ref="AE158:AE168" si="49">LN(AD158/K158)/(0.667*LN(2))</f>
        <v>21.0026033430984</v>
      </c>
      <c r="AF158" s="13"/>
    </row>
    <row r="159" spans="1:32" hidden="1" x14ac:dyDescent="0.25">
      <c r="A159" s="7">
        <v>44103</v>
      </c>
      <c r="B159" s="42">
        <v>2</v>
      </c>
      <c r="C159" s="92">
        <v>133</v>
      </c>
      <c r="D159" s="6" t="s">
        <v>93</v>
      </c>
      <c r="E159" s="6">
        <v>1</v>
      </c>
      <c r="F159" s="90">
        <f>(100000)*(F156/J156)</f>
        <v>4.2999656002751978E-3</v>
      </c>
      <c r="G159" s="91"/>
      <c r="H159" s="92">
        <v>145</v>
      </c>
      <c r="I159" s="83">
        <v>0.01</v>
      </c>
      <c r="J159" s="84">
        <f t="shared" ref="J159" si="50">H159/0.001</f>
        <v>145000</v>
      </c>
      <c r="K159" s="84">
        <f t="shared" si="48"/>
        <v>14500</v>
      </c>
      <c r="L159" s="84"/>
      <c r="M159" s="85"/>
      <c r="N159" s="85"/>
      <c r="O159" s="85"/>
      <c r="P159" s="85"/>
      <c r="Q159" s="85"/>
      <c r="R159" s="85"/>
      <c r="S159" s="13"/>
      <c r="T159" s="13"/>
      <c r="U159" s="13"/>
      <c r="V159" s="13"/>
      <c r="W159" s="13"/>
      <c r="X159" s="13"/>
      <c r="Y159" s="13">
        <v>158</v>
      </c>
      <c r="Z159" s="13"/>
      <c r="AA159" s="13">
        <v>81</v>
      </c>
      <c r="AB159" s="13"/>
      <c r="AC159" s="13"/>
      <c r="AD159" s="84">
        <f>AA159/AA8</f>
        <v>162000000</v>
      </c>
      <c r="AE159" s="86">
        <f t="shared" si="49"/>
        <v>20.161399239009206</v>
      </c>
      <c r="AF159" s="13"/>
    </row>
    <row r="160" spans="1:32" hidden="1" x14ac:dyDescent="0.25">
      <c r="A160" s="7">
        <v>44103</v>
      </c>
      <c r="B160" s="42">
        <v>3</v>
      </c>
      <c r="C160" s="92">
        <v>142</v>
      </c>
      <c r="D160" s="6" t="s">
        <v>102</v>
      </c>
      <c r="E160" s="6">
        <v>1</v>
      </c>
      <c r="F160" s="106">
        <f>(10000)*(F148/J148)</f>
        <v>4.1141586360266873E-2</v>
      </c>
      <c r="G160" s="91"/>
      <c r="H160" s="92">
        <v>116</v>
      </c>
      <c r="I160" s="83">
        <v>0.1</v>
      </c>
      <c r="J160" s="84">
        <f>H160/0.01</f>
        <v>11600</v>
      </c>
      <c r="K160" s="84">
        <f>H160/I160</f>
        <v>1160</v>
      </c>
      <c r="L160" s="84"/>
      <c r="M160" s="85"/>
      <c r="N160" s="85"/>
      <c r="O160" s="85"/>
      <c r="P160" s="85"/>
      <c r="Q160" s="85"/>
      <c r="R160" s="85"/>
      <c r="S160" s="13">
        <v>124</v>
      </c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84">
        <f>S160/S8</f>
        <v>2480000</v>
      </c>
      <c r="AE160" s="86">
        <f t="shared" si="49"/>
        <v>16.584707046358908</v>
      </c>
      <c r="AF160" s="13"/>
    </row>
    <row r="161" spans="1:32" hidden="1" x14ac:dyDescent="0.25">
      <c r="A161" s="7">
        <v>44103</v>
      </c>
      <c r="B161" s="42">
        <v>4</v>
      </c>
      <c r="C161" s="92">
        <v>143</v>
      </c>
      <c r="D161" s="6" t="s">
        <v>103</v>
      </c>
      <c r="E161" s="6">
        <v>2</v>
      </c>
      <c r="F161" s="106">
        <f>(10000)*(F145/J145)</f>
        <v>4.3861959957850374E-2</v>
      </c>
      <c r="G161" s="91"/>
      <c r="H161" s="92">
        <v>126</v>
      </c>
      <c r="I161" s="83">
        <v>0.1</v>
      </c>
      <c r="J161" s="84">
        <f>H161/0.01</f>
        <v>12600</v>
      </c>
      <c r="K161" s="84">
        <f t="shared" si="48"/>
        <v>1260</v>
      </c>
      <c r="L161" s="84"/>
      <c r="M161" s="85"/>
      <c r="N161" s="85"/>
      <c r="O161" s="85"/>
      <c r="P161" s="85"/>
      <c r="Q161" s="85"/>
      <c r="R161" s="85"/>
      <c r="S161" s="13">
        <v>107</v>
      </c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84">
        <f>S161/S8</f>
        <v>2140000</v>
      </c>
      <c r="AE161" s="86">
        <f t="shared" si="49"/>
        <v>16.086913564562696</v>
      </c>
      <c r="AF161" s="13"/>
    </row>
    <row r="162" spans="1:32" hidden="1" x14ac:dyDescent="0.25">
      <c r="A162" s="7">
        <v>44103</v>
      </c>
      <c r="B162" s="42">
        <v>5</v>
      </c>
      <c r="C162" s="92">
        <v>135</v>
      </c>
      <c r="D162" s="6" t="s">
        <v>95</v>
      </c>
      <c r="E162" s="6">
        <v>1</v>
      </c>
      <c r="F162" s="90">
        <f>(100000)*F151/J151</f>
        <v>9.5284376220831097E-3</v>
      </c>
      <c r="G162" s="91"/>
      <c r="H162" s="92">
        <v>112</v>
      </c>
      <c r="I162" s="83">
        <v>0.01</v>
      </c>
      <c r="J162" s="84">
        <f t="shared" ref="J162:J163" si="51">H162/0.001</f>
        <v>112000</v>
      </c>
      <c r="K162" s="84">
        <f t="shared" si="48"/>
        <v>11200</v>
      </c>
      <c r="L162" s="84"/>
      <c r="M162" s="85"/>
      <c r="N162" s="85"/>
      <c r="O162" s="85"/>
      <c r="P162" s="85"/>
      <c r="Q162" s="85"/>
      <c r="R162" s="85"/>
      <c r="S162" s="13"/>
      <c r="T162" s="13"/>
      <c r="U162" s="13"/>
      <c r="V162" s="13"/>
      <c r="W162" s="13"/>
      <c r="X162" s="13"/>
      <c r="Y162" s="13"/>
      <c r="Z162" s="13">
        <v>149</v>
      </c>
      <c r="AA162" s="13"/>
      <c r="AB162" s="13"/>
      <c r="AC162" s="13"/>
      <c r="AD162" s="84">
        <f>Z162/Z8</f>
        <v>212857142.85714287</v>
      </c>
      <c r="AE162" s="86">
        <f t="shared" si="49"/>
        <v>21.31049347943593</v>
      </c>
      <c r="AF162" s="13"/>
    </row>
    <row r="163" spans="1:32" hidden="1" x14ac:dyDescent="0.25">
      <c r="A163" s="7">
        <v>44103</v>
      </c>
      <c r="B163" s="42">
        <v>6</v>
      </c>
      <c r="C163" s="92">
        <v>137</v>
      </c>
      <c r="D163" s="6" t="s">
        <v>97</v>
      </c>
      <c r="E163" s="6">
        <v>2</v>
      </c>
      <c r="F163" s="84">
        <f>(100000)*(F147/J147)</f>
        <v>2.0083144217058625E-2</v>
      </c>
      <c r="G163" s="91"/>
      <c r="H163" s="92">
        <v>86</v>
      </c>
      <c r="I163" s="83">
        <v>0.01</v>
      </c>
      <c r="J163" s="84">
        <f t="shared" si="51"/>
        <v>86000</v>
      </c>
      <c r="K163" s="84">
        <f t="shared" si="48"/>
        <v>8600</v>
      </c>
      <c r="L163" s="84"/>
      <c r="M163" s="85"/>
      <c r="N163" s="85"/>
      <c r="O163" s="85"/>
      <c r="P163" s="85"/>
      <c r="Q163" s="85"/>
      <c r="R163" s="85"/>
      <c r="S163" s="13"/>
      <c r="T163" s="13"/>
      <c r="U163" s="13"/>
      <c r="V163" s="13"/>
      <c r="W163" s="13"/>
      <c r="X163" s="13"/>
      <c r="Y163" s="13">
        <v>107</v>
      </c>
      <c r="Z163" s="13"/>
      <c r="AA163" s="13"/>
      <c r="AB163" s="13"/>
      <c r="AC163" s="13"/>
      <c r="AD163" s="84">
        <f>Y163/Y8</f>
        <v>107000000</v>
      </c>
      <c r="AE163" s="86">
        <f t="shared" si="49"/>
        <v>20.39417482945802</v>
      </c>
      <c r="AF163" s="13"/>
    </row>
    <row r="164" spans="1:32" hidden="1" x14ac:dyDescent="0.25">
      <c r="A164" s="7">
        <v>44103</v>
      </c>
      <c r="B164" s="42">
        <v>7</v>
      </c>
      <c r="C164" s="92">
        <v>144</v>
      </c>
      <c r="D164" s="6" t="s">
        <v>104</v>
      </c>
      <c r="E164" s="6">
        <v>1</v>
      </c>
      <c r="F164" s="106">
        <v>1.43620689655172E-2</v>
      </c>
      <c r="G164" s="91"/>
      <c r="H164" s="92">
        <v>98</v>
      </c>
      <c r="I164" s="83">
        <v>0.1</v>
      </c>
      <c r="J164" s="84">
        <f>H164/0.01</f>
        <v>9800</v>
      </c>
      <c r="K164" s="84">
        <f t="shared" si="48"/>
        <v>980</v>
      </c>
      <c r="L164" s="84"/>
      <c r="M164" s="85"/>
      <c r="N164" s="85"/>
      <c r="O164" s="85"/>
      <c r="P164" s="85"/>
      <c r="Q164" s="85">
        <v>138</v>
      </c>
      <c r="S164" s="85">
        <v>80</v>
      </c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84">
        <f>S164/S8</f>
        <v>1600000</v>
      </c>
      <c r="AE164" s="86">
        <f t="shared" si="49"/>
        <v>16.001503051625548</v>
      </c>
      <c r="AF164" s="13"/>
    </row>
    <row r="165" spans="1:32" hidden="1" x14ac:dyDescent="0.25">
      <c r="A165" s="7">
        <v>44103</v>
      </c>
      <c r="B165" s="42">
        <v>8</v>
      </c>
      <c r="C165" s="92">
        <v>131</v>
      </c>
      <c r="D165" s="6" t="s">
        <v>91</v>
      </c>
      <c r="E165" s="68">
        <v>1</v>
      </c>
      <c r="F165" s="90">
        <f>(100000)*(F155/J155)</f>
        <v>8.0065461521339858E-3</v>
      </c>
      <c r="G165" s="91"/>
      <c r="H165" s="92">
        <v>92</v>
      </c>
      <c r="I165" s="83">
        <v>0.01</v>
      </c>
      <c r="J165" s="84">
        <f>H165/0.001</f>
        <v>92000</v>
      </c>
      <c r="K165" s="84">
        <f t="shared" si="48"/>
        <v>9200</v>
      </c>
      <c r="L165" s="84"/>
      <c r="M165" s="85"/>
      <c r="N165" s="85"/>
      <c r="O165" s="85"/>
      <c r="P165" s="85"/>
      <c r="Q165" s="85"/>
      <c r="R165" s="85"/>
      <c r="S165" s="13"/>
      <c r="T165" s="13"/>
      <c r="U165" s="13"/>
      <c r="V165" s="13"/>
      <c r="W165" s="13"/>
      <c r="X165" s="13"/>
      <c r="Y165" s="13"/>
      <c r="Z165" s="13"/>
      <c r="AA165" s="13">
        <v>118</v>
      </c>
      <c r="AB165" s="13"/>
      <c r="AC165" s="13"/>
      <c r="AD165" s="84">
        <f>AA165/AA8</f>
        <v>236000000</v>
      </c>
      <c r="AE165" s="86">
        <f t="shared" si="49"/>
        <v>21.959210603979429</v>
      </c>
      <c r="AF165" s="13"/>
    </row>
    <row r="166" spans="1:32" hidden="1" x14ac:dyDescent="0.25">
      <c r="A166" s="7">
        <v>44103</v>
      </c>
      <c r="B166" s="42">
        <v>9</v>
      </c>
      <c r="C166" s="92">
        <v>140</v>
      </c>
      <c r="D166" s="6" t="s">
        <v>100</v>
      </c>
      <c r="E166" s="6">
        <v>1</v>
      </c>
      <c r="F166" s="84">
        <f>(100000)*(F150/J150)</f>
        <v>4.2735042735042743E-2</v>
      </c>
      <c r="G166" s="91"/>
      <c r="H166" s="92">
        <v>98</v>
      </c>
      <c r="I166" s="83">
        <v>0.01</v>
      </c>
      <c r="J166" s="84">
        <f>H166/0.001</f>
        <v>98000</v>
      </c>
      <c r="K166" s="84">
        <f t="shared" si="48"/>
        <v>9800</v>
      </c>
      <c r="L166" s="84"/>
      <c r="M166" s="85"/>
      <c r="N166" s="85"/>
      <c r="O166" s="85"/>
      <c r="P166" s="85"/>
      <c r="Q166" s="85"/>
      <c r="R166" s="85"/>
      <c r="S166" s="13"/>
      <c r="T166" s="13"/>
      <c r="U166" s="13"/>
      <c r="V166" s="13"/>
      <c r="W166" s="13">
        <v>136</v>
      </c>
      <c r="X166" s="13"/>
      <c r="Y166" s="13"/>
      <c r="Z166" s="13"/>
      <c r="AA166" s="13"/>
      <c r="AB166" s="13"/>
      <c r="AC166" s="13"/>
      <c r="AD166" s="84">
        <f>W166/W8</f>
        <v>27199999.999999996</v>
      </c>
      <c r="AE166" s="86">
        <f t="shared" si="49"/>
        <v>17.149231307042307</v>
      </c>
      <c r="AF166" s="13"/>
    </row>
    <row r="167" spans="1:32" hidden="1" x14ac:dyDescent="0.25">
      <c r="A167" s="7">
        <v>44103</v>
      </c>
      <c r="B167" s="42">
        <v>10</v>
      </c>
      <c r="C167" s="92">
        <v>139</v>
      </c>
      <c r="D167" s="6" t="s">
        <v>99</v>
      </c>
      <c r="E167" s="6">
        <v>1</v>
      </c>
      <c r="F167" s="84">
        <f>(100000)*(F149/J149)</f>
        <v>4.5283292276481681E-2</v>
      </c>
      <c r="G167" s="91"/>
      <c r="H167" s="92">
        <v>119</v>
      </c>
      <c r="I167" s="83">
        <v>0.01</v>
      </c>
      <c r="J167" s="84">
        <f t="shared" ref="J167:J168" si="52">H167/0.001</f>
        <v>119000</v>
      </c>
      <c r="K167" s="84">
        <f t="shared" si="48"/>
        <v>11900</v>
      </c>
      <c r="L167" s="84"/>
      <c r="M167" s="85"/>
      <c r="N167" s="85"/>
      <c r="O167" s="85"/>
      <c r="P167" s="85"/>
      <c r="Q167" s="85"/>
      <c r="R167" s="85"/>
      <c r="S167" s="13"/>
      <c r="T167" s="13"/>
      <c r="U167" s="13"/>
      <c r="V167" s="13"/>
      <c r="W167" s="13"/>
      <c r="X167" s="13">
        <v>102</v>
      </c>
      <c r="Y167" s="13"/>
      <c r="Z167" s="13"/>
      <c r="AA167" s="13"/>
      <c r="AB167" s="13"/>
      <c r="AC167" s="13"/>
      <c r="AD167" s="84">
        <f>X167/X8</f>
        <v>51000000</v>
      </c>
      <c r="AE167" s="86">
        <f t="shared" si="49"/>
        <v>18.088935469584712</v>
      </c>
      <c r="AF167" s="13"/>
    </row>
    <row r="168" spans="1:32" hidden="1" x14ac:dyDescent="0.25">
      <c r="A168" s="7">
        <v>44103</v>
      </c>
      <c r="B168" s="42">
        <v>11</v>
      </c>
      <c r="C168" s="12">
        <v>100</v>
      </c>
      <c r="D168" s="12" t="s">
        <v>10</v>
      </c>
      <c r="E168" s="105">
        <v>1</v>
      </c>
      <c r="F168" s="90">
        <f>(100000)*(F153/J153)</f>
        <v>3.6752015003172363E-3</v>
      </c>
      <c r="G168" s="91"/>
      <c r="H168" s="92">
        <v>111</v>
      </c>
      <c r="I168" s="83">
        <v>0.01</v>
      </c>
      <c r="J168" s="84">
        <f t="shared" si="52"/>
        <v>111000</v>
      </c>
      <c r="K168" s="84">
        <f t="shared" si="48"/>
        <v>11100</v>
      </c>
      <c r="L168" s="84"/>
      <c r="M168" s="85"/>
      <c r="N168" s="85"/>
      <c r="O168" s="85"/>
      <c r="P168" s="85"/>
      <c r="Q168" s="85"/>
      <c r="R168" s="85"/>
      <c r="S168" s="13"/>
      <c r="T168" s="13"/>
      <c r="U168" s="13"/>
      <c r="V168" s="13"/>
      <c r="W168" s="13"/>
      <c r="X168" s="13"/>
      <c r="Y168" s="13"/>
      <c r="Z168" s="13"/>
      <c r="AA168" s="13">
        <v>98</v>
      </c>
      <c r="AB168" s="13"/>
      <c r="AC168" s="13"/>
      <c r="AD168" s="84">
        <f>AA168/AA8</f>
        <v>196000000</v>
      </c>
      <c r="AE168" s="86">
        <f t="shared" si="49"/>
        <v>21.151433819062298</v>
      </c>
      <c r="AF168" s="13"/>
    </row>
    <row r="169" spans="1:32" hidden="1" x14ac:dyDescent="0.25">
      <c r="F169" s="87"/>
    </row>
    <row r="170" spans="1:32" hidden="1" x14ac:dyDescent="0.25">
      <c r="A170" s="48">
        <v>44105</v>
      </c>
      <c r="B170" s="42">
        <v>1</v>
      </c>
      <c r="C170" s="92">
        <v>156</v>
      </c>
      <c r="D170" s="12" t="s">
        <v>65</v>
      </c>
      <c r="E170" s="12">
        <v>1</v>
      </c>
      <c r="F170" s="80">
        <v>5.681818181818182E-3</v>
      </c>
      <c r="G170" s="81"/>
      <c r="H170" s="82">
        <v>98</v>
      </c>
      <c r="I170" s="83">
        <v>0.01</v>
      </c>
      <c r="J170" s="84">
        <f>H170/0.001</f>
        <v>98000</v>
      </c>
      <c r="K170" s="84">
        <f t="shared" ref="K170:K182" si="53">H170/I170</f>
        <v>9800</v>
      </c>
      <c r="L170" s="84"/>
      <c r="M170" s="85"/>
      <c r="N170" s="85"/>
      <c r="O170" s="85"/>
      <c r="P170" s="85"/>
      <c r="Q170" s="85"/>
      <c r="R170" s="85"/>
      <c r="S170" s="13"/>
      <c r="T170" s="13"/>
      <c r="U170" s="13"/>
      <c r="V170" s="13"/>
      <c r="W170" s="13">
        <v>87</v>
      </c>
      <c r="X170" s="13"/>
      <c r="Y170" s="13">
        <v>14</v>
      </c>
      <c r="Z170" s="13"/>
      <c r="AA170" s="13">
        <v>9</v>
      </c>
      <c r="AB170" s="13"/>
      <c r="AC170" s="13"/>
      <c r="AD170" s="84">
        <f>W170/W8</f>
        <v>17400000</v>
      </c>
      <c r="AE170" s="86">
        <f t="shared" ref="AE170:AE182" si="54">LN(AD170/K170)/(0.667*LN(2))</f>
        <v>16.182935436874974</v>
      </c>
      <c r="AF170" s="13" t="s">
        <v>185</v>
      </c>
    </row>
    <row r="171" spans="1:32" hidden="1" x14ac:dyDescent="0.25">
      <c r="A171" s="48">
        <v>44105</v>
      </c>
      <c r="B171" s="42">
        <v>2</v>
      </c>
      <c r="C171" s="92">
        <v>167</v>
      </c>
      <c r="D171" s="12" t="s">
        <v>76</v>
      </c>
      <c r="E171" s="12">
        <v>1</v>
      </c>
      <c r="F171" s="90">
        <v>7.352941176470589E-3</v>
      </c>
      <c r="G171" s="91"/>
      <c r="H171" s="92">
        <v>90</v>
      </c>
      <c r="I171" s="83">
        <v>0.01</v>
      </c>
      <c r="J171" s="84">
        <f t="shared" ref="J171:J177" si="55">H171/0.001</f>
        <v>90000</v>
      </c>
      <c r="K171" s="84">
        <f t="shared" si="53"/>
        <v>9000</v>
      </c>
      <c r="L171" s="84"/>
      <c r="M171" s="85"/>
      <c r="N171" s="85"/>
      <c r="O171" s="85"/>
      <c r="P171" s="85"/>
      <c r="Q171" s="85"/>
      <c r="R171" s="85"/>
      <c r="S171" s="13"/>
      <c r="T171" s="13"/>
      <c r="U171" s="13"/>
      <c r="V171" s="13"/>
      <c r="W171" s="13">
        <v>11</v>
      </c>
      <c r="X171" s="13"/>
      <c r="Y171" s="13">
        <v>2</v>
      </c>
      <c r="Z171" s="13"/>
      <c r="AA171" s="13">
        <v>2</v>
      </c>
      <c r="AB171" s="13"/>
      <c r="AC171" s="13"/>
      <c r="AD171" s="114">
        <f>W171/W8</f>
        <v>2200000</v>
      </c>
      <c r="AE171" s="116">
        <f t="shared" si="54"/>
        <v>11.894097161873628</v>
      </c>
      <c r="AF171" s="13" t="s">
        <v>186</v>
      </c>
    </row>
    <row r="172" spans="1:32" hidden="1" x14ac:dyDescent="0.25">
      <c r="A172" s="48">
        <v>44105</v>
      </c>
      <c r="B172" s="42">
        <v>3</v>
      </c>
      <c r="C172" s="92">
        <v>148</v>
      </c>
      <c r="D172" s="12" t="s">
        <v>57</v>
      </c>
      <c r="E172" s="12">
        <v>1</v>
      </c>
      <c r="F172" s="90">
        <v>3.0959752321981426E-3</v>
      </c>
      <c r="G172" s="91"/>
      <c r="H172" s="92">
        <v>144</v>
      </c>
      <c r="I172" s="83">
        <v>0.01</v>
      </c>
      <c r="J172" s="84">
        <f t="shared" si="55"/>
        <v>144000</v>
      </c>
      <c r="K172" s="84">
        <f t="shared" si="53"/>
        <v>14400</v>
      </c>
      <c r="L172" s="84"/>
      <c r="M172" s="85"/>
      <c r="N172" s="85"/>
      <c r="O172" s="85"/>
      <c r="P172" s="85"/>
      <c r="Q172" s="85"/>
      <c r="R172" s="85"/>
      <c r="S172" s="13"/>
      <c r="T172" s="13"/>
      <c r="U172" s="13"/>
      <c r="V172" s="13"/>
      <c r="W172" s="13" t="s">
        <v>13</v>
      </c>
      <c r="X172" s="13"/>
      <c r="Y172" s="13">
        <v>154</v>
      </c>
      <c r="Z172" s="13"/>
      <c r="AA172" s="13">
        <v>108</v>
      </c>
      <c r="AB172" s="13"/>
      <c r="AC172" s="13"/>
      <c r="AD172" s="84">
        <f>AA172/AA8</f>
        <v>216000000</v>
      </c>
      <c r="AE172" s="86">
        <f t="shared" si="54"/>
        <v>20.798613013898962</v>
      </c>
      <c r="AF172" s="13" t="s">
        <v>187</v>
      </c>
    </row>
    <row r="173" spans="1:32" hidden="1" x14ac:dyDescent="0.25">
      <c r="A173" s="48">
        <v>44105</v>
      </c>
      <c r="B173" s="42">
        <v>4</v>
      </c>
      <c r="C173" s="92">
        <v>153</v>
      </c>
      <c r="D173" s="12" t="s">
        <v>62</v>
      </c>
      <c r="E173" s="12">
        <v>1</v>
      </c>
      <c r="F173" s="55">
        <v>3.6496350364963507E-3</v>
      </c>
      <c r="G173" s="91"/>
      <c r="H173" s="92">
        <v>121</v>
      </c>
      <c r="I173" s="83">
        <v>0.01</v>
      </c>
      <c r="J173" s="84">
        <f t="shared" si="55"/>
        <v>121000</v>
      </c>
      <c r="K173" s="84">
        <f t="shared" si="53"/>
        <v>12100</v>
      </c>
      <c r="L173" s="84"/>
      <c r="M173" s="85"/>
      <c r="N173" s="85"/>
      <c r="O173" s="85"/>
      <c r="P173" s="85"/>
      <c r="Q173" s="85"/>
      <c r="R173" s="85"/>
      <c r="S173" s="13"/>
      <c r="T173" s="13"/>
      <c r="U173" s="13"/>
      <c r="V173" s="13"/>
      <c r="W173" s="13">
        <v>97</v>
      </c>
      <c r="X173" s="13"/>
      <c r="Y173" s="13">
        <v>17</v>
      </c>
      <c r="Z173" s="13"/>
      <c r="AA173" s="13">
        <v>11</v>
      </c>
      <c r="AB173" s="13"/>
      <c r="AC173" s="13"/>
      <c r="AD173" s="84">
        <f>W173/W8</f>
        <v>19400000</v>
      </c>
      <c r="AE173" s="86">
        <f t="shared" si="54"/>
        <v>15.962269699512174</v>
      </c>
      <c r="AF173" s="13" t="s">
        <v>188</v>
      </c>
    </row>
    <row r="174" spans="1:32" hidden="1" x14ac:dyDescent="0.25">
      <c r="A174" s="48">
        <v>44105</v>
      </c>
      <c r="B174" s="42">
        <v>5</v>
      </c>
      <c r="C174" s="92">
        <v>165</v>
      </c>
      <c r="D174" s="12" t="s">
        <v>74</v>
      </c>
      <c r="E174" s="12">
        <v>1</v>
      </c>
      <c r="F174" s="90">
        <v>4.3478260869565216E-2</v>
      </c>
      <c r="G174" s="91"/>
      <c r="H174" s="92">
        <v>97</v>
      </c>
      <c r="I174" s="83">
        <v>0.01</v>
      </c>
      <c r="J174" s="84">
        <f t="shared" si="55"/>
        <v>97000</v>
      </c>
      <c r="K174" s="84">
        <f t="shared" si="53"/>
        <v>9700</v>
      </c>
      <c r="L174" s="84"/>
      <c r="M174" s="85"/>
      <c r="N174" s="85"/>
      <c r="O174" s="85"/>
      <c r="P174" s="85"/>
      <c r="Q174" s="85"/>
      <c r="R174" s="85"/>
      <c r="S174" s="13"/>
      <c r="T174" s="13"/>
      <c r="U174" s="13"/>
      <c r="V174" s="13"/>
      <c r="W174" s="13">
        <v>0</v>
      </c>
      <c r="X174" s="13"/>
      <c r="Y174" s="13">
        <v>0</v>
      </c>
      <c r="Z174" s="13"/>
      <c r="AA174" s="13">
        <v>0</v>
      </c>
      <c r="AB174" s="13"/>
      <c r="AC174" s="13"/>
      <c r="AD174" s="114"/>
      <c r="AE174" s="116" t="e">
        <f t="shared" si="54"/>
        <v>#NUM!</v>
      </c>
      <c r="AF174" s="13" t="s">
        <v>189</v>
      </c>
    </row>
    <row r="175" spans="1:32" hidden="1" x14ac:dyDescent="0.25">
      <c r="A175" s="48">
        <v>44105</v>
      </c>
      <c r="B175" s="42">
        <v>6</v>
      </c>
      <c r="C175" s="92">
        <v>152</v>
      </c>
      <c r="D175" s="12" t="s">
        <v>61</v>
      </c>
      <c r="E175" s="12">
        <v>1</v>
      </c>
      <c r="F175" s="90">
        <v>2.7700831024930748E-3</v>
      </c>
      <c r="G175" s="91"/>
      <c r="H175" s="92">
        <v>117</v>
      </c>
      <c r="I175" s="83">
        <v>0.01</v>
      </c>
      <c r="J175" s="84">
        <f t="shared" si="55"/>
        <v>117000</v>
      </c>
      <c r="K175" s="84">
        <f t="shared" si="53"/>
        <v>11700</v>
      </c>
      <c r="L175" s="84"/>
      <c r="M175" s="85"/>
      <c r="N175" s="85"/>
      <c r="O175" s="85"/>
      <c r="P175" s="85"/>
      <c r="Q175" s="85"/>
      <c r="R175" s="85"/>
      <c r="S175" s="13"/>
      <c r="T175" s="13"/>
      <c r="U175" s="13"/>
      <c r="V175" s="13"/>
      <c r="W175" s="13" t="s">
        <v>13</v>
      </c>
      <c r="X175" s="13"/>
      <c r="Y175" s="13">
        <v>67</v>
      </c>
      <c r="Z175" s="13"/>
      <c r="AA175" s="13">
        <v>38</v>
      </c>
      <c r="AB175" s="13"/>
      <c r="AC175" s="13"/>
      <c r="AD175" s="84">
        <f>Y175/Y8</f>
        <v>67000000</v>
      </c>
      <c r="AE175" s="86">
        <f t="shared" si="54"/>
        <v>18.715797376947251</v>
      </c>
      <c r="AF175" s="13" t="s">
        <v>157</v>
      </c>
    </row>
    <row r="176" spans="1:32" hidden="1" x14ac:dyDescent="0.25">
      <c r="A176" s="48">
        <v>44105</v>
      </c>
      <c r="B176" s="42">
        <v>7</v>
      </c>
      <c r="C176" s="92">
        <v>147</v>
      </c>
      <c r="D176" s="12" t="s">
        <v>56</v>
      </c>
      <c r="E176" s="12">
        <v>1</v>
      </c>
      <c r="F176" s="90">
        <v>7.5757575757575768E-3</v>
      </c>
      <c r="G176" s="91"/>
      <c r="H176" s="92">
        <v>142</v>
      </c>
      <c r="I176" s="83">
        <v>0.01</v>
      </c>
      <c r="J176" s="84">
        <f t="shared" si="55"/>
        <v>142000</v>
      </c>
      <c r="K176" s="84">
        <f t="shared" si="53"/>
        <v>14200</v>
      </c>
      <c r="L176" s="84"/>
      <c r="M176" s="85"/>
      <c r="N176" s="85"/>
      <c r="O176" s="85"/>
      <c r="P176" s="85"/>
      <c r="Q176" s="85"/>
      <c r="R176" s="85"/>
      <c r="S176" s="13"/>
      <c r="T176" s="13"/>
      <c r="U176" s="13"/>
      <c r="V176" s="13"/>
      <c r="W176" s="13" t="s">
        <v>13</v>
      </c>
      <c r="X176" s="13"/>
      <c r="Y176" s="13">
        <v>113</v>
      </c>
      <c r="Z176" s="13"/>
      <c r="AA176" s="13">
        <v>57</v>
      </c>
      <c r="AB176" s="13"/>
      <c r="AC176" s="13"/>
      <c r="AD176" s="84">
        <f>Y176/Y8</f>
        <v>113000000</v>
      </c>
      <c r="AE176" s="86">
        <f t="shared" si="54"/>
        <v>19.427502582398734</v>
      </c>
      <c r="AF176" s="13" t="s">
        <v>157</v>
      </c>
    </row>
    <row r="177" spans="1:32" hidden="1" x14ac:dyDescent="0.25">
      <c r="A177" s="48">
        <v>44105</v>
      </c>
      <c r="B177" s="42">
        <v>8</v>
      </c>
      <c r="C177" s="92">
        <v>164</v>
      </c>
      <c r="D177" s="12" t="s">
        <v>73</v>
      </c>
      <c r="E177" s="12">
        <v>1</v>
      </c>
      <c r="F177" s="90">
        <v>1.020408163265306E-2</v>
      </c>
      <c r="G177" s="91"/>
      <c r="H177" s="92">
        <v>60</v>
      </c>
      <c r="I177" s="83">
        <v>0.01</v>
      </c>
      <c r="J177" s="84">
        <f t="shared" si="55"/>
        <v>60000</v>
      </c>
      <c r="K177" s="84">
        <f t="shared" si="53"/>
        <v>6000</v>
      </c>
      <c r="L177" s="84"/>
      <c r="M177" s="85"/>
      <c r="N177" s="85"/>
      <c r="O177" s="85"/>
      <c r="P177" s="85"/>
      <c r="Q177" s="85"/>
      <c r="R177" s="85"/>
      <c r="S177" s="13"/>
      <c r="T177" s="13"/>
      <c r="U177" s="13"/>
      <c r="V177" s="13"/>
      <c r="W177" s="13">
        <v>3</v>
      </c>
      <c r="X177" s="13"/>
      <c r="Y177" s="13">
        <v>0</v>
      </c>
      <c r="Z177" s="13"/>
      <c r="AA177" s="13">
        <v>1</v>
      </c>
      <c r="AB177" s="13"/>
      <c r="AC177" s="13"/>
      <c r="AD177" s="114"/>
      <c r="AE177" s="116" t="e">
        <f t="shared" si="54"/>
        <v>#NUM!</v>
      </c>
      <c r="AF177" s="13" t="s">
        <v>186</v>
      </c>
    </row>
    <row r="178" spans="1:32" hidden="1" x14ac:dyDescent="0.25">
      <c r="A178" s="48">
        <v>44105</v>
      </c>
      <c r="B178" s="42">
        <v>9</v>
      </c>
      <c r="C178" s="92">
        <v>146</v>
      </c>
      <c r="D178" s="12" t="s">
        <v>55</v>
      </c>
      <c r="E178" s="12">
        <v>1</v>
      </c>
      <c r="F178" s="90">
        <v>5.235602094240838E-3</v>
      </c>
      <c r="G178" s="91"/>
      <c r="H178" s="92">
        <v>106</v>
      </c>
      <c r="I178" s="83">
        <v>0.01</v>
      </c>
      <c r="J178" s="84">
        <f>H178/0.001</f>
        <v>106000</v>
      </c>
      <c r="K178" s="84">
        <f t="shared" si="53"/>
        <v>10600</v>
      </c>
      <c r="L178" s="84"/>
      <c r="M178" s="85"/>
      <c r="N178" s="85"/>
      <c r="O178" s="85"/>
      <c r="P178" s="85"/>
      <c r="Q178" s="85"/>
      <c r="R178" s="85"/>
      <c r="S178" s="13"/>
      <c r="T178" s="13"/>
      <c r="U178" s="13"/>
      <c r="V178" s="13"/>
      <c r="W178" s="13" t="s">
        <v>13</v>
      </c>
      <c r="X178" s="13"/>
      <c r="Y178" s="13">
        <v>165</v>
      </c>
      <c r="Z178" s="13"/>
      <c r="AA178" s="13">
        <v>103</v>
      </c>
      <c r="AB178" s="13"/>
      <c r="AC178" s="13"/>
      <c r="AD178" s="84">
        <f>AA178/AA8</f>
        <v>206000000</v>
      </c>
      <c r="AE178" s="86">
        <f t="shared" si="54"/>
        <v>21.358759298604902</v>
      </c>
      <c r="AF178" s="13" t="s">
        <v>190</v>
      </c>
    </row>
    <row r="179" spans="1:32" hidden="1" x14ac:dyDescent="0.25">
      <c r="A179" s="48">
        <v>44105</v>
      </c>
      <c r="B179" s="42">
        <v>10</v>
      </c>
      <c r="C179" s="12">
        <v>100</v>
      </c>
      <c r="D179" s="12" t="s">
        <v>10</v>
      </c>
      <c r="E179" s="105">
        <v>1</v>
      </c>
      <c r="F179" s="90">
        <f>(100000)*(F168/J168)</f>
        <v>3.3109923426281412E-3</v>
      </c>
      <c r="G179" s="91"/>
      <c r="H179" s="92">
        <v>76</v>
      </c>
      <c r="I179" s="83">
        <v>0.01</v>
      </c>
      <c r="J179" s="84">
        <f t="shared" ref="J179:J181" si="56">H179/0.001</f>
        <v>76000</v>
      </c>
      <c r="K179" s="84">
        <f t="shared" si="53"/>
        <v>7600</v>
      </c>
      <c r="L179" s="84"/>
      <c r="M179" s="85"/>
      <c r="N179" s="85"/>
      <c r="O179" s="85"/>
      <c r="P179" s="85"/>
      <c r="Q179" s="85"/>
      <c r="R179" s="85"/>
      <c r="S179" s="13"/>
      <c r="T179" s="13"/>
      <c r="U179" s="13"/>
      <c r="V179" s="13"/>
      <c r="W179" s="13"/>
      <c r="X179" s="13"/>
      <c r="Y179" s="13"/>
      <c r="Z179" s="13"/>
      <c r="AA179" s="13">
        <v>71</v>
      </c>
      <c r="AB179" s="13"/>
      <c r="AC179" s="13"/>
      <c r="AD179" s="84">
        <f>AA179/AA8</f>
        <v>142000000</v>
      </c>
      <c r="AE179" s="86">
        <f t="shared" si="54"/>
        <v>21.273661147841899</v>
      </c>
      <c r="AF179" s="13" t="s">
        <v>191</v>
      </c>
    </row>
    <row r="180" spans="1:32" hidden="1" x14ac:dyDescent="0.25">
      <c r="A180" s="48">
        <v>44105</v>
      </c>
      <c r="B180" s="42">
        <v>11</v>
      </c>
      <c r="C180" s="92">
        <v>144</v>
      </c>
      <c r="D180" s="6" t="s">
        <v>104</v>
      </c>
      <c r="E180" s="6">
        <v>1</v>
      </c>
      <c r="F180" s="106">
        <f>(10000)*(F164/J164)</f>
        <v>1.4655172413793062E-2</v>
      </c>
      <c r="G180" s="91"/>
      <c r="H180" s="92">
        <v>83</v>
      </c>
      <c r="I180" s="83">
        <v>0.1</v>
      </c>
      <c r="J180" s="84">
        <f>H180/0.01</f>
        <v>8300</v>
      </c>
      <c r="K180" s="84">
        <f t="shared" si="53"/>
        <v>830</v>
      </c>
      <c r="L180" s="84"/>
      <c r="M180" s="85"/>
      <c r="N180" s="85"/>
      <c r="O180" s="85"/>
      <c r="P180" s="85"/>
      <c r="Q180" s="85">
        <v>138</v>
      </c>
      <c r="R180" s="85"/>
      <c r="S180" s="13">
        <v>79</v>
      </c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84">
        <f>S180/S8</f>
        <v>1580000</v>
      </c>
      <c r="AE180" s="86">
        <f t="shared" si="54"/>
        <v>16.333621591442679</v>
      </c>
      <c r="AF180" s="13" t="s">
        <v>170</v>
      </c>
    </row>
    <row r="181" spans="1:32" hidden="1" x14ac:dyDescent="0.25">
      <c r="A181" s="48">
        <v>44105</v>
      </c>
      <c r="B181" s="42">
        <v>12</v>
      </c>
      <c r="C181" s="92">
        <v>160</v>
      </c>
      <c r="D181" s="12" t="s">
        <v>69</v>
      </c>
      <c r="E181" s="109">
        <v>1</v>
      </c>
      <c r="F181" s="90">
        <v>7.2992700729927014E-3</v>
      </c>
      <c r="G181" s="91"/>
      <c r="H181" s="92">
        <v>87</v>
      </c>
      <c r="I181" s="83">
        <v>0.01</v>
      </c>
      <c r="J181" s="84">
        <f t="shared" si="56"/>
        <v>87000</v>
      </c>
      <c r="K181" s="84">
        <f t="shared" si="53"/>
        <v>8700</v>
      </c>
      <c r="L181" s="84"/>
      <c r="M181" s="85"/>
      <c r="N181" s="85"/>
      <c r="O181" s="85"/>
      <c r="P181" s="85"/>
      <c r="Q181" s="85"/>
      <c r="R181" s="85"/>
      <c r="S181" s="13"/>
      <c r="T181" s="13"/>
      <c r="U181" s="13"/>
      <c r="V181" s="13"/>
      <c r="W181" s="13">
        <v>127</v>
      </c>
      <c r="X181" s="13"/>
      <c r="Y181" s="13">
        <v>27</v>
      </c>
      <c r="Z181" s="13"/>
      <c r="AA181" s="13">
        <v>10</v>
      </c>
      <c r="AB181" s="13"/>
      <c r="AC181" s="13"/>
      <c r="AD181" s="84">
        <f>W181/W8</f>
        <v>25399999.999999996</v>
      </c>
      <c r="AE181" s="86">
        <f t="shared" si="54"/>
        <v>17.25865888393632</v>
      </c>
      <c r="AF181" s="13" t="s">
        <v>169</v>
      </c>
    </row>
    <row r="182" spans="1:32" hidden="1" x14ac:dyDescent="0.25">
      <c r="A182" s="48">
        <v>44105</v>
      </c>
      <c r="B182" s="42">
        <v>13</v>
      </c>
      <c r="C182" s="92">
        <v>136</v>
      </c>
      <c r="D182" s="92" t="s">
        <v>96</v>
      </c>
      <c r="E182" s="92">
        <v>1</v>
      </c>
      <c r="F182" s="115">
        <v>8.9300000000000004E-2</v>
      </c>
      <c r="G182" s="12"/>
      <c r="H182" s="12">
        <v>55</v>
      </c>
      <c r="I182" s="83">
        <v>0.5</v>
      </c>
      <c r="J182" s="84">
        <f>H182/0.05</f>
        <v>1100</v>
      </c>
      <c r="K182" s="84">
        <f t="shared" si="53"/>
        <v>110</v>
      </c>
      <c r="L182" s="6"/>
      <c r="M182" s="6" t="s">
        <v>13</v>
      </c>
      <c r="N182" s="6"/>
      <c r="O182" s="6" t="s">
        <v>13</v>
      </c>
      <c r="P182" s="6"/>
      <c r="Q182" s="85">
        <v>58</v>
      </c>
      <c r="R182" s="85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84">
        <f>Q182/Q8</f>
        <v>580000</v>
      </c>
      <c r="AE182" s="86">
        <f t="shared" si="54"/>
        <v>18.537231875790649</v>
      </c>
      <c r="AF182" s="6" t="s">
        <v>192</v>
      </c>
    </row>
    <row r="183" spans="1:32" hidden="1" x14ac:dyDescent="0.25"/>
    <row r="184" spans="1:32" hidden="1" x14ac:dyDescent="0.25">
      <c r="A184" s="48">
        <v>44108</v>
      </c>
      <c r="B184" s="42">
        <v>1</v>
      </c>
      <c r="C184" s="92">
        <v>100</v>
      </c>
      <c r="D184" s="12" t="s">
        <v>10</v>
      </c>
      <c r="E184" s="12">
        <v>3</v>
      </c>
      <c r="F184" s="115">
        <v>4.1699999999999997E-5</v>
      </c>
      <c r="G184" s="81"/>
      <c r="H184" s="82">
        <v>87</v>
      </c>
      <c r="I184" s="83">
        <v>0.5</v>
      </c>
      <c r="J184" s="84">
        <f>H184/0.05</f>
        <v>1740</v>
      </c>
      <c r="K184" s="84">
        <f t="shared" ref="K184:K199" si="57">H184/I184</f>
        <v>174</v>
      </c>
      <c r="L184" s="84"/>
      <c r="M184" s="85"/>
      <c r="N184" s="85"/>
      <c r="O184" s="85"/>
      <c r="P184" s="85"/>
      <c r="Q184" s="85"/>
      <c r="R184" s="85"/>
      <c r="S184" s="13">
        <v>188</v>
      </c>
      <c r="T184" s="13">
        <v>137</v>
      </c>
      <c r="U184" s="13"/>
      <c r="V184" s="13"/>
      <c r="W184" s="13"/>
      <c r="X184" s="13"/>
      <c r="Y184" s="13"/>
      <c r="Z184" s="13"/>
      <c r="AA184" s="13"/>
      <c r="AB184" s="13"/>
      <c r="AC184" s="13"/>
      <c r="AD184" s="84">
        <f>T184/T8</f>
        <v>6849999.9999999991</v>
      </c>
      <c r="AE184" s="86">
        <f t="shared" ref="AE184:AE199" si="58">LN(AD184/K184)/(0.667*LN(2))</f>
        <v>22.885650766939445</v>
      </c>
      <c r="AF184" s="13" t="s">
        <v>195</v>
      </c>
    </row>
    <row r="185" spans="1:32" hidden="1" x14ac:dyDescent="0.25">
      <c r="A185" s="48">
        <v>44108</v>
      </c>
      <c r="B185" s="42">
        <v>2</v>
      </c>
      <c r="C185" s="92">
        <v>147</v>
      </c>
      <c r="D185" s="12" t="s">
        <v>56</v>
      </c>
      <c r="E185" s="12">
        <v>1</v>
      </c>
      <c r="F185" s="55">
        <f>(100000)*(F176/J176)</f>
        <v>5.3350405463081525E-3</v>
      </c>
      <c r="G185" s="91"/>
      <c r="H185" s="92">
        <v>88</v>
      </c>
      <c r="I185" s="83">
        <v>0.01</v>
      </c>
      <c r="J185" s="84">
        <f t="shared" ref="J185:J187" si="59">H185/0.001</f>
        <v>88000</v>
      </c>
      <c r="K185" s="84">
        <f t="shared" si="57"/>
        <v>8800</v>
      </c>
      <c r="L185" s="84"/>
      <c r="M185" s="85"/>
      <c r="N185" s="85"/>
      <c r="O185" s="85"/>
      <c r="P185" s="85"/>
      <c r="Q185" s="85"/>
      <c r="R185" s="85"/>
      <c r="S185" s="13"/>
      <c r="T185" s="13"/>
      <c r="U185" s="13"/>
      <c r="V185" s="13"/>
      <c r="W185" s="13"/>
      <c r="X185" s="13">
        <v>158</v>
      </c>
      <c r="Y185" s="13">
        <v>67</v>
      </c>
      <c r="Z185" s="13"/>
      <c r="AA185" s="13"/>
      <c r="AB185" s="13"/>
      <c r="AC185" s="13"/>
      <c r="AD185" s="84">
        <f>Y185/Y8</f>
        <v>67000000</v>
      </c>
      <c r="AE185" s="86">
        <f t="shared" si="58"/>
        <v>19.331888982563605</v>
      </c>
      <c r="AF185" s="13" t="s">
        <v>196</v>
      </c>
    </row>
    <row r="186" spans="1:32" hidden="1" x14ac:dyDescent="0.25">
      <c r="A186" s="48">
        <v>44108</v>
      </c>
      <c r="B186" s="42">
        <v>3</v>
      </c>
      <c r="C186" s="92">
        <v>154</v>
      </c>
      <c r="D186" s="12" t="s">
        <v>63</v>
      </c>
      <c r="E186" s="12">
        <v>1</v>
      </c>
      <c r="F186" s="90">
        <v>1.6129032258064516E-3</v>
      </c>
      <c r="G186" s="91"/>
      <c r="H186" s="92">
        <v>125</v>
      </c>
      <c r="I186" s="83">
        <v>0.01</v>
      </c>
      <c r="J186" s="84">
        <f t="shared" si="59"/>
        <v>125000</v>
      </c>
      <c r="K186" s="84">
        <f t="shared" si="57"/>
        <v>12500</v>
      </c>
      <c r="L186" s="84"/>
      <c r="M186" s="85"/>
      <c r="N186" s="85"/>
      <c r="O186" s="85"/>
      <c r="P186" s="85"/>
      <c r="Q186" s="85"/>
      <c r="R186" s="85"/>
      <c r="S186" s="13"/>
      <c r="T186" s="13"/>
      <c r="U186" s="13"/>
      <c r="V186" s="13"/>
      <c r="W186" s="13" t="s">
        <v>13</v>
      </c>
      <c r="X186" s="13"/>
      <c r="Y186" s="13">
        <v>136</v>
      </c>
      <c r="Z186" s="13"/>
      <c r="AA186" s="13">
        <v>48</v>
      </c>
      <c r="AB186" s="13"/>
      <c r="AC186" s="13"/>
      <c r="AD186" s="84">
        <f>Y186/Y8</f>
        <v>136000000</v>
      </c>
      <c r="AE186" s="86">
        <f t="shared" si="58"/>
        <v>20.104034387013048</v>
      </c>
      <c r="AF186" s="13" t="s">
        <v>197</v>
      </c>
    </row>
    <row r="187" spans="1:32" hidden="1" x14ac:dyDescent="0.25">
      <c r="A187" s="48">
        <v>44108</v>
      </c>
      <c r="B187" s="42">
        <v>4</v>
      </c>
      <c r="C187" s="92">
        <v>164</v>
      </c>
      <c r="D187" s="12" t="s">
        <v>73</v>
      </c>
      <c r="E187" s="12">
        <v>1</v>
      </c>
      <c r="F187" s="90">
        <f>(100000)*F177/J177</f>
        <v>1.7006802721088433E-2</v>
      </c>
      <c r="G187" s="91"/>
      <c r="H187" s="92">
        <v>146</v>
      </c>
      <c r="I187" s="83">
        <v>0.01</v>
      </c>
      <c r="J187" s="84">
        <f t="shared" si="59"/>
        <v>146000</v>
      </c>
      <c r="K187" s="84">
        <f t="shared" si="57"/>
        <v>14600</v>
      </c>
      <c r="L187" s="84"/>
      <c r="M187" s="85"/>
      <c r="N187" s="85"/>
      <c r="O187" s="85"/>
      <c r="P187" s="85"/>
      <c r="Q187" s="85">
        <v>99</v>
      </c>
      <c r="R187" s="85"/>
      <c r="S187" s="13">
        <v>73</v>
      </c>
      <c r="T187" s="13"/>
      <c r="U187" s="13">
        <v>18</v>
      </c>
      <c r="V187" s="13"/>
      <c r="W187" s="13"/>
      <c r="X187" s="13"/>
      <c r="Y187" s="13"/>
      <c r="Z187" s="13"/>
      <c r="AA187" s="13"/>
      <c r="AB187" s="13"/>
      <c r="AC187" s="13"/>
      <c r="AD187" s="84">
        <f>Q187/Q8</f>
        <v>990000</v>
      </c>
      <c r="AE187" s="86">
        <f t="shared" si="58"/>
        <v>9.1205221154037748</v>
      </c>
      <c r="AF187" s="13" t="s">
        <v>192</v>
      </c>
    </row>
    <row r="188" spans="1:32" hidden="1" x14ac:dyDescent="0.25">
      <c r="A188" s="48">
        <v>44108</v>
      </c>
      <c r="B188" s="42">
        <v>5</v>
      </c>
      <c r="C188" s="12">
        <v>100</v>
      </c>
      <c r="D188" s="12" t="s">
        <v>10</v>
      </c>
      <c r="E188" s="105">
        <v>3</v>
      </c>
      <c r="F188" s="90">
        <v>4.1700000000000001E-3</v>
      </c>
      <c r="G188" s="91"/>
      <c r="H188" s="92">
        <v>137</v>
      </c>
      <c r="I188" s="83">
        <v>0.01</v>
      </c>
      <c r="J188" s="84">
        <f t="shared" ref="J188:J189" si="60">H188/0.001</f>
        <v>137000</v>
      </c>
      <c r="K188" s="84">
        <f t="shared" si="57"/>
        <v>13700</v>
      </c>
      <c r="L188" s="84"/>
      <c r="M188" s="85"/>
      <c r="N188" s="85"/>
      <c r="O188" s="85"/>
      <c r="P188" s="85"/>
      <c r="Q188" s="85"/>
      <c r="R188" s="85"/>
      <c r="S188" s="13"/>
      <c r="T188" s="13"/>
      <c r="U188" s="13"/>
      <c r="V188" s="13"/>
      <c r="W188" s="13"/>
      <c r="X188" s="13"/>
      <c r="Y188" s="13" t="s">
        <v>13</v>
      </c>
      <c r="Z188" s="13"/>
      <c r="AA188" s="13">
        <v>131</v>
      </c>
      <c r="AB188" s="13">
        <v>55</v>
      </c>
      <c r="AC188" s="13"/>
      <c r="AD188" s="84">
        <f>AA188/AA8</f>
        <v>262000000</v>
      </c>
      <c r="AE188" s="86">
        <f t="shared" si="58"/>
        <v>21.323992950714203</v>
      </c>
      <c r="AF188" s="13" t="s">
        <v>158</v>
      </c>
    </row>
    <row r="189" spans="1:32" hidden="1" x14ac:dyDescent="0.25">
      <c r="A189" s="48">
        <v>44108</v>
      </c>
      <c r="B189" s="42">
        <v>6</v>
      </c>
      <c r="C189" s="92">
        <v>152</v>
      </c>
      <c r="D189" s="12" t="s">
        <v>61</v>
      </c>
      <c r="E189" s="12">
        <v>1</v>
      </c>
      <c r="F189" s="90">
        <f>(100000)*(F175/J175)</f>
        <v>2.3675923952932265E-3</v>
      </c>
      <c r="G189" s="91"/>
      <c r="H189" s="92">
        <v>93</v>
      </c>
      <c r="I189" s="83">
        <v>0.01</v>
      </c>
      <c r="J189" s="84">
        <f t="shared" si="60"/>
        <v>93000</v>
      </c>
      <c r="K189" s="84">
        <f t="shared" si="57"/>
        <v>9300</v>
      </c>
      <c r="L189" s="84"/>
      <c r="M189" s="85"/>
      <c r="N189" s="85"/>
      <c r="O189" s="85"/>
      <c r="P189" s="85"/>
      <c r="Q189" s="85"/>
      <c r="R189" s="85"/>
      <c r="S189" s="13"/>
      <c r="T189" s="13"/>
      <c r="U189" s="13"/>
      <c r="V189" s="13"/>
      <c r="W189" s="13"/>
      <c r="X189" s="13">
        <v>79</v>
      </c>
      <c r="Y189" s="13">
        <v>45</v>
      </c>
      <c r="Z189" s="13"/>
      <c r="AA189" s="13"/>
      <c r="AB189" s="13"/>
      <c r="AC189" s="13"/>
      <c r="AD189" s="84">
        <f>X189/X8</f>
        <v>39500000</v>
      </c>
      <c r="AE189" s="86">
        <f t="shared" si="58"/>
        <v>18.069466741557001</v>
      </c>
      <c r="AF189" s="13" t="s">
        <v>198</v>
      </c>
    </row>
    <row r="190" spans="1:32" hidden="1" x14ac:dyDescent="0.25">
      <c r="A190" s="48">
        <v>44108</v>
      </c>
      <c r="B190" s="42">
        <v>7</v>
      </c>
      <c r="C190" s="92">
        <v>136</v>
      </c>
      <c r="D190" s="92" t="s">
        <v>96</v>
      </c>
      <c r="E190" s="92">
        <v>1</v>
      </c>
      <c r="F190" s="115">
        <f>(1000)*(F182/J182)</f>
        <v>8.1181818181818188E-2</v>
      </c>
      <c r="G190" s="91"/>
      <c r="H190" s="120">
        <v>25</v>
      </c>
      <c r="I190" s="83">
        <v>0.5</v>
      </c>
      <c r="J190" s="84">
        <f>H190/0.05</f>
        <v>500</v>
      </c>
      <c r="K190" s="84">
        <f t="shared" si="57"/>
        <v>50</v>
      </c>
      <c r="L190" s="84"/>
      <c r="M190" s="85"/>
      <c r="N190" s="85"/>
      <c r="O190" s="85"/>
      <c r="P190" s="85"/>
      <c r="Q190" s="85">
        <v>50</v>
      </c>
      <c r="S190" s="85">
        <v>21</v>
      </c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14">
        <f>Q190/Q8</f>
        <v>500000</v>
      </c>
      <c r="AE190" s="116">
        <f t="shared" si="58"/>
        <v>19.921607765441454</v>
      </c>
      <c r="AF190" s="13" t="s">
        <v>192</v>
      </c>
    </row>
    <row r="191" spans="1:32" hidden="1" x14ac:dyDescent="0.25">
      <c r="A191" s="48">
        <v>44108</v>
      </c>
      <c r="B191" s="42">
        <v>8</v>
      </c>
      <c r="C191" s="92">
        <v>167</v>
      </c>
      <c r="D191" s="12" t="s">
        <v>76</v>
      </c>
      <c r="E191" s="12">
        <v>1</v>
      </c>
      <c r="F191" s="90">
        <f>(100000)*(F171/J171)</f>
        <v>8.1699346405228763E-3</v>
      </c>
      <c r="G191" s="91"/>
      <c r="H191" s="92">
        <v>101</v>
      </c>
      <c r="I191" s="83">
        <v>0.01</v>
      </c>
      <c r="J191" s="84">
        <f>H191/0.001</f>
        <v>101000</v>
      </c>
      <c r="K191" s="84">
        <f t="shared" si="57"/>
        <v>10100</v>
      </c>
      <c r="L191" s="84"/>
      <c r="M191" s="85"/>
      <c r="N191" s="85"/>
      <c r="O191" s="85"/>
      <c r="P191" s="85"/>
      <c r="Q191" s="85" t="s">
        <v>13</v>
      </c>
      <c r="R191" s="85"/>
      <c r="S191" s="13">
        <v>157</v>
      </c>
      <c r="T191" s="13"/>
      <c r="U191" s="13">
        <v>16</v>
      </c>
      <c r="V191" s="13"/>
      <c r="W191" s="13"/>
      <c r="X191" s="13"/>
      <c r="Y191" s="13"/>
      <c r="Z191" s="13"/>
      <c r="AA191" s="13"/>
      <c r="AB191" s="13"/>
      <c r="AC191" s="13"/>
      <c r="AD191" s="84">
        <f>S191/S8</f>
        <v>3140000</v>
      </c>
      <c r="AE191" s="86">
        <f t="shared" si="58"/>
        <v>12.414191088327671</v>
      </c>
      <c r="AF191" s="13" t="s">
        <v>199</v>
      </c>
    </row>
    <row r="192" spans="1:32" hidden="1" x14ac:dyDescent="0.25">
      <c r="A192" s="48">
        <v>44108</v>
      </c>
      <c r="B192" s="42">
        <v>9</v>
      </c>
      <c r="C192" s="92">
        <v>158</v>
      </c>
      <c r="D192" s="12" t="s">
        <v>67</v>
      </c>
      <c r="E192" s="12">
        <v>1</v>
      </c>
      <c r="F192" s="90">
        <v>1.85185185185185E-3</v>
      </c>
      <c r="G192" s="91"/>
      <c r="H192" s="92">
        <v>86</v>
      </c>
      <c r="I192" s="83">
        <v>0.01</v>
      </c>
      <c r="J192" s="84">
        <f>H192/0.001</f>
        <v>86000</v>
      </c>
      <c r="K192" s="84">
        <f t="shared" si="57"/>
        <v>8600</v>
      </c>
      <c r="L192" s="84"/>
      <c r="M192" s="85"/>
      <c r="N192" s="85"/>
      <c r="O192" s="85"/>
      <c r="P192" s="85"/>
      <c r="Q192" s="85"/>
      <c r="R192" s="85"/>
      <c r="S192" s="13"/>
      <c r="T192" s="13"/>
      <c r="U192" s="13"/>
      <c r="V192" s="13"/>
      <c r="W192" s="13" t="s">
        <v>13</v>
      </c>
      <c r="X192" s="13"/>
      <c r="Y192" s="13">
        <v>212</v>
      </c>
      <c r="Z192" s="13"/>
      <c r="AA192" s="13">
        <v>69</v>
      </c>
      <c r="AB192" s="13"/>
      <c r="AC192" s="13"/>
      <c r="AD192" s="84">
        <f>AA192/AA8</f>
        <v>138000000</v>
      </c>
      <c r="AE192" s="86">
        <f t="shared" si="58"/>
        <v>20.944485879498533</v>
      </c>
      <c r="AF192" s="13" t="s">
        <v>200</v>
      </c>
    </row>
    <row r="193" spans="1:32" hidden="1" x14ac:dyDescent="0.25">
      <c r="A193" s="48">
        <v>44108</v>
      </c>
      <c r="B193" s="42">
        <v>10</v>
      </c>
      <c r="C193" s="92">
        <v>146</v>
      </c>
      <c r="D193" s="12" t="s">
        <v>55</v>
      </c>
      <c r="E193" s="12">
        <v>1</v>
      </c>
      <c r="F193" s="90">
        <f>(100000)*(F178/J178)</f>
        <v>4.9392472587177719E-3</v>
      </c>
      <c r="G193" s="91"/>
      <c r="H193" s="92">
        <v>122</v>
      </c>
      <c r="I193" s="83">
        <v>0.01</v>
      </c>
      <c r="J193" s="84">
        <f t="shared" ref="J193:J195" si="61">H193/0.001</f>
        <v>122000</v>
      </c>
      <c r="K193" s="84">
        <f t="shared" si="57"/>
        <v>12200</v>
      </c>
      <c r="L193" s="84"/>
      <c r="M193" s="85"/>
      <c r="N193" s="85"/>
      <c r="O193" s="85"/>
      <c r="P193" s="85"/>
      <c r="Q193" s="85"/>
      <c r="R193" s="85"/>
      <c r="S193" s="13"/>
      <c r="T193" s="13"/>
      <c r="U193" s="13"/>
      <c r="V193" s="13"/>
      <c r="W193" s="13"/>
      <c r="X193" s="13"/>
      <c r="Y193" s="13"/>
      <c r="Z193" s="13"/>
      <c r="AA193" s="13">
        <v>92</v>
      </c>
      <c r="AB193" s="13"/>
      <c r="AC193" s="13"/>
      <c r="AD193" s="84">
        <f>AA193/AA8</f>
        <v>184000000</v>
      </c>
      <c r="AE193" s="86">
        <f t="shared" si="58"/>
        <v>20.810400296916907</v>
      </c>
      <c r="AF193" s="13" t="s">
        <v>158</v>
      </c>
    </row>
    <row r="194" spans="1:32" hidden="1" x14ac:dyDescent="0.25">
      <c r="A194" s="48">
        <v>44108</v>
      </c>
      <c r="B194" s="42">
        <v>11</v>
      </c>
      <c r="C194" s="92">
        <v>153</v>
      </c>
      <c r="D194" s="12" t="s">
        <v>62</v>
      </c>
      <c r="E194" s="12">
        <v>1</v>
      </c>
      <c r="F194" s="90">
        <f>(100000)*(F173/J173)</f>
        <v>3.0162273028895457E-3</v>
      </c>
      <c r="G194" s="91"/>
      <c r="H194" s="92">
        <v>130</v>
      </c>
      <c r="I194" s="83">
        <v>0.01</v>
      </c>
      <c r="J194" s="84">
        <f t="shared" si="61"/>
        <v>130000</v>
      </c>
      <c r="K194" s="84">
        <f t="shared" si="57"/>
        <v>13000</v>
      </c>
      <c r="L194" s="84"/>
      <c r="M194" s="85"/>
      <c r="N194" s="85"/>
      <c r="O194" s="85"/>
      <c r="P194" s="85"/>
      <c r="Q194" s="85"/>
      <c r="R194" s="85"/>
      <c r="S194" s="13"/>
      <c r="T194" s="13"/>
      <c r="U194" s="13"/>
      <c r="V194" s="13" t="s">
        <v>13</v>
      </c>
      <c r="W194" s="13">
        <v>66</v>
      </c>
      <c r="X194" s="13"/>
      <c r="Y194" s="13"/>
      <c r="Z194" s="13"/>
      <c r="AA194" s="13"/>
      <c r="AB194" s="13"/>
      <c r="AC194" s="13"/>
      <c r="AD194" s="84">
        <f>W194/W8</f>
        <v>13199999.999999998</v>
      </c>
      <c r="AE194" s="86">
        <f t="shared" si="58"/>
        <v>14.974228772102078</v>
      </c>
      <c r="AF194" s="13" t="s">
        <v>188</v>
      </c>
    </row>
    <row r="195" spans="1:32" hidden="1" x14ac:dyDescent="0.25">
      <c r="A195" s="48">
        <v>44108</v>
      </c>
      <c r="B195" s="42">
        <v>12</v>
      </c>
      <c r="C195" s="92">
        <v>165</v>
      </c>
      <c r="D195" s="12" t="s">
        <v>74</v>
      </c>
      <c r="E195" s="12">
        <v>1</v>
      </c>
      <c r="F195" s="90">
        <f>(100000)*(F174/J174)</f>
        <v>4.4822949350067233E-2</v>
      </c>
      <c r="G195" s="91"/>
      <c r="H195" s="92">
        <v>138</v>
      </c>
      <c r="I195" s="83">
        <v>0.01</v>
      </c>
      <c r="J195" s="84">
        <f t="shared" si="61"/>
        <v>138000</v>
      </c>
      <c r="K195" s="84">
        <f t="shared" si="57"/>
        <v>13800</v>
      </c>
      <c r="L195" s="84"/>
      <c r="M195" s="85"/>
      <c r="N195" s="85"/>
      <c r="O195" s="85">
        <v>182</v>
      </c>
      <c r="P195" s="85"/>
      <c r="Q195" s="85">
        <v>48</v>
      </c>
      <c r="R195" s="85"/>
      <c r="S195" s="13">
        <v>14</v>
      </c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84">
        <f>Q195/Q8</f>
        <v>480000</v>
      </c>
      <c r="AE195" s="86">
        <f t="shared" si="58"/>
        <v>7.6766030490520416</v>
      </c>
      <c r="AF195" s="13" t="s">
        <v>201</v>
      </c>
    </row>
    <row r="196" spans="1:32" hidden="1" x14ac:dyDescent="0.25">
      <c r="A196" s="48">
        <v>44108</v>
      </c>
      <c r="B196" s="42">
        <v>13</v>
      </c>
      <c r="C196" s="92">
        <v>148</v>
      </c>
      <c r="D196" s="12" t="s">
        <v>57</v>
      </c>
      <c r="E196" s="12">
        <v>1</v>
      </c>
      <c r="F196" s="90">
        <f>(100000)*(F172/J172)</f>
        <v>2.1499828001375989E-3</v>
      </c>
      <c r="G196" s="91"/>
      <c r="H196" s="92">
        <v>119</v>
      </c>
      <c r="I196" s="83">
        <v>0.01</v>
      </c>
      <c r="J196" s="84">
        <f>H196/0.001</f>
        <v>119000</v>
      </c>
      <c r="K196" s="84">
        <f t="shared" si="57"/>
        <v>11900</v>
      </c>
      <c r="L196" s="84"/>
      <c r="M196" s="85"/>
      <c r="N196" s="85"/>
      <c r="O196" s="85"/>
      <c r="P196" s="85"/>
      <c r="Q196" s="85"/>
      <c r="R196" s="85"/>
      <c r="S196" s="13"/>
      <c r="T196" s="13"/>
      <c r="U196" s="13"/>
      <c r="V196" s="13"/>
      <c r="W196" s="13"/>
      <c r="X196" s="13"/>
      <c r="Y196" s="13">
        <v>198</v>
      </c>
      <c r="Z196" s="13">
        <v>100</v>
      </c>
      <c r="AA196" s="13"/>
      <c r="AB196" s="13"/>
      <c r="AC196" s="13"/>
      <c r="AD196" s="84">
        <f>Z196/Z8</f>
        <v>142857142.85714287</v>
      </c>
      <c r="AE196" s="86">
        <f t="shared" si="58"/>
        <v>20.316827554491738</v>
      </c>
      <c r="AF196" s="13" t="s">
        <v>197</v>
      </c>
    </row>
    <row r="197" spans="1:32" hidden="1" x14ac:dyDescent="0.25">
      <c r="A197" s="48">
        <v>44108</v>
      </c>
      <c r="B197" s="42">
        <v>14</v>
      </c>
      <c r="C197" s="92">
        <v>160</v>
      </c>
      <c r="D197" s="12" t="s">
        <v>69</v>
      </c>
      <c r="E197" s="2">
        <v>1</v>
      </c>
      <c r="F197" s="90">
        <f>(100000)*F181/J181</f>
        <v>8.3899656011410355E-3</v>
      </c>
      <c r="G197" s="91"/>
      <c r="H197" s="92">
        <v>142</v>
      </c>
      <c r="I197" s="83">
        <v>0.01</v>
      </c>
      <c r="J197" s="84">
        <f>H197/0.001</f>
        <v>142000</v>
      </c>
      <c r="K197" s="84">
        <f t="shared" si="57"/>
        <v>14200</v>
      </c>
      <c r="L197" s="84"/>
      <c r="M197" s="85"/>
      <c r="N197" s="85"/>
      <c r="O197" s="85"/>
      <c r="P197" s="85"/>
      <c r="Q197" s="85"/>
      <c r="R197" s="85"/>
      <c r="S197" s="117" t="s">
        <v>13</v>
      </c>
      <c r="T197" s="117" t="s">
        <v>13</v>
      </c>
      <c r="U197" s="13"/>
      <c r="V197" s="13"/>
      <c r="W197" s="13"/>
      <c r="X197" s="13"/>
      <c r="Y197" s="13"/>
      <c r="Z197" s="13"/>
      <c r="AA197" s="13"/>
      <c r="AB197" s="13"/>
      <c r="AC197" s="13"/>
      <c r="AD197" s="114"/>
      <c r="AE197" s="116" t="e">
        <f t="shared" si="58"/>
        <v>#NUM!</v>
      </c>
      <c r="AF197" s="13" t="s">
        <v>202</v>
      </c>
    </row>
    <row r="198" spans="1:32" hidden="1" x14ac:dyDescent="0.25">
      <c r="A198" s="48">
        <v>44108</v>
      </c>
      <c r="B198" s="42">
        <v>15</v>
      </c>
      <c r="C198" s="92">
        <v>157</v>
      </c>
      <c r="D198" s="12" t="s">
        <v>66</v>
      </c>
      <c r="E198" s="12">
        <v>1</v>
      </c>
      <c r="F198" s="90">
        <v>1.11111111111111E-3</v>
      </c>
      <c r="G198" s="91"/>
      <c r="H198" s="92">
        <v>152</v>
      </c>
      <c r="I198" s="83">
        <v>0.01</v>
      </c>
      <c r="J198" s="84">
        <f t="shared" ref="J198:J199" si="62">H198/0.001</f>
        <v>152000</v>
      </c>
      <c r="K198" s="84">
        <f t="shared" si="57"/>
        <v>15200</v>
      </c>
      <c r="L198" s="84"/>
      <c r="M198" s="85"/>
      <c r="N198" s="85"/>
      <c r="O198" s="85"/>
      <c r="P198" s="85"/>
      <c r="Q198" s="85"/>
      <c r="R198" s="85"/>
      <c r="S198" s="13"/>
      <c r="T198" s="13"/>
      <c r="U198" s="13"/>
      <c r="V198" s="13"/>
      <c r="W198" s="13">
        <v>45</v>
      </c>
      <c r="X198" s="13"/>
      <c r="Y198" s="13">
        <v>13</v>
      </c>
      <c r="Z198" s="13"/>
      <c r="AA198" s="13">
        <v>7</v>
      </c>
      <c r="AB198" s="13"/>
      <c r="AC198" s="13"/>
      <c r="AD198" s="84">
        <f>W198/W8</f>
        <v>9000000</v>
      </c>
      <c r="AE198" s="86">
        <f t="shared" si="58"/>
        <v>13.807660970836846</v>
      </c>
      <c r="AF198" s="13" t="s">
        <v>159</v>
      </c>
    </row>
    <row r="199" spans="1:32" hidden="1" x14ac:dyDescent="0.25">
      <c r="A199" s="48">
        <v>44108</v>
      </c>
      <c r="B199" s="42">
        <v>16</v>
      </c>
      <c r="C199" s="92">
        <v>156</v>
      </c>
      <c r="D199" s="12" t="s">
        <v>65</v>
      </c>
      <c r="E199" s="12">
        <v>1</v>
      </c>
      <c r="F199" s="90">
        <f>(100000)*(F170/J170)</f>
        <v>5.7977736549165125E-3</v>
      </c>
      <c r="G199" s="91"/>
      <c r="H199" s="92">
        <v>116</v>
      </c>
      <c r="I199" s="83">
        <v>0.01</v>
      </c>
      <c r="J199" s="84">
        <f t="shared" si="62"/>
        <v>116000</v>
      </c>
      <c r="K199" s="84">
        <f t="shared" si="57"/>
        <v>11600</v>
      </c>
      <c r="L199" s="84"/>
      <c r="M199" s="85"/>
      <c r="N199" s="85"/>
      <c r="O199" s="85"/>
      <c r="P199" s="85"/>
      <c r="Q199" s="85"/>
      <c r="R199" s="85"/>
      <c r="S199" s="13"/>
      <c r="T199" s="13"/>
      <c r="U199" s="13"/>
      <c r="V199" s="13"/>
      <c r="W199" s="13">
        <v>135</v>
      </c>
      <c r="X199" s="13"/>
      <c r="Y199" s="13"/>
      <c r="Z199" s="13"/>
      <c r="AA199" s="13"/>
      <c r="AB199" s="13"/>
      <c r="AC199" s="13"/>
      <c r="AD199" s="84">
        <f>W199/W8</f>
        <v>26999999.999999996</v>
      </c>
      <c r="AE199" s="86">
        <f t="shared" si="58"/>
        <v>16.768544057849095</v>
      </c>
      <c r="AF199" s="13" t="s">
        <v>203</v>
      </c>
    </row>
    <row r="200" spans="1:32" hidden="1" x14ac:dyDescent="0.25"/>
    <row r="201" spans="1:32" hidden="1" x14ac:dyDescent="0.25">
      <c r="A201" s="48">
        <v>44109</v>
      </c>
      <c r="B201" s="42">
        <v>1</v>
      </c>
      <c r="C201" s="92">
        <v>148</v>
      </c>
      <c r="D201" s="12" t="s">
        <v>57</v>
      </c>
      <c r="E201" s="12">
        <v>1</v>
      </c>
      <c r="F201" s="90">
        <f>(100000)*(F196/J196)</f>
        <v>1.806708235409747E-3</v>
      </c>
      <c r="G201" s="81"/>
      <c r="H201" s="82">
        <v>96</v>
      </c>
      <c r="I201" s="83">
        <v>0.01</v>
      </c>
      <c r="J201" s="84">
        <f t="shared" ref="J201:J209" si="63">H201/0.001</f>
        <v>96000</v>
      </c>
      <c r="K201" s="84">
        <f t="shared" ref="K201:K216" si="64">H201/I201</f>
        <v>9600</v>
      </c>
      <c r="L201" s="84"/>
      <c r="M201" s="85"/>
      <c r="N201" s="85"/>
      <c r="O201" s="85"/>
      <c r="P201" s="85"/>
      <c r="Q201" s="85"/>
      <c r="R201" s="85"/>
      <c r="S201" s="13"/>
      <c r="T201" s="13"/>
      <c r="U201" s="13"/>
      <c r="V201" s="13"/>
      <c r="W201" s="13"/>
      <c r="X201" s="13"/>
      <c r="Y201" s="13"/>
      <c r="Z201" s="13">
        <v>100</v>
      </c>
      <c r="AA201" s="13"/>
      <c r="AB201" s="13"/>
      <c r="AC201" s="13"/>
      <c r="AD201" s="84">
        <f>Z201/Z8</f>
        <v>142857142.85714287</v>
      </c>
      <c r="AE201" s="86">
        <f t="shared" ref="AE201:AE216" si="65">LN(AD201/K201)/(0.667*LN(2))</f>
        <v>20.781378173062635</v>
      </c>
      <c r="AF201" s="13" t="s">
        <v>170</v>
      </c>
    </row>
    <row r="202" spans="1:32" hidden="1" x14ac:dyDescent="0.25">
      <c r="A202" s="48">
        <v>44109</v>
      </c>
      <c r="B202" s="42">
        <v>2</v>
      </c>
      <c r="C202" s="92">
        <v>147</v>
      </c>
      <c r="D202" s="12" t="s">
        <v>56</v>
      </c>
      <c r="E202" s="12">
        <v>1</v>
      </c>
      <c r="F202" s="90">
        <f>(100000)*(F185/J185)</f>
        <v>6.0625460753501734E-3</v>
      </c>
      <c r="G202" s="91"/>
      <c r="H202" s="92">
        <v>105</v>
      </c>
      <c r="I202" s="83">
        <v>0.01</v>
      </c>
      <c r="J202" s="84">
        <f t="shared" si="63"/>
        <v>105000</v>
      </c>
      <c r="K202" s="84">
        <f t="shared" si="64"/>
        <v>10500</v>
      </c>
      <c r="L202" s="84"/>
      <c r="M202" s="85"/>
      <c r="N202" s="85"/>
      <c r="O202" s="85"/>
      <c r="P202" s="85"/>
      <c r="Q202" s="85"/>
      <c r="R202" s="85"/>
      <c r="S202" s="13"/>
      <c r="T202" s="13"/>
      <c r="U202" s="13"/>
      <c r="V202" s="13"/>
      <c r="W202" s="13"/>
      <c r="X202" s="13"/>
      <c r="Y202" s="13">
        <v>97</v>
      </c>
      <c r="Z202" s="13"/>
      <c r="AA202" s="13"/>
      <c r="AB202" s="13"/>
      <c r="AC202" s="13"/>
      <c r="AD202" s="84">
        <f>Y202/Y8</f>
        <v>97000000</v>
      </c>
      <c r="AE202" s="86">
        <f t="shared" si="65"/>
        <v>19.750194458876244</v>
      </c>
      <c r="AF202" s="13" t="s">
        <v>170</v>
      </c>
    </row>
    <row r="203" spans="1:32" hidden="1" x14ac:dyDescent="0.25">
      <c r="A203" s="48">
        <v>44109</v>
      </c>
      <c r="B203" s="42">
        <v>3</v>
      </c>
      <c r="C203" s="92">
        <v>153</v>
      </c>
      <c r="D203" s="12" t="s">
        <v>62</v>
      </c>
      <c r="E203" s="12">
        <v>1</v>
      </c>
      <c r="F203" s="90">
        <f>(100000)*(F194/J194)</f>
        <v>2.3201748483765738E-3</v>
      </c>
      <c r="G203" s="91"/>
      <c r="H203" s="92">
        <v>87</v>
      </c>
      <c r="I203" s="83">
        <v>0.01</v>
      </c>
      <c r="J203" s="84">
        <f t="shared" si="63"/>
        <v>87000</v>
      </c>
      <c r="K203" s="84">
        <f t="shared" si="64"/>
        <v>8700</v>
      </c>
      <c r="L203" s="84"/>
      <c r="M203" s="85"/>
      <c r="N203" s="85"/>
      <c r="O203" s="85"/>
      <c r="P203" s="85"/>
      <c r="Q203" s="85"/>
      <c r="R203" s="85"/>
      <c r="S203" s="13"/>
      <c r="T203" s="13"/>
      <c r="U203" s="13"/>
      <c r="V203" s="13">
        <v>55</v>
      </c>
      <c r="W203" s="13">
        <v>38</v>
      </c>
      <c r="X203" s="13"/>
      <c r="Y203" s="13"/>
      <c r="Z203" s="13"/>
      <c r="AA203" s="13"/>
      <c r="AB203" s="13"/>
      <c r="AC203" s="13"/>
      <c r="AD203" s="84">
        <f>V203/V8</f>
        <v>7857142.8571428573</v>
      </c>
      <c r="AE203" s="86">
        <f t="shared" si="65"/>
        <v>14.720800112695319</v>
      </c>
      <c r="AF203" s="13" t="s">
        <v>170</v>
      </c>
    </row>
    <row r="204" spans="1:32" hidden="1" x14ac:dyDescent="0.25">
      <c r="A204" s="48">
        <v>44109</v>
      </c>
      <c r="B204" s="42">
        <v>4</v>
      </c>
      <c r="C204" s="92">
        <v>156</v>
      </c>
      <c r="D204" s="12" t="s">
        <v>65</v>
      </c>
      <c r="E204" s="12">
        <v>1</v>
      </c>
      <c r="F204" s="90">
        <f>(100000)*(F199/J199)</f>
        <v>4.9980807369969932E-3</v>
      </c>
      <c r="G204" s="91"/>
      <c r="H204" s="92">
        <v>102</v>
      </c>
      <c r="I204" s="83">
        <v>0.01</v>
      </c>
      <c r="J204" s="84">
        <f t="shared" si="63"/>
        <v>102000</v>
      </c>
      <c r="K204" s="84">
        <f t="shared" si="64"/>
        <v>10200</v>
      </c>
      <c r="L204" s="84"/>
      <c r="M204" s="85"/>
      <c r="N204" s="85"/>
      <c r="O204" s="85"/>
      <c r="P204" s="85"/>
      <c r="Q204" s="85"/>
      <c r="R204" s="85"/>
      <c r="S204" s="13"/>
      <c r="T204" s="13"/>
      <c r="U204" s="13"/>
      <c r="V204" s="13"/>
      <c r="W204" s="13">
        <v>81</v>
      </c>
      <c r="X204" s="13">
        <v>31</v>
      </c>
      <c r="Y204" s="13"/>
      <c r="Z204" s="13"/>
      <c r="AA204" s="13"/>
      <c r="AB204" s="13"/>
      <c r="AC204" s="13"/>
      <c r="AD204" s="84">
        <f>W204/W8</f>
        <v>16199999.999999998</v>
      </c>
      <c r="AE204" s="86">
        <f t="shared" si="65"/>
        <v>15.941842497114267</v>
      </c>
      <c r="AF204" s="13" t="s">
        <v>170</v>
      </c>
    </row>
    <row r="205" spans="1:32" hidden="1" x14ac:dyDescent="0.25">
      <c r="A205" s="48">
        <v>44109</v>
      </c>
      <c r="B205" s="42">
        <v>5</v>
      </c>
      <c r="C205" s="92">
        <v>152</v>
      </c>
      <c r="D205" s="12" t="s">
        <v>61</v>
      </c>
      <c r="E205" s="12">
        <v>1</v>
      </c>
      <c r="F205" s="90">
        <f>(100000)*(F189/J189)</f>
        <v>2.5457982745088455E-3</v>
      </c>
      <c r="G205" s="91"/>
      <c r="H205" s="92">
        <v>113</v>
      </c>
      <c r="I205" s="83">
        <v>0.01</v>
      </c>
      <c r="J205" s="84">
        <f t="shared" si="63"/>
        <v>113000</v>
      </c>
      <c r="K205" s="84">
        <f t="shared" si="64"/>
        <v>11300</v>
      </c>
      <c r="L205" s="84"/>
      <c r="M205" s="85"/>
      <c r="N205" s="85"/>
      <c r="O205" s="85"/>
      <c r="P205" s="85"/>
      <c r="Q205" s="85"/>
      <c r="R205" s="85"/>
      <c r="S205" s="13"/>
      <c r="T205" s="13"/>
      <c r="U205" s="13"/>
      <c r="V205" s="13"/>
      <c r="W205" s="13"/>
      <c r="X205" s="13">
        <v>53</v>
      </c>
      <c r="Y205" s="13"/>
      <c r="Z205" s="13"/>
      <c r="AA205" s="13"/>
      <c r="AB205" s="13"/>
      <c r="AC205" s="13"/>
      <c r="AD205" s="84">
        <f>X205/X8</f>
        <v>26500000</v>
      </c>
      <c r="AE205" s="86">
        <f t="shared" si="65"/>
        <v>16.784788413339523</v>
      </c>
      <c r="AF205" s="13" t="s">
        <v>170</v>
      </c>
    </row>
    <row r="206" spans="1:32" hidden="1" x14ac:dyDescent="0.25">
      <c r="A206" s="48">
        <v>44109</v>
      </c>
      <c r="B206" s="42">
        <v>6</v>
      </c>
      <c r="C206" s="92">
        <v>167</v>
      </c>
      <c r="D206" s="12" t="s">
        <v>76</v>
      </c>
      <c r="E206" s="12">
        <v>1</v>
      </c>
      <c r="F206" s="90">
        <f>(100000)*(F191/J191)</f>
        <v>8.0890441985375025E-3</v>
      </c>
      <c r="G206" s="91"/>
      <c r="H206" s="92">
        <v>98</v>
      </c>
      <c r="I206" s="83">
        <v>0.01</v>
      </c>
      <c r="J206" s="84">
        <f t="shared" si="63"/>
        <v>98000</v>
      </c>
      <c r="K206" s="84">
        <f t="shared" si="64"/>
        <v>9800</v>
      </c>
      <c r="L206" s="84"/>
      <c r="M206" s="85"/>
      <c r="N206" s="85"/>
      <c r="O206" s="85"/>
      <c r="P206" s="85"/>
      <c r="Q206" s="85"/>
      <c r="R206" s="85"/>
      <c r="S206" s="13"/>
      <c r="T206" s="13">
        <v>30</v>
      </c>
      <c r="U206" s="13"/>
      <c r="V206" s="13"/>
      <c r="W206" s="13"/>
      <c r="X206" s="13"/>
      <c r="Y206" s="13"/>
      <c r="Z206" s="13"/>
      <c r="AA206" s="13"/>
      <c r="AB206" s="13"/>
      <c r="AC206" s="13"/>
      <c r="AD206" s="84">
        <f>T206/T8</f>
        <v>1499999.9999999998</v>
      </c>
      <c r="AE206" s="86">
        <f t="shared" si="65"/>
        <v>10.88150680083268</v>
      </c>
      <c r="AF206" s="13" t="s">
        <v>211</v>
      </c>
    </row>
    <row r="207" spans="1:32" hidden="1" x14ac:dyDescent="0.25">
      <c r="A207" s="48">
        <v>44109</v>
      </c>
      <c r="B207" s="42">
        <v>7</v>
      </c>
      <c r="C207" s="92">
        <v>164</v>
      </c>
      <c r="D207" s="12" t="s">
        <v>73</v>
      </c>
      <c r="E207" s="12">
        <v>1</v>
      </c>
      <c r="F207" s="90">
        <f>(100000)*(F187/J187)</f>
        <v>1.1648495014444133E-2</v>
      </c>
      <c r="G207" s="91"/>
      <c r="H207" s="92">
        <v>87</v>
      </c>
      <c r="I207" s="83">
        <v>0.01</v>
      </c>
      <c r="J207" s="84">
        <f t="shared" si="63"/>
        <v>87000</v>
      </c>
      <c r="K207" s="84">
        <f t="shared" si="64"/>
        <v>8700</v>
      </c>
      <c r="L207" s="84"/>
      <c r="M207" s="85"/>
      <c r="N207" s="85"/>
      <c r="O207" s="85"/>
      <c r="P207" s="85"/>
      <c r="Q207" s="85">
        <v>76</v>
      </c>
      <c r="S207" s="85">
        <v>49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84">
        <f>Q207/Q8</f>
        <v>760000</v>
      </c>
      <c r="AE207" s="86">
        <f t="shared" si="65"/>
        <v>9.6684260980053711</v>
      </c>
      <c r="AF207" s="13" t="s">
        <v>209</v>
      </c>
    </row>
    <row r="208" spans="1:32" hidden="1" x14ac:dyDescent="0.25">
      <c r="A208" s="48">
        <v>44109</v>
      </c>
      <c r="B208" s="42">
        <v>8</v>
      </c>
      <c r="C208" s="92">
        <v>158</v>
      </c>
      <c r="D208" s="12" t="s">
        <v>67</v>
      </c>
      <c r="E208" s="12">
        <v>1</v>
      </c>
      <c r="F208" s="90">
        <f>(100000)*(F192/J192)</f>
        <v>2.1533161068044769E-3</v>
      </c>
      <c r="G208" s="91"/>
      <c r="H208" s="92">
        <v>124</v>
      </c>
      <c r="I208" s="83">
        <v>0.01</v>
      </c>
      <c r="J208" s="84">
        <f t="shared" si="63"/>
        <v>124000</v>
      </c>
      <c r="K208" s="84">
        <f t="shared" si="64"/>
        <v>12400</v>
      </c>
      <c r="L208" s="84"/>
      <c r="M208" s="85"/>
      <c r="N208" s="85"/>
      <c r="O208" s="85"/>
      <c r="P208" s="85"/>
      <c r="Q208" s="85"/>
      <c r="R208" s="85"/>
      <c r="S208" s="13"/>
      <c r="T208" s="13"/>
      <c r="U208" s="13"/>
      <c r="V208" s="13"/>
      <c r="W208" s="13"/>
      <c r="X208" s="13"/>
      <c r="Y208" s="13"/>
      <c r="Z208" s="13">
        <v>125</v>
      </c>
      <c r="AA208" s="13">
        <v>58</v>
      </c>
      <c r="AB208" s="13"/>
      <c r="AC208" s="13"/>
      <c r="AD208" s="84">
        <f>AA208/AA8</f>
        <v>116000000</v>
      </c>
      <c r="AE208" s="86">
        <f t="shared" si="65"/>
        <v>19.777356917976231</v>
      </c>
      <c r="AF208" s="13" t="s">
        <v>197</v>
      </c>
    </row>
    <row r="209" spans="1:32" hidden="1" x14ac:dyDescent="0.25">
      <c r="A209" s="48">
        <v>44109</v>
      </c>
      <c r="B209" s="42">
        <v>9</v>
      </c>
      <c r="C209" s="92">
        <v>157</v>
      </c>
      <c r="D209" s="12" t="s">
        <v>66</v>
      </c>
      <c r="E209" s="12">
        <v>1</v>
      </c>
      <c r="F209" s="90">
        <f>(100000)*(F198/J198)</f>
        <v>7.3099415204678293E-4</v>
      </c>
      <c r="G209" s="91"/>
      <c r="H209" s="92">
        <v>94</v>
      </c>
      <c r="I209" s="83">
        <v>0.01</v>
      </c>
      <c r="J209" s="84">
        <f t="shared" si="63"/>
        <v>94000</v>
      </c>
      <c r="K209" s="84">
        <f t="shared" si="64"/>
        <v>9400</v>
      </c>
      <c r="L209" s="84"/>
      <c r="M209" s="85"/>
      <c r="N209" s="85"/>
      <c r="O209" s="85"/>
      <c r="P209" s="85"/>
      <c r="Q209" s="85"/>
      <c r="R209" s="85"/>
      <c r="S209" s="13"/>
      <c r="T209" s="13"/>
      <c r="U209" s="13">
        <v>60</v>
      </c>
      <c r="V209" s="13">
        <v>56</v>
      </c>
      <c r="W209" s="13">
        <v>48</v>
      </c>
      <c r="X209" s="13"/>
      <c r="Y209" s="13"/>
      <c r="Z209" s="13"/>
      <c r="AA209" s="13"/>
      <c r="AB209" s="13"/>
      <c r="AC209" s="13"/>
      <c r="AD209" s="84">
        <f>U209/U8</f>
        <v>5999999.9999999991</v>
      </c>
      <c r="AE209" s="86">
        <f t="shared" si="65"/>
        <v>13.970143970903999</v>
      </c>
      <c r="AF209" s="13" t="s">
        <v>208</v>
      </c>
    </row>
    <row r="210" spans="1:32" hidden="1" x14ac:dyDescent="0.25">
      <c r="A210" s="48">
        <v>44109</v>
      </c>
      <c r="B210" s="42">
        <v>10</v>
      </c>
      <c r="C210" s="92">
        <v>136</v>
      </c>
      <c r="D210" s="92" t="s">
        <v>96</v>
      </c>
      <c r="E210" s="92">
        <v>1</v>
      </c>
      <c r="F210" s="121">
        <v>8.9300000000000004E-2</v>
      </c>
      <c r="G210" s="91"/>
      <c r="H210" s="92">
        <v>33</v>
      </c>
      <c r="I210" s="83">
        <v>0.5</v>
      </c>
      <c r="J210" s="84">
        <f>H210/0.05</f>
        <v>660</v>
      </c>
      <c r="K210" s="84">
        <f t="shared" si="64"/>
        <v>66</v>
      </c>
      <c r="L210" s="84"/>
      <c r="M210" s="85"/>
      <c r="N210" s="85"/>
      <c r="O210" s="85"/>
      <c r="P210" s="85"/>
      <c r="Q210" s="77">
        <v>28</v>
      </c>
      <c r="R210" s="85"/>
      <c r="S210" s="76">
        <v>27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78">
        <f>Q210/Q8</f>
        <v>280000</v>
      </c>
      <c r="AE210" s="79">
        <f t="shared" si="65"/>
        <v>18.066976285230286</v>
      </c>
      <c r="AF210" s="13" t="s">
        <v>207</v>
      </c>
    </row>
    <row r="211" spans="1:32" hidden="1" x14ac:dyDescent="0.25">
      <c r="A211" s="48">
        <v>44109</v>
      </c>
      <c r="B211" s="42">
        <v>11</v>
      </c>
      <c r="C211" s="92">
        <v>160</v>
      </c>
      <c r="D211" s="12" t="s">
        <v>69</v>
      </c>
      <c r="E211" s="2">
        <v>1</v>
      </c>
      <c r="F211" s="90">
        <f>(100000)*(F197/J197)</f>
        <v>5.9084264796767857E-3</v>
      </c>
      <c r="G211" s="91"/>
      <c r="H211" s="92">
        <v>89</v>
      </c>
      <c r="I211" s="83">
        <v>0.01</v>
      </c>
      <c r="J211" s="84">
        <f>H211/0.001</f>
        <v>89000</v>
      </c>
      <c r="K211" s="84">
        <f t="shared" si="64"/>
        <v>8900</v>
      </c>
      <c r="L211" s="84"/>
      <c r="M211" s="85"/>
      <c r="N211" s="85"/>
      <c r="O211" s="85"/>
      <c r="P211" s="85"/>
      <c r="Q211" s="85"/>
      <c r="R211" s="85"/>
      <c r="S211" s="13"/>
      <c r="T211" s="13"/>
      <c r="U211" s="13"/>
      <c r="V211" s="13">
        <v>162</v>
      </c>
      <c r="W211" s="13">
        <v>116</v>
      </c>
      <c r="X211" s="13">
        <v>40</v>
      </c>
      <c r="Y211" s="13"/>
      <c r="Z211" s="13"/>
      <c r="AA211" s="13"/>
      <c r="AB211" s="13"/>
      <c r="AC211" s="13"/>
      <c r="AD211" s="84">
        <f>W211/W8</f>
        <v>23199999.999999996</v>
      </c>
      <c r="AE211" s="86">
        <f t="shared" si="65"/>
        <v>17.013541002733525</v>
      </c>
      <c r="AF211" s="13" t="s">
        <v>185</v>
      </c>
    </row>
    <row r="212" spans="1:32" hidden="1" x14ac:dyDescent="0.25">
      <c r="A212" s="48">
        <v>44109</v>
      </c>
      <c r="B212" s="42">
        <v>12</v>
      </c>
      <c r="C212" s="92">
        <v>154</v>
      </c>
      <c r="D212" s="12" t="s">
        <v>63</v>
      </c>
      <c r="E212" s="12">
        <v>1</v>
      </c>
      <c r="F212" s="90">
        <f>(100000)*(F186/J186)</f>
        <v>1.2903225806451613E-3</v>
      </c>
      <c r="G212" s="91"/>
      <c r="H212" s="92">
        <v>93</v>
      </c>
      <c r="I212" s="83">
        <v>0.01</v>
      </c>
      <c r="J212" s="84">
        <f>H212/0.001</f>
        <v>93000</v>
      </c>
      <c r="K212" s="84">
        <f t="shared" si="64"/>
        <v>9300</v>
      </c>
      <c r="L212" s="84"/>
      <c r="M212" s="85"/>
      <c r="N212" s="85"/>
      <c r="O212" s="85"/>
      <c r="P212" s="85"/>
      <c r="Q212" s="85"/>
      <c r="R212" s="85"/>
      <c r="S212" s="13"/>
      <c r="T212" s="13"/>
      <c r="U212" s="13"/>
      <c r="V212" s="13"/>
      <c r="W212" s="13"/>
      <c r="X212" s="13"/>
      <c r="Y212" s="13"/>
      <c r="Z212" s="13">
        <v>47</v>
      </c>
      <c r="AA212" s="13"/>
      <c r="AB212" s="13"/>
      <c r="AC212" s="13"/>
      <c r="AD212" s="84">
        <f>Z212/Z8</f>
        <v>67142857.142857149</v>
      </c>
      <c r="AE212" s="86">
        <f t="shared" si="65"/>
        <v>19.216964906969736</v>
      </c>
      <c r="AF212" s="13" t="s">
        <v>197</v>
      </c>
    </row>
    <row r="213" spans="1:32" hidden="1" x14ac:dyDescent="0.25">
      <c r="A213" s="48">
        <v>44109</v>
      </c>
      <c r="B213" s="42">
        <v>13</v>
      </c>
      <c r="C213" s="92">
        <v>100</v>
      </c>
      <c r="D213" s="12" t="s">
        <v>10</v>
      </c>
      <c r="E213" s="12">
        <v>3</v>
      </c>
      <c r="F213" s="121">
        <f>(1000)*(F184/J184)</f>
        <v>2.396551724137931E-5</v>
      </c>
      <c r="G213" s="91"/>
      <c r="H213" s="92">
        <v>36</v>
      </c>
      <c r="I213" s="83">
        <v>0.5</v>
      </c>
      <c r="J213" s="84">
        <f>H213/0.05</f>
        <v>720</v>
      </c>
      <c r="K213" s="84">
        <f t="shared" si="64"/>
        <v>72</v>
      </c>
      <c r="L213" s="84"/>
      <c r="M213" s="85"/>
      <c r="N213" s="85"/>
      <c r="O213" s="85"/>
      <c r="P213" s="85"/>
      <c r="Q213" s="85"/>
      <c r="R213" s="85"/>
      <c r="S213" s="13"/>
      <c r="T213" s="13">
        <v>53</v>
      </c>
      <c r="U213" s="13">
        <v>25</v>
      </c>
      <c r="V213" s="13"/>
      <c r="W213" s="13"/>
      <c r="X213" s="13"/>
      <c r="Y213" s="13"/>
      <c r="Z213" s="13"/>
      <c r="AA213" s="13"/>
      <c r="AB213" s="13"/>
      <c r="AC213" s="13"/>
      <c r="AD213" s="84">
        <f>T213/T8</f>
        <v>2650000</v>
      </c>
      <c r="AE213" s="86">
        <f t="shared" si="65"/>
        <v>22.740083849411842</v>
      </c>
      <c r="AF213" s="13" t="s">
        <v>170</v>
      </c>
    </row>
    <row r="214" spans="1:32" hidden="1" x14ac:dyDescent="0.25">
      <c r="A214" s="48">
        <v>44109</v>
      </c>
      <c r="B214" s="42">
        <v>14</v>
      </c>
      <c r="C214" s="92">
        <v>146</v>
      </c>
      <c r="D214" s="12" t="s">
        <v>55</v>
      </c>
      <c r="E214" s="12">
        <v>1</v>
      </c>
      <c r="F214" s="90">
        <f>(100000)*(F193/J193)</f>
        <v>4.048563326817846E-3</v>
      </c>
      <c r="G214" s="91"/>
      <c r="H214" s="92">
        <v>105</v>
      </c>
      <c r="I214" s="83">
        <v>0.01</v>
      </c>
      <c r="J214" s="84">
        <f>H214/0.001</f>
        <v>105000</v>
      </c>
      <c r="K214" s="84">
        <f t="shared" si="64"/>
        <v>10500</v>
      </c>
      <c r="L214" s="84"/>
      <c r="M214" s="85"/>
      <c r="N214" s="85"/>
      <c r="O214" s="85"/>
      <c r="P214" s="85"/>
      <c r="Q214" s="85"/>
      <c r="R214" s="85"/>
      <c r="S214" s="13"/>
      <c r="T214" s="13"/>
      <c r="U214" s="13"/>
      <c r="V214" s="13"/>
      <c r="W214" s="13"/>
      <c r="X214" s="13"/>
      <c r="Y214" s="13"/>
      <c r="Z214" s="13"/>
      <c r="AA214" s="13">
        <v>68</v>
      </c>
      <c r="AB214" s="76">
        <v>147</v>
      </c>
      <c r="AC214" s="13"/>
      <c r="AD214" s="78">
        <f>AA214/AA8</f>
        <v>136000000</v>
      </c>
      <c r="AE214" s="79">
        <f t="shared" si="65"/>
        <v>20.481153977711642</v>
      </c>
      <c r="AF214" s="13" t="s">
        <v>190</v>
      </c>
    </row>
    <row r="215" spans="1:32" hidden="1" x14ac:dyDescent="0.25">
      <c r="A215" s="48">
        <v>44109</v>
      </c>
      <c r="B215" s="42">
        <v>15</v>
      </c>
      <c r="C215" s="12">
        <v>100</v>
      </c>
      <c r="D215" s="12" t="s">
        <v>10</v>
      </c>
      <c r="E215" s="105">
        <v>3</v>
      </c>
      <c r="F215" s="90">
        <f>(100000)*(F188/J188)</f>
        <v>3.0437956204379564E-3</v>
      </c>
      <c r="G215" s="91"/>
      <c r="H215" s="92">
        <v>95</v>
      </c>
      <c r="I215" s="83">
        <v>0.01</v>
      </c>
      <c r="J215" s="84">
        <f>H215/0.001</f>
        <v>95000</v>
      </c>
      <c r="K215" s="84">
        <f t="shared" si="64"/>
        <v>9500</v>
      </c>
      <c r="L215" s="84"/>
      <c r="M215" s="85"/>
      <c r="N215" s="85"/>
      <c r="O215" s="85"/>
      <c r="P215" s="85"/>
      <c r="Q215" s="85"/>
      <c r="R215" s="85"/>
      <c r="S215" s="13"/>
      <c r="T215" s="13"/>
      <c r="U215" s="13"/>
      <c r="V215" s="13"/>
      <c r="W215" s="13"/>
      <c r="X215" s="13"/>
      <c r="Y215" s="13"/>
      <c r="Z215" s="13"/>
      <c r="AA215" s="13">
        <v>81</v>
      </c>
      <c r="AB215" s="13">
        <v>34</v>
      </c>
      <c r="AC215" s="13"/>
      <c r="AD215" s="84">
        <f>AA215/AA8</f>
        <v>162000000</v>
      </c>
      <c r="AE215" s="86">
        <f t="shared" si="65"/>
        <v>21.076022150079648</v>
      </c>
      <c r="AF215" s="13" t="s">
        <v>170</v>
      </c>
    </row>
    <row r="216" spans="1:32" hidden="1" x14ac:dyDescent="0.25">
      <c r="A216" s="48">
        <v>44109</v>
      </c>
      <c r="B216" s="42">
        <v>16</v>
      </c>
      <c r="C216" s="92">
        <v>165</v>
      </c>
      <c r="D216" s="12" t="s">
        <v>74</v>
      </c>
      <c r="E216" s="12">
        <v>1</v>
      </c>
      <c r="F216" s="90">
        <f>(100000)*F195/J195</f>
        <v>3.248039807975886E-2</v>
      </c>
      <c r="G216" s="91"/>
      <c r="H216" s="92">
        <v>103</v>
      </c>
      <c r="I216" s="83">
        <v>0.01</v>
      </c>
      <c r="J216" s="84">
        <f>H216/0.001</f>
        <v>103000</v>
      </c>
      <c r="K216" s="84">
        <f t="shared" si="64"/>
        <v>10300</v>
      </c>
      <c r="L216" s="84"/>
      <c r="M216" s="85"/>
      <c r="N216" s="85"/>
      <c r="O216" s="85">
        <v>97</v>
      </c>
      <c r="P216" s="85">
        <v>62</v>
      </c>
      <c r="Q216" s="85"/>
      <c r="R216" s="85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84">
        <f>O216/O8</f>
        <v>194000</v>
      </c>
      <c r="AE216" s="86">
        <f t="shared" si="65"/>
        <v>6.3498356969884142</v>
      </c>
      <c r="AF216" s="13" t="s">
        <v>210</v>
      </c>
    </row>
    <row r="217" spans="1:32" hidden="1" x14ac:dyDescent="0.25">
      <c r="C217" s="2"/>
    </row>
    <row r="218" spans="1:32" hidden="1" x14ac:dyDescent="0.25">
      <c r="A218" s="48">
        <v>44111</v>
      </c>
      <c r="B218" s="42">
        <v>1</v>
      </c>
      <c r="C218" s="92">
        <v>167</v>
      </c>
      <c r="D218" s="12" t="s">
        <v>76</v>
      </c>
      <c r="E218" s="12">
        <v>1</v>
      </c>
      <c r="F218" s="90">
        <f>(100000)*(F206/J206)</f>
        <v>8.254126733201533E-3</v>
      </c>
      <c r="G218" s="81"/>
      <c r="H218" s="82">
        <v>88</v>
      </c>
      <c r="I218" s="83">
        <v>0.01</v>
      </c>
      <c r="J218" s="84">
        <f t="shared" ref="J218:J226" si="66">H218/0.001</f>
        <v>88000</v>
      </c>
      <c r="K218" s="84">
        <f t="shared" ref="K218:K228" si="67">H218/I218</f>
        <v>8800</v>
      </c>
      <c r="L218" s="84"/>
      <c r="M218" s="85"/>
      <c r="N218" s="85"/>
      <c r="O218" s="85"/>
      <c r="P218" s="85"/>
      <c r="Q218" s="85"/>
      <c r="R218" s="85"/>
      <c r="S218" s="13">
        <v>107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84">
        <f>S218/S8</f>
        <v>2140000</v>
      </c>
      <c r="AE218" s="79">
        <f t="shared" ref="AE218:AE228" si="68">LN(AD218/K218)/(0.667*LN(2))</f>
        <v>11.882895888363679</v>
      </c>
      <c r="AF218" s="13" t="s">
        <v>226</v>
      </c>
    </row>
    <row r="219" spans="1:32" hidden="1" x14ac:dyDescent="0.25">
      <c r="A219" s="48">
        <v>44111</v>
      </c>
      <c r="B219" s="42">
        <v>2</v>
      </c>
      <c r="C219" s="92">
        <v>100</v>
      </c>
      <c r="D219" s="12" t="s">
        <v>10</v>
      </c>
      <c r="E219" s="12">
        <v>3</v>
      </c>
      <c r="F219" s="121">
        <f>(1000)*(F213/J213)</f>
        <v>3.3285440613026822E-5</v>
      </c>
      <c r="G219" s="91"/>
      <c r="H219" s="92">
        <v>45</v>
      </c>
      <c r="I219" s="83">
        <v>0.5</v>
      </c>
      <c r="J219" s="84">
        <f>H219/0.05</f>
        <v>900</v>
      </c>
      <c r="K219" s="84">
        <f t="shared" si="67"/>
        <v>90</v>
      </c>
      <c r="L219" s="84"/>
      <c r="M219" s="85"/>
      <c r="N219" s="85"/>
      <c r="O219" s="85"/>
      <c r="P219" s="85"/>
      <c r="Q219" s="85"/>
      <c r="R219" s="85"/>
      <c r="S219" s="13"/>
      <c r="T219" s="13">
        <v>31</v>
      </c>
      <c r="U219" s="13"/>
      <c r="V219" s="13"/>
      <c r="W219" s="13"/>
      <c r="X219" s="13"/>
      <c r="Y219" s="13"/>
      <c r="Z219" s="13"/>
      <c r="AA219" s="13"/>
      <c r="AB219" s="13"/>
      <c r="AC219" s="13"/>
      <c r="AD219" s="84">
        <f>T219/T8</f>
        <v>1549999.9999999998</v>
      </c>
      <c r="AE219" s="79">
        <f t="shared" si="68"/>
        <v>21.09742681933135</v>
      </c>
      <c r="AF219" s="13" t="s">
        <v>226</v>
      </c>
    </row>
    <row r="220" spans="1:32" hidden="1" x14ac:dyDescent="0.25">
      <c r="A220" s="48">
        <v>44111</v>
      </c>
      <c r="B220" s="42">
        <v>3</v>
      </c>
      <c r="C220" s="92">
        <v>146</v>
      </c>
      <c r="D220" s="12" t="s">
        <v>55</v>
      </c>
      <c r="E220" s="12">
        <v>1</v>
      </c>
      <c r="F220" s="90">
        <f>(100000)*(F214/J214)</f>
        <v>3.8557745969693769E-3</v>
      </c>
      <c r="G220" s="91"/>
      <c r="H220" s="92">
        <v>73</v>
      </c>
      <c r="I220" s="83">
        <v>0.01</v>
      </c>
      <c r="J220" s="84">
        <f t="shared" si="66"/>
        <v>73000</v>
      </c>
      <c r="K220" s="84">
        <f t="shared" si="67"/>
        <v>7300</v>
      </c>
      <c r="L220" s="84"/>
      <c r="M220" s="85"/>
      <c r="N220" s="85"/>
      <c r="O220" s="85"/>
      <c r="P220" s="85"/>
      <c r="Q220" s="85"/>
      <c r="R220" s="85"/>
      <c r="S220" s="13"/>
      <c r="T220" s="13"/>
      <c r="U220" s="13"/>
      <c r="V220" s="13"/>
      <c r="W220" s="13"/>
      <c r="X220" s="13"/>
      <c r="Y220" s="13"/>
      <c r="Z220" s="13"/>
      <c r="AA220" s="13">
        <v>53</v>
      </c>
      <c r="AB220" s="13"/>
      <c r="AC220" s="13"/>
      <c r="AD220" s="84">
        <f>AA220/AA8</f>
        <v>106000000</v>
      </c>
      <c r="AE220" s="79">
        <f t="shared" si="68"/>
        <v>20.728348238729584</v>
      </c>
      <c r="AF220" s="13" t="s">
        <v>226</v>
      </c>
    </row>
    <row r="221" spans="1:32" hidden="1" x14ac:dyDescent="0.25">
      <c r="A221" s="48">
        <v>44111</v>
      </c>
      <c r="B221" s="42">
        <v>4</v>
      </c>
      <c r="C221" s="92">
        <v>165</v>
      </c>
      <c r="D221" s="12" t="s">
        <v>74</v>
      </c>
      <c r="E221" s="12">
        <v>1</v>
      </c>
      <c r="F221" s="90">
        <f>(100000)*(F216/J216)</f>
        <v>3.1534367067727047E-2</v>
      </c>
      <c r="G221" s="91"/>
      <c r="H221" s="92">
        <v>69</v>
      </c>
      <c r="I221" s="83">
        <v>0.01</v>
      </c>
      <c r="J221" s="84">
        <f t="shared" si="66"/>
        <v>69000</v>
      </c>
      <c r="K221" s="84">
        <f t="shared" si="67"/>
        <v>6900</v>
      </c>
      <c r="L221" s="84"/>
      <c r="M221" s="85"/>
      <c r="N221" s="85"/>
      <c r="O221" s="85">
        <v>89</v>
      </c>
      <c r="P221" s="85"/>
      <c r="Q221" s="85"/>
      <c r="R221" s="85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84">
        <f>O221/O8</f>
        <v>178000</v>
      </c>
      <c r="AE221" s="79">
        <f t="shared" si="68"/>
        <v>7.0301905083592073</v>
      </c>
      <c r="AF221" s="13" t="s">
        <v>226</v>
      </c>
    </row>
    <row r="222" spans="1:32" hidden="1" x14ac:dyDescent="0.25">
      <c r="A222" s="48">
        <v>44111</v>
      </c>
      <c r="B222" s="42">
        <v>5</v>
      </c>
      <c r="C222" s="12">
        <v>100</v>
      </c>
      <c r="D222" s="12" t="s">
        <v>10</v>
      </c>
      <c r="E222" s="105">
        <v>3</v>
      </c>
      <c r="F222" s="90">
        <f>(100000)*(F215/J215)</f>
        <v>3.2039953899346907E-3</v>
      </c>
      <c r="G222" s="91"/>
      <c r="H222" s="92">
        <v>73</v>
      </c>
      <c r="I222" s="83">
        <v>0.01</v>
      </c>
      <c r="J222" s="84">
        <f t="shared" si="66"/>
        <v>73000</v>
      </c>
      <c r="K222" s="84">
        <f t="shared" si="67"/>
        <v>7300</v>
      </c>
      <c r="L222" s="84"/>
      <c r="M222" s="85"/>
      <c r="N222" s="85"/>
      <c r="O222" s="85"/>
      <c r="P222" s="85"/>
      <c r="Q222" s="85"/>
      <c r="R222" s="85"/>
      <c r="S222" s="13"/>
      <c r="T222" s="13"/>
      <c r="U222" s="13"/>
      <c r="V222" s="13"/>
      <c r="W222" s="13"/>
      <c r="X222" s="13"/>
      <c r="Y222" s="13"/>
      <c r="Z222" s="13"/>
      <c r="AA222" s="76" t="s">
        <v>225</v>
      </c>
      <c r="AB222" s="13"/>
      <c r="AC222" s="13"/>
      <c r="AD222" s="78"/>
      <c r="AE222" s="79" t="e">
        <f t="shared" si="68"/>
        <v>#NUM!</v>
      </c>
      <c r="AF222" s="13" t="s">
        <v>226</v>
      </c>
    </row>
    <row r="223" spans="1:32" hidden="1" x14ac:dyDescent="0.25">
      <c r="A223" s="48">
        <v>44111</v>
      </c>
      <c r="B223" s="42">
        <v>6</v>
      </c>
      <c r="C223" s="92">
        <v>159</v>
      </c>
      <c r="D223" s="12" t="s">
        <v>68</v>
      </c>
      <c r="E223" s="12">
        <v>1</v>
      </c>
      <c r="F223" s="90">
        <v>2.3255813953488372E-3</v>
      </c>
      <c r="G223" s="91"/>
      <c r="H223" s="92">
        <v>115</v>
      </c>
      <c r="I223" s="83">
        <v>0.01</v>
      </c>
      <c r="J223" s="84">
        <f t="shared" si="66"/>
        <v>115000</v>
      </c>
      <c r="K223" s="84">
        <f t="shared" si="67"/>
        <v>11500</v>
      </c>
      <c r="L223" s="84"/>
      <c r="M223" s="85"/>
      <c r="N223" s="85"/>
      <c r="O223" s="85"/>
      <c r="P223" s="85"/>
      <c r="Q223" s="85"/>
      <c r="R223" s="85"/>
      <c r="S223" s="13"/>
      <c r="T223" s="13"/>
      <c r="U223" s="13" t="s">
        <v>13</v>
      </c>
      <c r="V223" s="13"/>
      <c r="W223" s="13" t="s">
        <v>13</v>
      </c>
      <c r="X223" s="13"/>
      <c r="Y223" s="13">
        <v>97</v>
      </c>
      <c r="Z223" s="13"/>
      <c r="AA223" s="13"/>
      <c r="AB223" s="13"/>
      <c r="AC223" s="13"/>
      <c r="AD223" s="84">
        <f>Y223/Y8</f>
        <v>97000000</v>
      </c>
      <c r="AE223" s="79">
        <f t="shared" si="68"/>
        <v>19.55342604316672</v>
      </c>
      <c r="AF223" s="13" t="s">
        <v>226</v>
      </c>
    </row>
    <row r="224" spans="1:32" hidden="1" x14ac:dyDescent="0.25">
      <c r="A224" s="48">
        <v>44111</v>
      </c>
      <c r="B224" s="42">
        <v>7</v>
      </c>
      <c r="C224" s="92">
        <v>154</v>
      </c>
      <c r="D224" s="12" t="s">
        <v>63</v>
      </c>
      <c r="E224" s="12">
        <v>1</v>
      </c>
      <c r="F224" s="90">
        <f>(100000)*(F212/J212)</f>
        <v>1.387443635102324E-3</v>
      </c>
      <c r="G224" s="91"/>
      <c r="H224" s="92">
        <v>92</v>
      </c>
      <c r="I224" s="83">
        <v>0.01</v>
      </c>
      <c r="J224" s="84">
        <f t="shared" si="66"/>
        <v>92000</v>
      </c>
      <c r="K224" s="84">
        <f t="shared" si="67"/>
        <v>9200</v>
      </c>
      <c r="L224" s="84"/>
      <c r="M224" s="85"/>
      <c r="N224" s="85"/>
      <c r="O224" s="85"/>
      <c r="P224" s="85"/>
      <c r="Q224" s="85"/>
      <c r="S224" s="85"/>
      <c r="T224" s="13"/>
      <c r="U224" s="13" t="s">
        <v>13</v>
      </c>
      <c r="V224" s="13"/>
      <c r="W224" s="13" t="s">
        <v>13</v>
      </c>
      <c r="X224" s="13"/>
      <c r="Y224" s="13">
        <v>82</v>
      </c>
      <c r="Z224" s="13"/>
      <c r="AA224" s="13"/>
      <c r="AB224" s="13"/>
      <c r="AC224" s="13"/>
      <c r="AD224" s="84">
        <f>Y224/Y8</f>
        <v>82000000</v>
      </c>
      <c r="AE224" s="79">
        <f t="shared" si="68"/>
        <v>19.672717283524019</v>
      </c>
      <c r="AF224" s="13" t="s">
        <v>226</v>
      </c>
    </row>
    <row r="225" spans="1:32" hidden="1" x14ac:dyDescent="0.25">
      <c r="A225" s="48">
        <v>44111</v>
      </c>
      <c r="B225" s="42">
        <v>8</v>
      </c>
      <c r="C225" s="92">
        <v>158</v>
      </c>
      <c r="D225" s="12" t="s">
        <v>67</v>
      </c>
      <c r="E225" s="12">
        <v>1</v>
      </c>
      <c r="F225" s="90">
        <f>(100000)*(F208/J208)</f>
        <v>1.7365452474229653E-3</v>
      </c>
      <c r="G225" s="91"/>
      <c r="H225" s="92">
        <v>98</v>
      </c>
      <c r="I225" s="83">
        <v>0.01</v>
      </c>
      <c r="J225" s="84">
        <f t="shared" si="66"/>
        <v>98000</v>
      </c>
      <c r="K225" s="84">
        <f t="shared" si="67"/>
        <v>9800</v>
      </c>
      <c r="L225" s="84"/>
      <c r="M225" s="85"/>
      <c r="N225" s="85"/>
      <c r="O225" s="85"/>
      <c r="P225" s="85"/>
      <c r="Q225" s="85"/>
      <c r="R225" s="85"/>
      <c r="S225" s="13"/>
      <c r="T225" s="13"/>
      <c r="U225" s="13"/>
      <c r="V225" s="13"/>
      <c r="W225" s="13"/>
      <c r="X225" s="13"/>
      <c r="Y225" s="13"/>
      <c r="Z225" s="13">
        <v>131</v>
      </c>
      <c r="AA225" s="13"/>
      <c r="AB225" s="13"/>
      <c r="AC225" s="13"/>
      <c r="AD225" s="84">
        <f>Z225/Z8</f>
        <v>187142857.14285716</v>
      </c>
      <c r="AE225" s="79">
        <f t="shared" si="68"/>
        <v>21.320837645879234</v>
      </c>
      <c r="AF225" s="13" t="s">
        <v>226</v>
      </c>
    </row>
    <row r="226" spans="1:32" hidden="1" x14ac:dyDescent="0.25">
      <c r="A226" s="48">
        <v>44111</v>
      </c>
      <c r="B226" s="42">
        <v>9</v>
      </c>
      <c r="C226" s="92">
        <v>164</v>
      </c>
      <c r="D226" s="12" t="s">
        <v>73</v>
      </c>
      <c r="E226" s="12">
        <v>1</v>
      </c>
      <c r="F226" s="90">
        <f>(100000)*(F207/J207)</f>
        <v>1.3389074729246131E-2</v>
      </c>
      <c r="G226" s="91"/>
      <c r="H226" s="92">
        <v>83</v>
      </c>
      <c r="I226" s="83">
        <v>0.01</v>
      </c>
      <c r="J226" s="84">
        <f t="shared" si="66"/>
        <v>83000</v>
      </c>
      <c r="K226" s="84">
        <f t="shared" si="67"/>
        <v>8300</v>
      </c>
      <c r="L226" s="84"/>
      <c r="M226" s="85"/>
      <c r="N226" s="85"/>
      <c r="O226" s="85"/>
      <c r="P226" s="85"/>
      <c r="Q226" s="85">
        <v>93</v>
      </c>
      <c r="R226" s="85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84">
        <f>Q226/Q8</f>
        <v>930000</v>
      </c>
      <c r="AE226" s="79">
        <f t="shared" si="68"/>
        <v>10.206859924341575</v>
      </c>
      <c r="AF226" s="13" t="s">
        <v>226</v>
      </c>
    </row>
    <row r="227" spans="1:32" hidden="1" x14ac:dyDescent="0.25">
      <c r="A227" s="48">
        <v>44111</v>
      </c>
      <c r="B227" s="42">
        <v>10</v>
      </c>
      <c r="C227" s="92">
        <v>157</v>
      </c>
      <c r="D227" s="12" t="s">
        <v>66</v>
      </c>
      <c r="E227" s="12">
        <v>1</v>
      </c>
      <c r="F227" s="90">
        <f>(100000)*(F209/J209)</f>
        <v>7.7765335324125851E-4</v>
      </c>
      <c r="G227" s="91"/>
      <c r="H227" s="92">
        <v>91</v>
      </c>
      <c r="I227" s="83">
        <v>0.01</v>
      </c>
      <c r="J227" s="84">
        <f>H227/0.001</f>
        <v>91000</v>
      </c>
      <c r="K227" s="84">
        <f t="shared" si="67"/>
        <v>9100</v>
      </c>
      <c r="L227" s="84"/>
      <c r="M227" s="85"/>
      <c r="N227" s="85"/>
      <c r="O227" s="85"/>
      <c r="P227" s="85"/>
      <c r="Q227" s="85"/>
      <c r="R227" s="85"/>
      <c r="S227" s="13"/>
      <c r="T227" s="13"/>
      <c r="U227" s="13">
        <v>60</v>
      </c>
      <c r="V227" s="13"/>
      <c r="W227" s="13"/>
      <c r="X227" s="13"/>
      <c r="Y227" s="13"/>
      <c r="Z227" s="13"/>
      <c r="AA227" s="13"/>
      <c r="AB227" s="13"/>
      <c r="AC227" s="13"/>
      <c r="AD227" s="84">
        <f>U227/U8</f>
        <v>5999999.9999999991</v>
      </c>
      <c r="AE227" s="79">
        <f t="shared" si="68"/>
        <v>14.040300210002862</v>
      </c>
      <c r="AF227" s="13" t="s">
        <v>226</v>
      </c>
    </row>
    <row r="228" spans="1:32" hidden="1" x14ac:dyDescent="0.25">
      <c r="A228" s="48">
        <v>44111</v>
      </c>
      <c r="B228" s="42">
        <v>11</v>
      </c>
      <c r="C228" s="92">
        <v>160</v>
      </c>
      <c r="D228" s="12" t="s">
        <v>69</v>
      </c>
      <c r="E228" s="12">
        <v>1</v>
      </c>
      <c r="F228" s="90">
        <f>(100000)*(F211/J211)</f>
        <v>6.6386814378390857E-3</v>
      </c>
      <c r="G228" s="91"/>
      <c r="H228" s="92">
        <v>81</v>
      </c>
      <c r="I228" s="83">
        <v>0.01</v>
      </c>
      <c r="J228" s="84">
        <f>H228/0.001</f>
        <v>81000</v>
      </c>
      <c r="K228" s="84">
        <f t="shared" si="67"/>
        <v>8100</v>
      </c>
      <c r="L228" s="84"/>
      <c r="M228" s="85"/>
      <c r="N228" s="85"/>
      <c r="O228" s="85"/>
      <c r="P228" s="85"/>
      <c r="Q228" s="85"/>
      <c r="R228" s="85"/>
      <c r="S228" s="13"/>
      <c r="T228" s="13"/>
      <c r="U228" s="13"/>
      <c r="V228" s="13"/>
      <c r="W228" s="13">
        <v>87</v>
      </c>
      <c r="X228" s="13"/>
      <c r="Y228" s="13"/>
      <c r="Z228" s="13"/>
      <c r="AA228" s="13"/>
      <c r="AB228" s="13"/>
      <c r="AC228" s="13"/>
      <c r="AD228" s="84">
        <f>W228/W8</f>
        <v>17400000</v>
      </c>
      <c r="AE228" s="79">
        <f t="shared" si="68"/>
        <v>16.595019156860857</v>
      </c>
      <c r="AF228" s="13" t="s">
        <v>226</v>
      </c>
    </row>
    <row r="229" spans="1:32" hidden="1" x14ac:dyDescent="0.25"/>
    <row r="230" spans="1:32" hidden="1" x14ac:dyDescent="0.25">
      <c r="A230" s="48">
        <v>44117</v>
      </c>
      <c r="B230" s="42">
        <v>1</v>
      </c>
      <c r="C230" s="92">
        <v>164</v>
      </c>
      <c r="D230" s="12" t="s">
        <v>73</v>
      </c>
      <c r="E230" s="12">
        <v>1</v>
      </c>
      <c r="F230" s="90">
        <f>(100000)*(F226/J226)</f>
        <v>1.6131415336441121E-2</v>
      </c>
      <c r="G230" s="81"/>
      <c r="H230" s="82">
        <v>117</v>
      </c>
      <c r="I230" s="83">
        <v>0.01</v>
      </c>
      <c r="J230" s="84">
        <f t="shared" ref="J230:J245" si="69">H230/0.001</f>
        <v>117000</v>
      </c>
      <c r="K230" s="84">
        <f t="shared" ref="K230:K245" si="70">H230/I230</f>
        <v>11700</v>
      </c>
      <c r="L230" s="84"/>
      <c r="M230" s="85"/>
      <c r="N230" s="85"/>
      <c r="O230" s="85"/>
      <c r="P230" s="85"/>
      <c r="Q230" s="85">
        <v>144</v>
      </c>
      <c r="R230" s="85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4">
        <f>Q230/Q8</f>
        <v>1440000</v>
      </c>
      <c r="AE230" s="86">
        <f t="shared" ref="AE230:AE245" si="71">LN(AD230/K230)/(0.667*LN(2))</f>
        <v>10.409919747576662</v>
      </c>
      <c r="AF230" s="13" t="s">
        <v>170</v>
      </c>
    </row>
    <row r="231" spans="1:32" hidden="1" x14ac:dyDescent="0.25">
      <c r="A231" s="48">
        <v>44117</v>
      </c>
      <c r="B231" s="42">
        <v>2</v>
      </c>
      <c r="C231" s="12">
        <v>100</v>
      </c>
      <c r="D231" s="12" t="s">
        <v>10</v>
      </c>
      <c r="E231" s="105">
        <v>3</v>
      </c>
      <c r="F231" s="90">
        <f>(100000)*(F222/J222)</f>
        <v>4.3890347807324535E-3</v>
      </c>
      <c r="G231" s="91"/>
      <c r="H231" s="92">
        <v>105</v>
      </c>
      <c r="I231" s="83">
        <v>0.01</v>
      </c>
      <c r="J231" s="84">
        <f t="shared" si="69"/>
        <v>105000</v>
      </c>
      <c r="K231" s="84">
        <f t="shared" si="70"/>
        <v>10500</v>
      </c>
      <c r="L231" s="84"/>
      <c r="M231" s="85"/>
      <c r="N231" s="85"/>
      <c r="O231" s="85"/>
      <c r="P231" s="85"/>
      <c r="Q231" s="85"/>
      <c r="R231" s="85"/>
      <c r="S231" s="13"/>
      <c r="T231" s="13"/>
      <c r="U231" s="13"/>
      <c r="V231" s="13"/>
      <c r="W231" s="13"/>
      <c r="X231" s="13"/>
      <c r="Y231" s="13"/>
      <c r="Z231" s="13"/>
      <c r="AA231" s="13">
        <v>96</v>
      </c>
      <c r="AB231" s="13"/>
      <c r="AC231" s="13"/>
      <c r="AD231" s="84">
        <f>AA231/AA8</f>
        <v>192000000</v>
      </c>
      <c r="AE231" s="86">
        <f t="shared" si="71"/>
        <v>21.227030528642405</v>
      </c>
      <c r="AF231" s="13" t="s">
        <v>229</v>
      </c>
    </row>
    <row r="232" spans="1:32" hidden="1" x14ac:dyDescent="0.25">
      <c r="A232" s="48">
        <v>44117</v>
      </c>
      <c r="B232" s="42">
        <v>3</v>
      </c>
      <c r="C232" s="92">
        <v>165</v>
      </c>
      <c r="D232" s="12" t="s">
        <v>74</v>
      </c>
      <c r="E232" s="12">
        <v>1</v>
      </c>
      <c r="F232" s="90">
        <f>(100000)*(F221/J221)</f>
        <v>4.5701981257575429E-2</v>
      </c>
      <c r="G232" s="91"/>
      <c r="H232" s="92" t="s">
        <v>225</v>
      </c>
      <c r="I232" s="83">
        <v>0.01</v>
      </c>
      <c r="J232" s="84" t="e">
        <f t="shared" si="69"/>
        <v>#VALUE!</v>
      </c>
      <c r="K232" s="84" t="e">
        <f t="shared" si="70"/>
        <v>#VALUE!</v>
      </c>
      <c r="L232" s="84"/>
      <c r="M232" s="85"/>
      <c r="N232" s="85"/>
      <c r="O232" s="85" t="s">
        <v>225</v>
      </c>
      <c r="P232" s="85"/>
      <c r="Q232" s="85"/>
      <c r="R232" s="85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78"/>
      <c r="AE232" s="79" t="e">
        <f t="shared" si="71"/>
        <v>#VALUE!</v>
      </c>
      <c r="AF232" s="13" t="s">
        <v>210</v>
      </c>
    </row>
    <row r="233" spans="1:32" hidden="1" x14ac:dyDescent="0.25">
      <c r="A233" s="48">
        <v>44117</v>
      </c>
      <c r="B233" s="42">
        <v>4</v>
      </c>
      <c r="C233" s="92">
        <v>167</v>
      </c>
      <c r="D233" s="12" t="s">
        <v>76</v>
      </c>
      <c r="E233" s="12">
        <v>1</v>
      </c>
      <c r="F233" s="90">
        <f>(100000)*(F218/J218)</f>
        <v>9.3796894695471963E-3</v>
      </c>
      <c r="G233" s="91"/>
      <c r="H233" s="92">
        <v>118</v>
      </c>
      <c r="I233" s="83">
        <v>0.01</v>
      </c>
      <c r="J233" s="84">
        <f t="shared" si="69"/>
        <v>118000</v>
      </c>
      <c r="K233" s="84">
        <f t="shared" si="70"/>
        <v>11800</v>
      </c>
      <c r="L233" s="84"/>
      <c r="M233" s="85"/>
      <c r="N233" s="85"/>
      <c r="O233" s="85"/>
      <c r="P233" s="85"/>
      <c r="Q233" s="85"/>
      <c r="R233" s="85"/>
      <c r="S233" s="13">
        <v>170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84">
        <f>S233/S8</f>
        <v>3400000</v>
      </c>
      <c r="AE233" s="86">
        <f t="shared" si="71"/>
        <v>12.24978122421377</v>
      </c>
      <c r="AF233" s="13" t="s">
        <v>170</v>
      </c>
    </row>
    <row r="234" spans="1:32" hidden="1" x14ac:dyDescent="0.25">
      <c r="A234" s="48">
        <v>44117</v>
      </c>
      <c r="B234" s="42">
        <v>5</v>
      </c>
      <c r="C234" s="92">
        <v>100</v>
      </c>
      <c r="D234" s="12" t="s">
        <v>10</v>
      </c>
      <c r="E234" s="12">
        <v>3</v>
      </c>
      <c r="F234" s="121">
        <f>(1000)*(F219/J219)</f>
        <v>3.6983822903363135E-5</v>
      </c>
      <c r="G234" s="91"/>
      <c r="H234" s="92">
        <v>67</v>
      </c>
      <c r="I234" s="83">
        <v>0.5</v>
      </c>
      <c r="J234" s="84">
        <f>H234/0.05</f>
        <v>1340</v>
      </c>
      <c r="K234" s="84">
        <f t="shared" si="70"/>
        <v>134</v>
      </c>
      <c r="L234" s="84"/>
      <c r="M234" s="85"/>
      <c r="N234" s="85"/>
      <c r="O234" s="85"/>
      <c r="P234" s="85"/>
      <c r="Q234" s="85"/>
      <c r="R234" s="85"/>
      <c r="S234" s="13">
        <v>183</v>
      </c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84">
        <f>S234/S8</f>
        <v>3660000</v>
      </c>
      <c r="AE234" s="86">
        <f t="shared" si="71"/>
        <v>22.094937072527319</v>
      </c>
      <c r="AF234" s="13" t="s">
        <v>199</v>
      </c>
    </row>
    <row r="235" spans="1:32" hidden="1" x14ac:dyDescent="0.25">
      <c r="A235" s="48">
        <v>44117</v>
      </c>
      <c r="B235" s="42">
        <v>6</v>
      </c>
      <c r="C235" s="92">
        <v>154</v>
      </c>
      <c r="D235" s="12" t="s">
        <v>63</v>
      </c>
      <c r="E235" s="12">
        <v>1</v>
      </c>
      <c r="F235" s="90">
        <f>(100000)*(F224/J224)</f>
        <v>1.5080909077199174E-3</v>
      </c>
      <c r="G235" s="91"/>
      <c r="H235" s="92">
        <v>105</v>
      </c>
      <c r="I235" s="83">
        <v>0.01</v>
      </c>
      <c r="J235" s="84">
        <f t="shared" si="69"/>
        <v>105000</v>
      </c>
      <c r="K235" s="84">
        <f t="shared" si="70"/>
        <v>10500</v>
      </c>
      <c r="L235" s="84"/>
      <c r="M235" s="85"/>
      <c r="N235" s="85"/>
      <c r="O235" s="85"/>
      <c r="P235" s="85"/>
      <c r="Q235" s="85"/>
      <c r="R235" s="85"/>
      <c r="S235" s="13"/>
      <c r="T235" s="13"/>
      <c r="U235" s="13"/>
      <c r="V235" s="13"/>
      <c r="W235" s="13"/>
      <c r="X235" s="13"/>
      <c r="Y235" s="13">
        <v>95</v>
      </c>
      <c r="Z235" s="13"/>
      <c r="AA235" s="13"/>
      <c r="AB235" s="13"/>
      <c r="AC235" s="13"/>
      <c r="AD235" s="84">
        <f>Y235/Y8</f>
        <v>95000000</v>
      </c>
      <c r="AE235" s="86">
        <f t="shared" si="71"/>
        <v>19.705131139751536</v>
      </c>
      <c r="AF235" s="13" t="s">
        <v>170</v>
      </c>
    </row>
    <row r="236" spans="1:32" hidden="1" x14ac:dyDescent="0.25">
      <c r="A236" s="48">
        <v>44117</v>
      </c>
      <c r="B236" s="42">
        <v>7</v>
      </c>
      <c r="C236" s="92">
        <v>146</v>
      </c>
      <c r="D236" s="12" t="s">
        <v>55</v>
      </c>
      <c r="E236" s="12">
        <v>1</v>
      </c>
      <c r="F236" s="90">
        <f>(100000)*(F220/J220)</f>
        <v>5.2818830095470917E-3</v>
      </c>
      <c r="G236" s="91"/>
      <c r="H236" s="92">
        <v>120</v>
      </c>
      <c r="I236" s="83">
        <v>0.01</v>
      </c>
      <c r="J236" s="84">
        <f t="shared" si="69"/>
        <v>120000</v>
      </c>
      <c r="K236" s="84">
        <f t="shared" si="70"/>
        <v>12000</v>
      </c>
      <c r="L236" s="84"/>
      <c r="M236" s="85"/>
      <c r="N236" s="85"/>
      <c r="O236" s="85"/>
      <c r="P236" s="85"/>
      <c r="Q236" s="85"/>
      <c r="R236" s="128"/>
      <c r="S236" s="85"/>
      <c r="T236" s="13"/>
      <c r="U236" s="13"/>
      <c r="V236" s="13"/>
      <c r="W236" s="13"/>
      <c r="X236" s="13"/>
      <c r="Y236" s="13"/>
      <c r="Z236" s="13"/>
      <c r="AA236" s="13" t="s">
        <v>13</v>
      </c>
      <c r="AB236" s="13"/>
      <c r="AC236" s="13"/>
      <c r="AD236" s="78"/>
      <c r="AE236" s="79" t="e">
        <f t="shared" si="71"/>
        <v>#NUM!</v>
      </c>
      <c r="AF236" s="13" t="s">
        <v>230</v>
      </c>
    </row>
    <row r="237" spans="1:32" hidden="1" x14ac:dyDescent="0.25">
      <c r="A237" s="48">
        <v>44117</v>
      </c>
      <c r="B237" s="42">
        <v>8</v>
      </c>
      <c r="C237" s="6">
        <v>170</v>
      </c>
      <c r="D237" s="6" t="s">
        <v>79</v>
      </c>
      <c r="E237" s="6">
        <v>1</v>
      </c>
      <c r="F237" s="90">
        <v>5.7803468208092483E-3</v>
      </c>
      <c r="G237" s="91"/>
      <c r="H237" s="92">
        <v>96</v>
      </c>
      <c r="I237" s="83">
        <v>0.01</v>
      </c>
      <c r="J237" s="84">
        <f t="shared" si="69"/>
        <v>96000</v>
      </c>
      <c r="K237" s="84">
        <f t="shared" si="70"/>
        <v>9600</v>
      </c>
      <c r="L237" s="84"/>
      <c r="M237" s="85"/>
      <c r="N237" s="85"/>
      <c r="O237" s="85"/>
      <c r="P237" s="85"/>
      <c r="Q237" s="85"/>
      <c r="R237" s="85"/>
      <c r="S237" s="13"/>
      <c r="T237" s="13"/>
      <c r="U237" s="13" t="s">
        <v>13</v>
      </c>
      <c r="V237" s="13"/>
      <c r="W237" s="13" t="s">
        <v>13</v>
      </c>
      <c r="X237" s="13"/>
      <c r="Y237" s="13">
        <v>149</v>
      </c>
      <c r="Z237" s="13"/>
      <c r="AA237" s="13"/>
      <c r="AB237" s="13"/>
      <c r="AC237" s="13"/>
      <c r="AD237" s="84">
        <f>Y237/Y8</f>
        <v>149000000</v>
      </c>
      <c r="AE237" s="86">
        <f t="shared" si="71"/>
        <v>20.87244137824656</v>
      </c>
      <c r="AF237" s="13" t="s">
        <v>190</v>
      </c>
    </row>
    <row r="238" spans="1:32" hidden="1" x14ac:dyDescent="0.25">
      <c r="A238" s="48">
        <v>44117</v>
      </c>
      <c r="B238" s="42">
        <v>9</v>
      </c>
      <c r="C238" s="92">
        <v>157</v>
      </c>
      <c r="D238" s="12" t="s">
        <v>66</v>
      </c>
      <c r="E238" s="12">
        <v>1</v>
      </c>
      <c r="F238" s="90">
        <f>(100000)*(F227/J227)</f>
        <v>8.5456412444094338E-4</v>
      </c>
      <c r="G238" s="91"/>
      <c r="H238" s="92">
        <v>103</v>
      </c>
      <c r="I238" s="83">
        <v>0.01</v>
      </c>
      <c r="J238" s="84">
        <f t="shared" si="69"/>
        <v>103000</v>
      </c>
      <c r="K238" s="84">
        <f t="shared" si="70"/>
        <v>10300</v>
      </c>
      <c r="L238" s="84"/>
      <c r="M238" s="85"/>
      <c r="N238" s="85"/>
      <c r="O238" s="85"/>
      <c r="P238" s="85"/>
      <c r="Q238" s="85"/>
      <c r="R238" s="85"/>
      <c r="S238" s="13"/>
      <c r="T238" s="13"/>
      <c r="U238" s="13">
        <v>90</v>
      </c>
      <c r="V238" s="13"/>
      <c r="W238" s="13"/>
      <c r="X238" s="13"/>
      <c r="Y238" s="13"/>
      <c r="Z238" s="13"/>
      <c r="AA238" s="13"/>
      <c r="AB238" s="13"/>
      <c r="AC238" s="13"/>
      <c r="AD238" s="84">
        <f>U238/U8</f>
        <v>9000000</v>
      </c>
      <c r="AE238" s="86">
        <f t="shared" si="71"/>
        <v>14.649380590417605</v>
      </c>
      <c r="AF238" s="13" t="s">
        <v>170</v>
      </c>
    </row>
    <row r="239" spans="1:32" hidden="1" x14ac:dyDescent="0.25">
      <c r="A239" s="48">
        <v>44117</v>
      </c>
      <c r="B239" s="42">
        <v>10</v>
      </c>
      <c r="C239" s="6">
        <v>171</v>
      </c>
      <c r="D239" s="6" t="s">
        <v>80</v>
      </c>
      <c r="E239" s="6">
        <v>1</v>
      </c>
      <c r="F239" s="90">
        <v>1.4492753623188406E-3</v>
      </c>
      <c r="G239" s="91"/>
      <c r="H239" s="92">
        <v>84</v>
      </c>
      <c r="I239" s="83">
        <v>0.01</v>
      </c>
      <c r="J239" s="84">
        <f t="shared" si="69"/>
        <v>84000</v>
      </c>
      <c r="K239" s="84">
        <f t="shared" si="70"/>
        <v>8400</v>
      </c>
      <c r="L239" s="84"/>
      <c r="M239" s="85"/>
      <c r="N239" s="85"/>
      <c r="O239" s="85"/>
      <c r="P239" s="85"/>
      <c r="Q239" s="85"/>
      <c r="R239" s="85"/>
      <c r="S239" s="13"/>
      <c r="T239" s="13"/>
      <c r="U239" s="13" t="s">
        <v>13</v>
      </c>
      <c r="V239" s="13"/>
      <c r="W239" s="13" t="s">
        <v>13</v>
      </c>
      <c r="X239" s="13"/>
      <c r="Y239" s="13">
        <v>187</v>
      </c>
      <c r="Z239" s="13"/>
      <c r="AA239" s="13"/>
      <c r="AB239" s="13"/>
      <c r="AC239" s="13"/>
      <c r="AD239" s="84">
        <f>Y239/Y8</f>
        <v>187000000</v>
      </c>
      <c r="AE239" s="86">
        <f t="shared" si="71"/>
        <v>21.652607821076952</v>
      </c>
      <c r="AF239" s="13" t="s">
        <v>197</v>
      </c>
    </row>
    <row r="240" spans="1:32" hidden="1" x14ac:dyDescent="0.25">
      <c r="A240" s="48">
        <v>44117</v>
      </c>
      <c r="B240" s="42">
        <v>11</v>
      </c>
      <c r="C240" s="92">
        <v>158</v>
      </c>
      <c r="D240" s="12" t="s">
        <v>67</v>
      </c>
      <c r="E240" s="12">
        <v>1</v>
      </c>
      <c r="F240" s="90">
        <f>(100000)*(F225/J225)</f>
        <v>1.7719849463499646E-3</v>
      </c>
      <c r="G240" s="91"/>
      <c r="H240" s="92">
        <v>94</v>
      </c>
      <c r="I240" s="83">
        <v>0.01</v>
      </c>
      <c r="J240" s="84">
        <f t="shared" si="69"/>
        <v>94000</v>
      </c>
      <c r="K240" s="84">
        <f t="shared" si="70"/>
        <v>9400</v>
      </c>
      <c r="L240" s="84"/>
      <c r="M240" s="85"/>
      <c r="N240" s="85"/>
      <c r="O240" s="85"/>
      <c r="P240" s="85"/>
      <c r="Q240" s="85"/>
      <c r="R240" s="85"/>
      <c r="S240" s="13"/>
      <c r="T240" s="13"/>
      <c r="U240" s="13"/>
      <c r="V240" s="13"/>
      <c r="W240" s="13"/>
      <c r="X240" s="13"/>
      <c r="Y240" s="13"/>
      <c r="Z240" s="13"/>
      <c r="AA240" s="13">
        <v>85</v>
      </c>
      <c r="AB240" s="13"/>
      <c r="AC240" s="13"/>
      <c r="AD240" s="84">
        <f>AA240/AA8</f>
        <v>170000000</v>
      </c>
      <c r="AE240" s="86">
        <f t="shared" si="71"/>
        <v>21.203170110958794</v>
      </c>
      <c r="AF240" s="13" t="s">
        <v>170</v>
      </c>
    </row>
    <row r="241" spans="1:32" hidden="1" x14ac:dyDescent="0.25">
      <c r="A241" s="48">
        <v>44117</v>
      </c>
      <c r="B241" s="42">
        <v>12</v>
      </c>
      <c r="C241" s="6">
        <v>172</v>
      </c>
      <c r="D241" s="6" t="s">
        <v>81</v>
      </c>
      <c r="E241" s="6">
        <v>2</v>
      </c>
      <c r="F241" s="90">
        <v>2.3809523809523808E-2</v>
      </c>
      <c r="G241" s="91"/>
      <c r="H241" s="92">
        <v>129</v>
      </c>
      <c r="I241" s="83">
        <v>0.01</v>
      </c>
      <c r="J241" s="84">
        <f t="shared" si="69"/>
        <v>129000</v>
      </c>
      <c r="K241" s="84">
        <f t="shared" si="70"/>
        <v>12900</v>
      </c>
      <c r="L241" s="84"/>
      <c r="M241" s="85"/>
      <c r="N241" s="85"/>
      <c r="O241" s="85"/>
      <c r="P241" s="85"/>
      <c r="Q241" s="85"/>
      <c r="R241" s="85"/>
      <c r="S241" s="13"/>
      <c r="T241" s="13"/>
      <c r="U241" s="13" t="s">
        <v>13</v>
      </c>
      <c r="V241" s="13"/>
      <c r="W241" s="13" t="s">
        <v>13</v>
      </c>
      <c r="X241" s="13"/>
      <c r="Y241" s="13">
        <v>128</v>
      </c>
      <c r="Z241" s="13"/>
      <c r="AA241" s="13"/>
      <c r="AB241" s="13"/>
      <c r="AC241" s="13"/>
      <c r="AD241" s="84">
        <f>Y241/Y8</f>
        <v>128000000</v>
      </c>
      <c r="AE241" s="86">
        <f t="shared" si="71"/>
        <v>19.904775298540024</v>
      </c>
      <c r="AF241" s="13" t="s">
        <v>190</v>
      </c>
    </row>
    <row r="242" spans="1:32" hidden="1" x14ac:dyDescent="0.25">
      <c r="A242" s="48">
        <v>44117</v>
      </c>
      <c r="B242" s="42">
        <v>13</v>
      </c>
      <c r="C242" s="6">
        <v>176</v>
      </c>
      <c r="D242" s="6" t="s">
        <v>85</v>
      </c>
      <c r="E242" s="6">
        <v>1</v>
      </c>
      <c r="F242" s="90">
        <v>1.8181818181818182E-3</v>
      </c>
      <c r="G242" s="91"/>
      <c r="H242" s="92">
        <v>112</v>
      </c>
      <c r="I242" s="83">
        <v>0.01</v>
      </c>
      <c r="J242" s="84">
        <f t="shared" si="69"/>
        <v>112000</v>
      </c>
      <c r="K242" s="84">
        <f t="shared" si="70"/>
        <v>11200</v>
      </c>
      <c r="L242" s="84"/>
      <c r="M242" s="85"/>
      <c r="N242" s="85"/>
      <c r="O242" s="85"/>
      <c r="P242" s="85"/>
      <c r="Q242" s="85"/>
      <c r="R242" s="85"/>
      <c r="S242" s="13"/>
      <c r="T242" s="13"/>
      <c r="U242" s="13" t="s">
        <v>13</v>
      </c>
      <c r="V242" s="13"/>
      <c r="W242" s="13" t="s">
        <v>13</v>
      </c>
      <c r="X242" s="13"/>
      <c r="Y242" s="13">
        <v>152</v>
      </c>
      <c r="Z242" s="13"/>
      <c r="AA242" s="13"/>
      <c r="AB242" s="13"/>
      <c r="AC242" s="13"/>
      <c r="AD242" s="84">
        <f>Y242/Y8</f>
        <v>152000000</v>
      </c>
      <c r="AE242" s="86">
        <f t="shared" si="71"/>
        <v>20.582136388209044</v>
      </c>
      <c r="AF242" s="13" t="s">
        <v>190</v>
      </c>
    </row>
    <row r="243" spans="1:32" hidden="1" x14ac:dyDescent="0.25">
      <c r="A243" s="48">
        <v>44117</v>
      </c>
      <c r="B243" s="42">
        <v>14</v>
      </c>
      <c r="C243" s="92">
        <v>159</v>
      </c>
      <c r="D243" s="12" t="s">
        <v>68</v>
      </c>
      <c r="E243" s="12">
        <v>1</v>
      </c>
      <c r="F243" s="90">
        <f>(100000)*(F223/J223)</f>
        <v>2.0222446916076842E-3</v>
      </c>
      <c r="G243" s="91"/>
      <c r="H243" s="92">
        <v>99</v>
      </c>
      <c r="I243" s="83">
        <v>0.01</v>
      </c>
      <c r="J243" s="84">
        <f t="shared" si="69"/>
        <v>99000</v>
      </c>
      <c r="K243" s="84">
        <f t="shared" si="70"/>
        <v>9900</v>
      </c>
      <c r="L243" s="84"/>
      <c r="M243" s="85"/>
      <c r="N243" s="85"/>
      <c r="O243" s="85"/>
      <c r="P243" s="85"/>
      <c r="Q243" s="85"/>
      <c r="R243" s="85"/>
      <c r="S243" s="13"/>
      <c r="T243" s="13"/>
      <c r="U243" s="13"/>
      <c r="V243" s="13"/>
      <c r="W243" s="13"/>
      <c r="X243" s="13"/>
      <c r="Y243" s="13">
        <v>101</v>
      </c>
      <c r="Z243" s="13"/>
      <c r="AA243" s="13"/>
      <c r="AB243" s="13"/>
      <c r="AC243" s="13"/>
      <c r="AD243" s="84">
        <f>Y243/Y8</f>
        <v>101000000</v>
      </c>
      <c r="AE243" s="86">
        <f t="shared" si="71"/>
        <v>19.964868429117892</v>
      </c>
      <c r="AF243" s="13" t="s">
        <v>196</v>
      </c>
    </row>
    <row r="244" spans="1:32" hidden="1" x14ac:dyDescent="0.25">
      <c r="A244" s="48">
        <v>44117</v>
      </c>
      <c r="B244" s="42">
        <v>15</v>
      </c>
      <c r="C244" s="12">
        <v>120</v>
      </c>
      <c r="D244" s="92" t="s">
        <v>33</v>
      </c>
      <c r="E244" s="91">
        <v>1</v>
      </c>
      <c r="F244" s="90">
        <f>(100000)*(F146/J146)</f>
        <v>1.6893200456092425E-2</v>
      </c>
      <c r="G244" s="91"/>
      <c r="H244" s="92">
        <v>121</v>
      </c>
      <c r="I244" s="83">
        <v>0.01</v>
      </c>
      <c r="J244" s="84">
        <f t="shared" si="69"/>
        <v>121000</v>
      </c>
      <c r="K244" s="84">
        <f t="shared" si="70"/>
        <v>12100</v>
      </c>
      <c r="L244" s="84"/>
      <c r="M244" s="85"/>
      <c r="N244" s="85"/>
      <c r="O244" s="85" t="s">
        <v>13</v>
      </c>
      <c r="P244" s="85">
        <v>84</v>
      </c>
      <c r="Q244" s="85">
        <v>62</v>
      </c>
      <c r="R244" s="85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4">
        <f>P244/P8</f>
        <v>420000</v>
      </c>
      <c r="AE244" s="86">
        <f t="shared" si="71"/>
        <v>7.6721294981692516</v>
      </c>
      <c r="AF244" s="13" t="s">
        <v>170</v>
      </c>
    </row>
    <row r="245" spans="1:32" hidden="1" x14ac:dyDescent="0.25">
      <c r="A245" s="48">
        <v>44117</v>
      </c>
      <c r="B245" s="42">
        <v>16</v>
      </c>
      <c r="C245" s="92">
        <v>160</v>
      </c>
      <c r="D245" s="12" t="s">
        <v>69</v>
      </c>
      <c r="E245" s="12">
        <v>1</v>
      </c>
      <c r="F245" s="90">
        <f>(100000)*(F228/J228)</f>
        <v>8.1959030096778844E-3</v>
      </c>
      <c r="G245" s="91"/>
      <c r="H245" s="92">
        <v>122</v>
      </c>
      <c r="I245" s="83">
        <v>0.01</v>
      </c>
      <c r="J245" s="84">
        <f t="shared" si="69"/>
        <v>122000</v>
      </c>
      <c r="K245" s="84">
        <f t="shared" si="70"/>
        <v>12200</v>
      </c>
      <c r="L245" s="84"/>
      <c r="M245" s="85"/>
      <c r="N245" s="85"/>
      <c r="O245" s="85"/>
      <c r="P245" s="85"/>
      <c r="Q245" s="85"/>
      <c r="R245" s="85"/>
      <c r="S245" s="13"/>
      <c r="T245" s="13"/>
      <c r="U245" s="13"/>
      <c r="V245" s="13"/>
      <c r="W245" s="13">
        <v>149</v>
      </c>
      <c r="X245" s="13"/>
      <c r="Y245" s="13"/>
      <c r="Z245" s="13"/>
      <c r="AA245" s="13"/>
      <c r="AB245" s="13"/>
      <c r="AC245" s="13"/>
      <c r="AD245" s="84">
        <f>W245/W8</f>
        <v>29799999.999999996</v>
      </c>
      <c r="AE245" s="86">
        <f t="shared" si="71"/>
        <v>16.872886757963062</v>
      </c>
      <c r="AF245" s="13" t="s">
        <v>170</v>
      </c>
    </row>
    <row r="246" spans="1:32" hidden="1" x14ac:dyDescent="0.25">
      <c r="E246" s="87"/>
      <c r="F246" s="87"/>
    </row>
    <row r="247" spans="1:32" hidden="1" x14ac:dyDescent="0.25">
      <c r="A247" s="48">
        <v>44118</v>
      </c>
      <c r="B247" s="42">
        <v>1</v>
      </c>
      <c r="C247" s="92" t="s">
        <v>212</v>
      </c>
      <c r="D247" s="92" t="s">
        <v>96</v>
      </c>
      <c r="E247" s="123" t="s">
        <v>213</v>
      </c>
      <c r="F247" s="90">
        <v>8.9285714285714281E-3</v>
      </c>
      <c r="G247" s="81"/>
      <c r="H247" s="82">
        <v>81</v>
      </c>
      <c r="I247" s="83">
        <v>0.01</v>
      </c>
      <c r="J247" s="84">
        <f t="shared" ref="J247:J259" si="72">H247/0.001</f>
        <v>81000</v>
      </c>
      <c r="K247" s="84">
        <f t="shared" ref="K247:K261" si="73">H247/I247</f>
        <v>8100</v>
      </c>
      <c r="L247" s="84"/>
      <c r="M247" s="85"/>
      <c r="N247" s="85"/>
      <c r="O247" s="85"/>
      <c r="P247" s="85"/>
      <c r="Q247" s="85"/>
      <c r="R247" s="85"/>
      <c r="S247" s="13"/>
      <c r="T247" s="13"/>
      <c r="U247" s="13"/>
      <c r="V247" s="13"/>
      <c r="W247" s="13"/>
      <c r="X247" s="13"/>
      <c r="Y247" s="13">
        <v>45</v>
      </c>
      <c r="Z247" s="13"/>
      <c r="AA247" s="13"/>
      <c r="AB247" s="13"/>
      <c r="AC247" s="13"/>
      <c r="AD247" s="84">
        <f>Y247/Y8</f>
        <v>45000000</v>
      </c>
      <c r="AE247" s="86">
        <f t="shared" ref="AE247:AE261" si="74">LN(AD247/K247)/(0.667*LN(2))</f>
        <v>18.650248085449025</v>
      </c>
      <c r="AF247" s="13" t="s">
        <v>235</v>
      </c>
    </row>
    <row r="248" spans="1:32" hidden="1" x14ac:dyDescent="0.25">
      <c r="A248" s="48">
        <v>44118</v>
      </c>
      <c r="B248" s="42">
        <v>2</v>
      </c>
      <c r="C248" s="6">
        <v>172</v>
      </c>
      <c r="D248" s="6" t="s">
        <v>81</v>
      </c>
      <c r="E248" s="6">
        <v>2</v>
      </c>
      <c r="F248" s="90">
        <f>(100000)*(F241/J241)</f>
        <v>1.8456995201181246E-2</v>
      </c>
      <c r="G248" s="91"/>
      <c r="H248" s="92">
        <v>46</v>
      </c>
      <c r="I248" s="83">
        <v>0.01</v>
      </c>
      <c r="J248" s="84">
        <f t="shared" si="72"/>
        <v>46000</v>
      </c>
      <c r="K248" s="84">
        <f t="shared" si="73"/>
        <v>4600</v>
      </c>
      <c r="L248" s="84"/>
      <c r="M248" s="85"/>
      <c r="N248" s="85"/>
      <c r="O248" s="85"/>
      <c r="P248" s="85"/>
      <c r="Q248" s="85"/>
      <c r="R248" s="85"/>
      <c r="S248" s="13"/>
      <c r="T248" s="13"/>
      <c r="U248" s="13"/>
      <c r="V248" s="13"/>
      <c r="W248" s="13"/>
      <c r="X248" s="13"/>
      <c r="Y248" s="13"/>
      <c r="Z248" s="13"/>
      <c r="AA248" s="13">
        <v>42</v>
      </c>
      <c r="AB248" s="13"/>
      <c r="AC248" s="13"/>
      <c r="AD248" s="84">
        <f>AA248/AA8</f>
        <v>84000000</v>
      </c>
      <c r="AE248" s="86">
        <f t="shared" si="74"/>
        <v>21.224089724544523</v>
      </c>
      <c r="AF248" s="13" t="s">
        <v>190</v>
      </c>
    </row>
    <row r="249" spans="1:32" hidden="1" x14ac:dyDescent="0.25">
      <c r="A249" s="48">
        <v>44118</v>
      </c>
      <c r="B249" s="42">
        <v>3</v>
      </c>
      <c r="C249" s="6">
        <v>170</v>
      </c>
      <c r="D249" s="6" t="s">
        <v>79</v>
      </c>
      <c r="E249" s="6">
        <v>1</v>
      </c>
      <c r="F249" s="90">
        <f>(100000)*(F237/J237)</f>
        <v>6.0211946050096332E-3</v>
      </c>
      <c r="G249" s="91"/>
      <c r="H249" s="92">
        <v>102</v>
      </c>
      <c r="I249" s="83">
        <v>0.01</v>
      </c>
      <c r="J249" s="84">
        <f t="shared" si="72"/>
        <v>102000</v>
      </c>
      <c r="K249" s="84">
        <f t="shared" si="73"/>
        <v>10200</v>
      </c>
      <c r="L249" s="84"/>
      <c r="M249" s="85"/>
      <c r="N249" s="85"/>
      <c r="O249" s="85"/>
      <c r="P249" s="85"/>
      <c r="Q249" s="85"/>
      <c r="R249" s="85"/>
      <c r="S249" s="13"/>
      <c r="T249" s="13"/>
      <c r="U249" s="13"/>
      <c r="V249" s="13"/>
      <c r="W249" s="13"/>
      <c r="X249" s="13"/>
      <c r="Y249" s="13"/>
      <c r="Z249" s="13"/>
      <c r="AA249" s="13">
        <v>82</v>
      </c>
      <c r="AB249" s="13"/>
      <c r="AC249" s="13"/>
      <c r="AD249" s="84">
        <f>AA249/AA8</f>
        <v>164000000</v>
      </c>
      <c r="AE249" s="86">
        <f t="shared" si="74"/>
        <v>20.948784171208452</v>
      </c>
      <c r="AF249" s="13" t="s">
        <v>190</v>
      </c>
    </row>
    <row r="250" spans="1:32" hidden="1" x14ac:dyDescent="0.25">
      <c r="A250" s="48">
        <v>44118</v>
      </c>
      <c r="B250" s="42">
        <v>4</v>
      </c>
      <c r="C250" s="12">
        <v>100</v>
      </c>
      <c r="D250" s="12" t="s">
        <v>10</v>
      </c>
      <c r="E250" s="105">
        <v>3</v>
      </c>
      <c r="F250" s="90">
        <f>(100000)*(F231/J231)</f>
        <v>4.1800331245070987E-3</v>
      </c>
      <c r="G250" s="91"/>
      <c r="H250" s="92">
        <v>91</v>
      </c>
      <c r="I250" s="83">
        <v>0.01</v>
      </c>
      <c r="J250" s="84">
        <f t="shared" si="72"/>
        <v>91000</v>
      </c>
      <c r="K250" s="84">
        <f t="shared" si="73"/>
        <v>9100</v>
      </c>
      <c r="L250" s="84"/>
      <c r="M250" s="85"/>
      <c r="N250" s="85"/>
      <c r="O250" s="85"/>
      <c r="P250" s="85"/>
      <c r="Q250" s="85"/>
      <c r="R250" s="85"/>
      <c r="S250" s="13"/>
      <c r="T250" s="13"/>
      <c r="U250" s="13"/>
      <c r="V250" s="13"/>
      <c r="W250" s="13"/>
      <c r="X250" s="13"/>
      <c r="Y250" s="13"/>
      <c r="Z250" s="13"/>
      <c r="AA250" s="13">
        <v>93</v>
      </c>
      <c r="AB250" s="13"/>
      <c r="AC250" s="13"/>
      <c r="AD250" s="84">
        <f>AA250/AA8</f>
        <v>186000000</v>
      </c>
      <c r="AE250" s="86">
        <f t="shared" si="74"/>
        <v>21.467880885245552</v>
      </c>
      <c r="AF250" s="13" t="s">
        <v>190</v>
      </c>
    </row>
    <row r="251" spans="1:32" hidden="1" x14ac:dyDescent="0.25">
      <c r="A251" s="48">
        <v>44118</v>
      </c>
      <c r="B251" s="42">
        <v>5</v>
      </c>
      <c r="C251" s="6">
        <v>171</v>
      </c>
      <c r="D251" s="6" t="s">
        <v>80</v>
      </c>
      <c r="E251" s="6">
        <v>1</v>
      </c>
      <c r="F251" s="90">
        <f>(100000)*(F239/J239)</f>
        <v>1.725327812284334E-3</v>
      </c>
      <c r="G251" s="91"/>
      <c r="H251" s="92">
        <v>96</v>
      </c>
      <c r="I251" s="83">
        <v>0.01</v>
      </c>
      <c r="J251" s="84">
        <f t="shared" si="72"/>
        <v>96000</v>
      </c>
      <c r="K251" s="84">
        <f t="shared" si="73"/>
        <v>9600</v>
      </c>
      <c r="L251" s="84"/>
      <c r="M251" s="85"/>
      <c r="N251" s="85"/>
      <c r="O251" s="85"/>
      <c r="P251" s="85"/>
      <c r="Q251" s="85"/>
      <c r="R251" s="85"/>
      <c r="S251" s="13"/>
      <c r="T251" s="13"/>
      <c r="U251" s="13"/>
      <c r="V251" s="13"/>
      <c r="W251" s="13"/>
      <c r="X251" s="13"/>
      <c r="Y251" s="13"/>
      <c r="Z251" s="13">
        <v>78</v>
      </c>
      <c r="AA251" s="13"/>
      <c r="AB251" s="13"/>
      <c r="AC251" s="13"/>
      <c r="AD251" s="84">
        <f>Z251/Z8</f>
        <v>111428571.42857143</v>
      </c>
      <c r="AE251" s="86">
        <f t="shared" si="74"/>
        <v>20.24396592281904</v>
      </c>
      <c r="AF251" s="13" t="s">
        <v>197</v>
      </c>
    </row>
    <row r="252" spans="1:32" hidden="1" x14ac:dyDescent="0.25">
      <c r="A252" s="48">
        <v>44118</v>
      </c>
      <c r="B252" s="42">
        <v>6</v>
      </c>
      <c r="C252" s="92">
        <v>165</v>
      </c>
      <c r="D252" s="12" t="s">
        <v>74</v>
      </c>
      <c r="E252" s="12">
        <v>1</v>
      </c>
      <c r="F252" s="134">
        <f>F232/10</f>
        <v>4.5701981257575425E-3</v>
      </c>
      <c r="G252" s="91"/>
      <c r="H252" s="92">
        <v>97</v>
      </c>
      <c r="I252" s="83">
        <v>0.1</v>
      </c>
      <c r="J252" s="84">
        <f>H252/0.01</f>
        <v>9700</v>
      </c>
      <c r="K252" s="84">
        <f t="shared" si="73"/>
        <v>970</v>
      </c>
      <c r="L252" s="85">
        <v>134</v>
      </c>
      <c r="M252" s="85"/>
      <c r="N252" s="85"/>
      <c r="O252" s="85"/>
      <c r="P252" s="85"/>
      <c r="Q252" s="85"/>
      <c r="R252" s="85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78">
        <f>L252/L8</f>
        <v>26800</v>
      </c>
      <c r="AE252" s="79">
        <f t="shared" si="74"/>
        <v>7.1785673810464878</v>
      </c>
      <c r="AF252" s="13" t="s">
        <v>236</v>
      </c>
    </row>
    <row r="253" spans="1:32" hidden="1" x14ac:dyDescent="0.25">
      <c r="A253" s="48">
        <v>44118</v>
      </c>
      <c r="B253" s="42">
        <v>7</v>
      </c>
      <c r="C253" s="6">
        <v>176</v>
      </c>
      <c r="D253" s="6" t="s">
        <v>85</v>
      </c>
      <c r="E253" s="6">
        <v>1</v>
      </c>
      <c r="F253" s="90">
        <f>(100000)*(F242/J242)</f>
        <v>1.6233766233766235E-3</v>
      </c>
      <c r="G253" s="91"/>
      <c r="H253" s="92">
        <v>75</v>
      </c>
      <c r="I253" s="83">
        <v>0.01</v>
      </c>
      <c r="J253" s="84">
        <f t="shared" si="72"/>
        <v>75000</v>
      </c>
      <c r="K253" s="84">
        <f t="shared" si="73"/>
        <v>7500</v>
      </c>
      <c r="L253" s="84"/>
      <c r="M253" s="85"/>
      <c r="N253" s="85"/>
      <c r="O253" s="85"/>
      <c r="P253" s="85"/>
      <c r="Q253" s="85"/>
      <c r="R253" s="128"/>
      <c r="S253" s="85"/>
      <c r="T253" s="13"/>
      <c r="U253" s="13"/>
      <c r="V253" s="13"/>
      <c r="W253" s="13"/>
      <c r="X253" s="13"/>
      <c r="Y253" s="13"/>
      <c r="Z253" s="13"/>
      <c r="AA253" s="13">
        <v>73</v>
      </c>
      <c r="AB253" s="13"/>
      <c r="AC253" s="13"/>
      <c r="AD253" s="84">
        <f>AA253/AA8</f>
        <v>146000000</v>
      </c>
      <c r="AE253" s="86">
        <f t="shared" si="74"/>
        <v>21.362396173813472</v>
      </c>
      <c r="AF253" s="13" t="s">
        <v>237</v>
      </c>
    </row>
    <row r="254" spans="1:32" hidden="1" x14ac:dyDescent="0.25">
      <c r="A254" s="48">
        <v>44118</v>
      </c>
      <c r="B254" s="42">
        <v>8</v>
      </c>
      <c r="C254" s="6">
        <v>178</v>
      </c>
      <c r="D254" s="6" t="s">
        <v>87</v>
      </c>
      <c r="E254" s="6">
        <v>1</v>
      </c>
      <c r="F254" s="90">
        <v>1.6666666666666668E-3</v>
      </c>
      <c r="G254" s="91"/>
      <c r="H254" s="92">
        <v>91</v>
      </c>
      <c r="I254" s="83">
        <v>0.01</v>
      </c>
      <c r="J254" s="84">
        <f t="shared" si="72"/>
        <v>91000</v>
      </c>
      <c r="K254" s="84">
        <f t="shared" si="73"/>
        <v>9100</v>
      </c>
      <c r="L254" s="84"/>
      <c r="M254" s="85"/>
      <c r="N254" s="85"/>
      <c r="O254" s="85"/>
      <c r="P254" s="85"/>
      <c r="Q254" s="85"/>
      <c r="R254" s="85"/>
      <c r="S254" s="13"/>
      <c r="T254" s="13"/>
      <c r="U254" s="13"/>
      <c r="V254" s="13"/>
      <c r="W254" s="13"/>
      <c r="X254" s="13"/>
      <c r="Y254" s="13">
        <v>106</v>
      </c>
      <c r="Z254" s="13"/>
      <c r="AA254" s="13"/>
      <c r="AB254" s="13"/>
      <c r="AC254" s="13"/>
      <c r="AD254" s="84">
        <f>Y254/Y8</f>
        <v>106000000</v>
      </c>
      <c r="AE254" s="86">
        <f t="shared" si="74"/>
        <v>20.251631475133362</v>
      </c>
      <c r="AF254" s="13" t="s">
        <v>196</v>
      </c>
    </row>
    <row r="255" spans="1:32" hidden="1" x14ac:dyDescent="0.25">
      <c r="A255" s="48">
        <v>44118</v>
      </c>
      <c r="B255" s="42">
        <v>9</v>
      </c>
      <c r="C255" s="92">
        <v>146</v>
      </c>
      <c r="D255" s="12" t="s">
        <v>55</v>
      </c>
      <c r="E255" s="12">
        <v>1</v>
      </c>
      <c r="F255" s="90">
        <f>(100000)*(F236/J236)</f>
        <v>4.4015691746225761E-3</v>
      </c>
      <c r="G255" s="91"/>
      <c r="H255" s="92">
        <v>96</v>
      </c>
      <c r="I255" s="83">
        <v>0.01</v>
      </c>
      <c r="J255" s="84">
        <f t="shared" si="72"/>
        <v>96000</v>
      </c>
      <c r="K255" s="84">
        <f t="shared" si="73"/>
        <v>9600</v>
      </c>
      <c r="L255" s="84"/>
      <c r="M255" s="85"/>
      <c r="N255" s="85"/>
      <c r="O255" s="85"/>
      <c r="P255" s="85"/>
      <c r="Q255" s="85"/>
      <c r="R255" s="85"/>
      <c r="S255" s="13"/>
      <c r="T255" s="13"/>
      <c r="U255" s="13"/>
      <c r="V255" s="13"/>
      <c r="W255" s="13"/>
      <c r="X255" s="13"/>
      <c r="Y255" s="13"/>
      <c r="Z255" s="13"/>
      <c r="AA255" s="13"/>
      <c r="AB255" s="13">
        <v>42</v>
      </c>
      <c r="AC255" s="13">
        <v>17</v>
      </c>
      <c r="AD255" s="84">
        <f>AB255/AB8</f>
        <v>210000000</v>
      </c>
      <c r="AE255" s="86">
        <f t="shared" si="74"/>
        <v>21.614685751865693</v>
      </c>
      <c r="AF255" s="13" t="s">
        <v>238</v>
      </c>
    </row>
    <row r="256" spans="1:32" hidden="1" x14ac:dyDescent="0.25">
      <c r="A256" s="48">
        <v>44118</v>
      </c>
      <c r="B256" s="42">
        <v>10</v>
      </c>
      <c r="C256" s="92">
        <v>159</v>
      </c>
      <c r="D256" s="12" t="s">
        <v>68</v>
      </c>
      <c r="E256" s="12">
        <v>1</v>
      </c>
      <c r="F256" s="90">
        <f>(100000)*(F243/J243)</f>
        <v>2.0426714056643275E-3</v>
      </c>
      <c r="G256" s="91"/>
      <c r="H256" s="92">
        <v>94</v>
      </c>
      <c r="I256" s="83">
        <v>0.01</v>
      </c>
      <c r="J256" s="84">
        <f t="shared" si="72"/>
        <v>94000</v>
      </c>
      <c r="K256" s="84">
        <f t="shared" si="73"/>
        <v>9400</v>
      </c>
      <c r="L256" s="84"/>
      <c r="M256" s="85"/>
      <c r="N256" s="85"/>
      <c r="O256" s="85"/>
      <c r="P256" s="85"/>
      <c r="Q256" s="85"/>
      <c r="R256" s="85"/>
      <c r="S256" s="13"/>
      <c r="T256" s="13"/>
      <c r="U256" s="13"/>
      <c r="V256" s="13"/>
      <c r="W256" s="13"/>
      <c r="X256" s="13"/>
      <c r="Y256" s="13">
        <v>105</v>
      </c>
      <c r="Z256" s="13"/>
      <c r="AA256" s="13"/>
      <c r="AB256" s="13"/>
      <c r="AC256" s="13"/>
      <c r="AD256" s="84">
        <f>Y256/Y8</f>
        <v>105000000</v>
      </c>
      <c r="AE256" s="86">
        <f t="shared" si="74"/>
        <v>20.16097308176602</v>
      </c>
      <c r="AF256" s="13" t="s">
        <v>196</v>
      </c>
    </row>
    <row r="257" spans="1:32" hidden="1" x14ac:dyDescent="0.25">
      <c r="A257" s="48">
        <v>44118</v>
      </c>
      <c r="B257" s="42">
        <v>11</v>
      </c>
      <c r="C257" s="6">
        <v>179</v>
      </c>
      <c r="D257" s="6" t="s">
        <v>88</v>
      </c>
      <c r="E257" s="6">
        <v>1</v>
      </c>
      <c r="F257" s="90">
        <v>1.2345679012345679E-3</v>
      </c>
      <c r="G257" s="91"/>
      <c r="H257" s="92">
        <v>131</v>
      </c>
      <c r="I257" s="83">
        <v>0.01</v>
      </c>
      <c r="J257" s="84">
        <f t="shared" si="72"/>
        <v>131000</v>
      </c>
      <c r="K257" s="84">
        <f t="shared" si="73"/>
        <v>13100</v>
      </c>
      <c r="L257" s="84"/>
      <c r="M257" s="85"/>
      <c r="N257" s="85"/>
      <c r="O257" s="85"/>
      <c r="P257" s="85"/>
      <c r="Q257" s="85"/>
      <c r="R257" s="85"/>
      <c r="S257" s="13"/>
      <c r="T257" s="13"/>
      <c r="U257" s="13"/>
      <c r="V257" s="13"/>
      <c r="W257" s="13" t="s">
        <v>13</v>
      </c>
      <c r="X257" s="13"/>
      <c r="Y257" s="13"/>
      <c r="Z257" s="13"/>
      <c r="AA257" s="13"/>
      <c r="AB257" s="13"/>
      <c r="AC257" s="13"/>
      <c r="AD257" s="78"/>
      <c r="AE257" s="79" t="e">
        <f t="shared" si="74"/>
        <v>#NUM!</v>
      </c>
      <c r="AF257" s="13" t="s">
        <v>239</v>
      </c>
    </row>
    <row r="258" spans="1:32" hidden="1" x14ac:dyDescent="0.25">
      <c r="A258" s="48">
        <v>44118</v>
      </c>
      <c r="B258" s="42">
        <v>12</v>
      </c>
      <c r="C258" s="6">
        <v>177</v>
      </c>
      <c r="D258" s="6" t="s">
        <v>86</v>
      </c>
      <c r="E258" s="6">
        <v>1</v>
      </c>
      <c r="F258" s="90">
        <v>1.8867924528301887E-3</v>
      </c>
      <c r="G258" s="91"/>
      <c r="H258" s="92">
        <v>157</v>
      </c>
      <c r="I258" s="83">
        <v>0.01</v>
      </c>
      <c r="J258" s="84">
        <f t="shared" si="72"/>
        <v>157000</v>
      </c>
      <c r="K258" s="84">
        <f t="shared" si="73"/>
        <v>15700</v>
      </c>
      <c r="L258" s="84"/>
      <c r="M258" s="85"/>
      <c r="N258" s="85"/>
      <c r="O258" s="85"/>
      <c r="P258" s="85"/>
      <c r="Q258" s="85"/>
      <c r="R258" s="85"/>
      <c r="S258" s="13"/>
      <c r="T258" s="13"/>
      <c r="U258" s="13"/>
      <c r="V258" s="13"/>
      <c r="W258" s="13"/>
      <c r="X258" s="13"/>
      <c r="Y258" s="13">
        <v>204</v>
      </c>
      <c r="Z258" s="13"/>
      <c r="AA258" s="13"/>
      <c r="AB258" s="13"/>
      <c r="AC258" s="13"/>
      <c r="AD258" s="84">
        <f>Y258/Y8</f>
        <v>204000000</v>
      </c>
      <c r="AE258" s="86">
        <f t="shared" si="74"/>
        <v>20.488031443222365</v>
      </c>
      <c r="AF258" s="13" t="s">
        <v>235</v>
      </c>
    </row>
    <row r="259" spans="1:32" hidden="1" x14ac:dyDescent="0.25">
      <c r="A259" s="48">
        <v>44118</v>
      </c>
      <c r="B259" s="42">
        <v>13</v>
      </c>
      <c r="C259" s="6">
        <v>180</v>
      </c>
      <c r="D259" s="6" t="s">
        <v>89</v>
      </c>
      <c r="E259" s="6">
        <v>4</v>
      </c>
      <c r="F259" s="90">
        <v>5.1546391752577319E-3</v>
      </c>
      <c r="G259" s="91"/>
      <c r="H259" s="92">
        <v>126</v>
      </c>
      <c r="I259" s="83">
        <v>0.01</v>
      </c>
      <c r="J259" s="84">
        <f t="shared" si="72"/>
        <v>126000</v>
      </c>
      <c r="K259" s="84">
        <f t="shared" si="73"/>
        <v>12600</v>
      </c>
      <c r="L259" s="84"/>
      <c r="M259" s="85"/>
      <c r="N259" s="85"/>
      <c r="O259" s="85"/>
      <c r="P259" s="85"/>
      <c r="Q259" s="85"/>
      <c r="R259" s="85"/>
      <c r="S259" s="13"/>
      <c r="T259" s="13"/>
      <c r="U259" s="13"/>
      <c r="V259" s="13"/>
      <c r="W259" s="13" t="s">
        <v>13</v>
      </c>
      <c r="X259" s="13"/>
      <c r="Y259" s="13"/>
      <c r="Z259" s="13"/>
      <c r="AA259" s="13"/>
      <c r="AB259" s="13"/>
      <c r="AC259" s="13"/>
      <c r="AD259" s="78"/>
      <c r="AE259" s="79" t="e">
        <f t="shared" si="74"/>
        <v>#NUM!</v>
      </c>
      <c r="AF259" s="13" t="s">
        <v>239</v>
      </c>
    </row>
    <row r="260" spans="1:32" hidden="1" x14ac:dyDescent="0.25">
      <c r="A260" s="48">
        <v>44118</v>
      </c>
      <c r="B260" s="42">
        <v>14</v>
      </c>
      <c r="C260" s="92" t="s">
        <v>215</v>
      </c>
      <c r="D260" s="92" t="s">
        <v>105</v>
      </c>
      <c r="E260" s="123" t="s">
        <v>218</v>
      </c>
      <c r="F260" s="133">
        <v>0.13</v>
      </c>
      <c r="G260" s="91"/>
      <c r="H260" s="92">
        <v>5</v>
      </c>
      <c r="I260" s="83">
        <v>0.1</v>
      </c>
      <c r="J260" s="84">
        <f>H260/0.01</f>
        <v>500</v>
      </c>
      <c r="K260" s="84">
        <f t="shared" si="73"/>
        <v>50</v>
      </c>
      <c r="L260" s="84"/>
      <c r="M260" s="85">
        <v>1</v>
      </c>
      <c r="N260" s="85"/>
      <c r="O260" s="85">
        <v>0</v>
      </c>
      <c r="P260" s="85"/>
      <c r="Q260" s="85">
        <v>1</v>
      </c>
      <c r="R260" s="85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78"/>
      <c r="AE260" s="79" t="e">
        <f t="shared" si="74"/>
        <v>#NUM!</v>
      </c>
      <c r="AF260" s="13" t="s">
        <v>240</v>
      </c>
    </row>
    <row r="261" spans="1:32" hidden="1" x14ac:dyDescent="0.25">
      <c r="A261" s="48">
        <v>44118</v>
      </c>
      <c r="B261" s="42">
        <v>15</v>
      </c>
      <c r="C261" s="6">
        <v>181</v>
      </c>
      <c r="D261" s="6" t="s">
        <v>90</v>
      </c>
      <c r="E261" s="6">
        <v>1</v>
      </c>
      <c r="F261" s="90">
        <v>4.3103448275862068E-4</v>
      </c>
      <c r="G261" s="91"/>
      <c r="H261" s="92">
        <v>80</v>
      </c>
      <c r="I261" s="83">
        <v>0.01</v>
      </c>
      <c r="J261" s="84">
        <f>H261/0.001</f>
        <v>80000</v>
      </c>
      <c r="K261" s="84">
        <f t="shared" si="73"/>
        <v>8000</v>
      </c>
      <c r="L261" s="84"/>
      <c r="M261" s="85"/>
      <c r="N261" s="85"/>
      <c r="O261" s="85"/>
      <c r="P261" s="85"/>
      <c r="Q261" s="85"/>
      <c r="R261" s="85"/>
      <c r="S261" s="13"/>
      <c r="T261" s="13"/>
      <c r="U261" s="13"/>
      <c r="V261" s="13"/>
      <c r="W261" s="13">
        <v>160</v>
      </c>
      <c r="X261" s="13"/>
      <c r="Y261" s="13"/>
      <c r="Z261" s="13"/>
      <c r="AA261" s="13"/>
      <c r="AB261" s="13"/>
      <c r="AC261" s="13"/>
      <c r="AD261" s="84">
        <f>W261/W8</f>
        <v>31999999.999999996</v>
      </c>
      <c r="AE261" s="86">
        <f t="shared" si="74"/>
        <v>17.939706573706278</v>
      </c>
      <c r="AF261" s="13" t="s">
        <v>235</v>
      </c>
    </row>
    <row r="262" spans="1:32" hidden="1" x14ac:dyDescent="0.25"/>
    <row r="263" spans="1:32" hidden="1" x14ac:dyDescent="0.25">
      <c r="A263" s="48">
        <v>44119</v>
      </c>
      <c r="B263" s="42">
        <v>1</v>
      </c>
      <c r="C263" s="6">
        <v>178</v>
      </c>
      <c r="D263" s="6" t="s">
        <v>87</v>
      </c>
      <c r="E263" s="6">
        <v>1</v>
      </c>
      <c r="F263" s="90">
        <f>(100000)*(F254/J254)</f>
        <v>1.8315018315018317E-3</v>
      </c>
      <c r="G263" s="81"/>
      <c r="H263" s="82">
        <v>90</v>
      </c>
      <c r="I263" s="83">
        <v>0.01</v>
      </c>
      <c r="J263" s="84">
        <f>H263/0.001</f>
        <v>90000</v>
      </c>
      <c r="K263" s="84">
        <f t="shared" ref="K263:K276" si="75">H263/I263</f>
        <v>9000</v>
      </c>
      <c r="L263" s="84"/>
      <c r="M263" s="85"/>
      <c r="N263" s="85"/>
      <c r="O263" s="85"/>
      <c r="P263" s="85"/>
      <c r="Q263" s="85"/>
      <c r="R263" s="85"/>
      <c r="S263" s="13"/>
      <c r="T263" s="13"/>
      <c r="U263" s="13"/>
      <c r="V263" s="13"/>
      <c r="W263" s="13"/>
      <c r="X263" s="13"/>
      <c r="Y263" s="13">
        <v>126</v>
      </c>
      <c r="Z263" s="13"/>
      <c r="AA263" s="13"/>
      <c r="AB263" s="13"/>
      <c r="AC263" s="13"/>
      <c r="AD263" s="84">
        <f>Y263/Y8</f>
        <v>126000000</v>
      </c>
      <c r="AE263" s="86">
        <f t="shared" ref="AE263:AE276" si="76">LN(AD263/K263)/(0.667*LN(2))</f>
        <v>20.649384118020528</v>
      </c>
      <c r="AF263" s="13"/>
    </row>
    <row r="264" spans="1:32" hidden="1" x14ac:dyDescent="0.25">
      <c r="A264" s="48">
        <v>44119</v>
      </c>
      <c r="B264" s="42">
        <v>2</v>
      </c>
      <c r="C264" s="6">
        <v>181</v>
      </c>
      <c r="D264" s="6" t="s">
        <v>90</v>
      </c>
      <c r="E264" s="6">
        <v>1</v>
      </c>
      <c r="F264" s="90">
        <f>(100000)*(F261/J261)</f>
        <v>5.3879310344827585E-4</v>
      </c>
      <c r="G264" s="91"/>
      <c r="H264" s="92">
        <v>102</v>
      </c>
      <c r="I264" s="83">
        <v>0.01</v>
      </c>
      <c r="J264" s="84">
        <f t="shared" ref="J264:J275" si="77">H264/0.001</f>
        <v>102000</v>
      </c>
      <c r="K264" s="84">
        <f t="shared" si="75"/>
        <v>10200</v>
      </c>
      <c r="L264" s="84"/>
      <c r="M264" s="85"/>
      <c r="N264" s="85"/>
      <c r="O264" s="85"/>
      <c r="P264" s="85"/>
      <c r="Q264" s="85"/>
      <c r="R264" s="85"/>
      <c r="S264" s="13"/>
      <c r="T264" s="13"/>
      <c r="U264" s="13"/>
      <c r="V264" s="13"/>
      <c r="W264" s="13"/>
      <c r="X264" s="13"/>
      <c r="Y264" s="13">
        <v>37</v>
      </c>
      <c r="Z264" s="13"/>
      <c r="AA264" s="13"/>
      <c r="AB264" s="13"/>
      <c r="AC264" s="13"/>
      <c r="AD264" s="84">
        <f>Y264/Y8</f>
        <v>37000000</v>
      </c>
      <c r="AE264" s="86">
        <f t="shared" si="76"/>
        <v>17.72824648156957</v>
      </c>
      <c r="AF264" s="13"/>
    </row>
    <row r="265" spans="1:32" hidden="1" x14ac:dyDescent="0.25">
      <c r="A265" s="48">
        <v>44119</v>
      </c>
      <c r="B265" s="42">
        <v>3</v>
      </c>
      <c r="C265" s="6">
        <v>177</v>
      </c>
      <c r="D265" s="6" t="s">
        <v>86</v>
      </c>
      <c r="E265" s="6">
        <v>1</v>
      </c>
      <c r="F265" s="90">
        <f>(100000)*(F258/J258)</f>
        <v>1.2017786323759163E-3</v>
      </c>
      <c r="G265" s="91"/>
      <c r="H265" s="92">
        <v>81</v>
      </c>
      <c r="I265" s="83">
        <v>0.01</v>
      </c>
      <c r="J265" s="84">
        <f t="shared" si="77"/>
        <v>81000</v>
      </c>
      <c r="K265" s="84">
        <f t="shared" si="75"/>
        <v>8100</v>
      </c>
      <c r="L265" s="84"/>
      <c r="M265" s="85"/>
      <c r="N265" s="85"/>
      <c r="O265" s="85"/>
      <c r="P265" s="85"/>
      <c r="Q265" s="85"/>
      <c r="R265" s="85"/>
      <c r="S265" s="13"/>
      <c r="T265" s="13"/>
      <c r="U265" s="13"/>
      <c r="V265" s="13"/>
      <c r="W265" s="13"/>
      <c r="X265" s="13"/>
      <c r="Y265" s="13">
        <v>113</v>
      </c>
      <c r="Z265" s="13"/>
      <c r="AA265" s="13"/>
      <c r="AB265" s="13"/>
      <c r="AC265" s="13"/>
      <c r="AD265" s="84">
        <f>Y265/Y8</f>
        <v>113000000</v>
      </c>
      <c r="AE265" s="86">
        <f t="shared" si="76"/>
        <v>20.641741138050993</v>
      </c>
      <c r="AF265" s="13"/>
    </row>
    <row r="266" spans="1:32" hidden="1" x14ac:dyDescent="0.25">
      <c r="A266" s="48">
        <v>44119</v>
      </c>
      <c r="B266" s="42">
        <v>4</v>
      </c>
      <c r="C266" s="6">
        <v>172</v>
      </c>
      <c r="D266" s="6" t="s">
        <v>81</v>
      </c>
      <c r="E266" s="6">
        <v>2</v>
      </c>
      <c r="F266" s="90">
        <f>(100000)*(F248/J248)</f>
        <v>4.0123902611263577E-2</v>
      </c>
      <c r="G266" s="91"/>
      <c r="H266" s="92">
        <v>135</v>
      </c>
      <c r="I266" s="83">
        <v>0.01</v>
      </c>
      <c r="J266" s="84">
        <f t="shared" si="77"/>
        <v>135000</v>
      </c>
      <c r="K266" s="84">
        <f t="shared" si="75"/>
        <v>13500</v>
      </c>
      <c r="L266" s="84"/>
      <c r="M266" s="85"/>
      <c r="N266" s="85"/>
      <c r="O266" s="85"/>
      <c r="P266" s="85"/>
      <c r="Q266" s="85"/>
      <c r="R266" s="85"/>
      <c r="S266" s="13"/>
      <c r="T266" s="13"/>
      <c r="U266" s="13"/>
      <c r="V266" s="13"/>
      <c r="W266" s="13"/>
      <c r="X266" s="13"/>
      <c r="Y266" s="13"/>
      <c r="Z266" s="13"/>
      <c r="AA266" s="13">
        <v>37</v>
      </c>
      <c r="AB266" s="13"/>
      <c r="AC266" s="13"/>
      <c r="AD266" s="84">
        <f>AA266/AA8</f>
        <v>74000000</v>
      </c>
      <c r="AE266" s="86">
        <f t="shared" si="76"/>
        <v>18.621214614883911</v>
      </c>
      <c r="AF266" s="13"/>
    </row>
    <row r="267" spans="1:32" hidden="1" x14ac:dyDescent="0.25">
      <c r="A267" s="48">
        <v>44119</v>
      </c>
      <c r="B267" s="42">
        <v>5</v>
      </c>
      <c r="C267" s="92">
        <v>159</v>
      </c>
      <c r="D267" s="12" t="s">
        <v>68</v>
      </c>
      <c r="E267" s="12">
        <v>1</v>
      </c>
      <c r="F267" s="90">
        <f>(100000)*(F256/J256)</f>
        <v>2.1730546868769444E-3</v>
      </c>
      <c r="G267" s="91"/>
      <c r="H267" s="92">
        <v>81</v>
      </c>
      <c r="I267" s="83">
        <v>0.01</v>
      </c>
      <c r="J267" s="84">
        <f t="shared" si="77"/>
        <v>81000</v>
      </c>
      <c r="K267" s="84">
        <f t="shared" si="75"/>
        <v>8100</v>
      </c>
      <c r="L267" s="84"/>
      <c r="M267" s="85"/>
      <c r="N267" s="85"/>
      <c r="O267" s="85"/>
      <c r="P267" s="85"/>
      <c r="Q267" s="85"/>
      <c r="R267" s="85"/>
      <c r="S267" s="13"/>
      <c r="T267" s="13"/>
      <c r="U267" s="13"/>
      <c r="V267" s="13"/>
      <c r="W267" s="13"/>
      <c r="X267" s="13"/>
      <c r="Y267" s="13">
        <v>60</v>
      </c>
      <c r="Z267" s="13"/>
      <c r="AA267" s="13"/>
      <c r="AB267" s="13"/>
      <c r="AC267" s="13"/>
      <c r="AD267" s="84">
        <f>Y267/Y8</f>
        <v>60000000</v>
      </c>
      <c r="AE267" s="86">
        <f t="shared" si="76"/>
        <v>19.272493211804115</v>
      </c>
      <c r="AF267" s="13"/>
    </row>
    <row r="268" spans="1:32" hidden="1" x14ac:dyDescent="0.25">
      <c r="A268" s="48">
        <v>44119</v>
      </c>
      <c r="B268" s="42">
        <v>6</v>
      </c>
      <c r="C268" s="6">
        <v>170</v>
      </c>
      <c r="D268" s="6" t="s">
        <v>79</v>
      </c>
      <c r="E268" s="6">
        <v>1</v>
      </c>
      <c r="F268" s="90">
        <f>(100000)*(F249/J249)</f>
        <v>5.9031319656957185E-3</v>
      </c>
      <c r="G268" s="91"/>
      <c r="H268" s="92">
        <v>76</v>
      </c>
      <c r="I268" s="83">
        <v>0.01</v>
      </c>
      <c r="J268" s="84">
        <f t="shared" si="77"/>
        <v>76000</v>
      </c>
      <c r="K268" s="84">
        <f t="shared" si="75"/>
        <v>7600</v>
      </c>
      <c r="L268" s="85"/>
      <c r="M268" s="85"/>
      <c r="N268" s="85"/>
      <c r="O268" s="85"/>
      <c r="P268" s="85"/>
      <c r="Q268" s="85"/>
      <c r="R268" s="85"/>
      <c r="S268" s="13"/>
      <c r="T268" s="13"/>
      <c r="U268" s="13"/>
      <c r="V268" s="13"/>
      <c r="W268" s="13"/>
      <c r="X268" s="13"/>
      <c r="Y268" s="13"/>
      <c r="Z268" s="13"/>
      <c r="AA268" s="13">
        <v>52</v>
      </c>
      <c r="AB268" s="13"/>
      <c r="AC268" s="13"/>
      <c r="AD268" s="84">
        <f>AA268/AA8</f>
        <v>104000000</v>
      </c>
      <c r="AE268" s="86">
        <f t="shared" si="76"/>
        <v>20.600036857941465</v>
      </c>
      <c r="AF268" s="13"/>
    </row>
    <row r="269" spans="1:32" hidden="1" x14ac:dyDescent="0.25">
      <c r="A269" s="48">
        <v>44119</v>
      </c>
      <c r="B269" s="42">
        <v>7</v>
      </c>
      <c r="C269" s="6">
        <v>179</v>
      </c>
      <c r="D269" s="6" t="s">
        <v>88</v>
      </c>
      <c r="E269" s="6">
        <v>1</v>
      </c>
      <c r="F269" s="90">
        <f>(100000)*(F257/J257)</f>
        <v>9.4241824521722737E-4</v>
      </c>
      <c r="G269" s="91"/>
      <c r="H269" s="92">
        <v>77</v>
      </c>
      <c r="I269" s="83">
        <v>0.01</v>
      </c>
      <c r="J269" s="84">
        <f t="shared" si="77"/>
        <v>77000</v>
      </c>
      <c r="K269" s="84">
        <f t="shared" si="75"/>
        <v>7700</v>
      </c>
      <c r="L269" s="84"/>
      <c r="M269" s="85"/>
      <c r="N269" s="85"/>
      <c r="O269" s="85"/>
      <c r="P269" s="85"/>
      <c r="Q269" s="85"/>
      <c r="R269" s="128"/>
      <c r="S269" s="85"/>
      <c r="T269" s="13"/>
      <c r="U269" s="13"/>
      <c r="V269" s="13"/>
      <c r="W269" s="13"/>
      <c r="X269" s="13"/>
      <c r="Y269" s="13"/>
      <c r="Z269" s="13">
        <v>128</v>
      </c>
      <c r="AA269" s="13">
        <v>61</v>
      </c>
      <c r="AB269" s="13"/>
      <c r="AC269" s="13"/>
      <c r="AD269" s="84">
        <f>AA269/AA8</f>
        <v>122000000</v>
      </c>
      <c r="AE269" s="86">
        <f t="shared" si="76"/>
        <v>20.917036246502899</v>
      </c>
      <c r="AF269" s="13"/>
    </row>
    <row r="270" spans="1:32" hidden="1" x14ac:dyDescent="0.25">
      <c r="A270" s="48">
        <v>44119</v>
      </c>
      <c r="B270" s="42">
        <v>8</v>
      </c>
      <c r="C270" s="6">
        <v>171</v>
      </c>
      <c r="D270" s="6" t="s">
        <v>80</v>
      </c>
      <c r="E270" s="6">
        <v>1</v>
      </c>
      <c r="F270" s="90">
        <f>(100000)*(F251/J251)</f>
        <v>1.7972164711295147E-3</v>
      </c>
      <c r="G270" s="91"/>
      <c r="H270" s="92">
        <v>100</v>
      </c>
      <c r="I270" s="83">
        <v>0.01</v>
      </c>
      <c r="J270" s="84">
        <f t="shared" si="77"/>
        <v>100000</v>
      </c>
      <c r="K270" s="84">
        <f t="shared" si="75"/>
        <v>10000</v>
      </c>
      <c r="L270" s="84"/>
      <c r="M270" s="85"/>
      <c r="N270" s="85"/>
      <c r="O270" s="85"/>
      <c r="P270" s="85"/>
      <c r="Q270" s="85"/>
      <c r="R270" s="85"/>
      <c r="S270" s="13"/>
      <c r="T270" s="13"/>
      <c r="U270" s="13"/>
      <c r="V270" s="13"/>
      <c r="W270" s="13"/>
      <c r="X270" s="13"/>
      <c r="Y270" s="13"/>
      <c r="Z270" s="13">
        <v>74</v>
      </c>
      <c r="AA270" s="13"/>
      <c r="AB270" s="13"/>
      <c r="AC270" s="13"/>
      <c r="AD270" s="84">
        <f>Z270/Z8</f>
        <v>105714285.71428572</v>
      </c>
      <c r="AE270" s="86">
        <f t="shared" si="76"/>
        <v>20.041803190754774</v>
      </c>
      <c r="AF270" s="13"/>
    </row>
    <row r="271" spans="1:32" hidden="1" x14ac:dyDescent="0.25">
      <c r="A271" s="48">
        <v>44119</v>
      </c>
      <c r="B271" s="42">
        <v>9</v>
      </c>
      <c r="C271" s="92" t="s">
        <v>212</v>
      </c>
      <c r="D271" s="92" t="s">
        <v>96</v>
      </c>
      <c r="E271" s="123" t="s">
        <v>213</v>
      </c>
      <c r="F271" s="90">
        <f>(100000)*(F247/J247)</f>
        <v>1.1022927689594356E-2</v>
      </c>
      <c r="G271" s="91"/>
      <c r="H271" s="92">
        <v>77</v>
      </c>
      <c r="I271" s="83">
        <v>0.01</v>
      </c>
      <c r="J271" s="84">
        <f t="shared" si="77"/>
        <v>77000</v>
      </c>
      <c r="K271" s="84">
        <f t="shared" si="75"/>
        <v>7700</v>
      </c>
      <c r="L271" s="84"/>
      <c r="M271" s="85"/>
      <c r="N271" s="85"/>
      <c r="O271" s="85"/>
      <c r="P271" s="85"/>
      <c r="Q271" s="85"/>
      <c r="R271" s="85"/>
      <c r="S271" s="13"/>
      <c r="T271" s="13"/>
      <c r="U271" s="13"/>
      <c r="V271" s="13"/>
      <c r="W271" s="13"/>
      <c r="X271" s="13"/>
      <c r="Y271" s="13">
        <v>42</v>
      </c>
      <c r="Z271" s="13"/>
      <c r="AA271" s="13"/>
      <c r="AB271" s="13"/>
      <c r="AC271" s="13"/>
      <c r="AD271" s="84">
        <f>Y271/Y8</f>
        <v>42000000</v>
      </c>
      <c r="AE271" s="141">
        <f t="shared" si="76"/>
        <v>18.610559612643641</v>
      </c>
      <c r="AF271" s="13" t="s">
        <v>244</v>
      </c>
    </row>
    <row r="272" spans="1:32" hidden="1" x14ac:dyDescent="0.25">
      <c r="A272" s="48">
        <v>44119</v>
      </c>
      <c r="B272" s="42">
        <v>10</v>
      </c>
      <c r="C272" s="92">
        <v>165</v>
      </c>
      <c r="D272" s="12" t="s">
        <v>74</v>
      </c>
      <c r="E272" s="12">
        <v>1</v>
      </c>
      <c r="F272" s="133">
        <f>(10000)*(F252/J252)</f>
        <v>4.7115444595438585E-3</v>
      </c>
      <c r="G272" s="91"/>
      <c r="H272" s="92">
        <v>93</v>
      </c>
      <c r="I272" s="83">
        <v>0.1</v>
      </c>
      <c r="J272" s="84">
        <f>H272/0.01</f>
        <v>9300</v>
      </c>
      <c r="K272" s="84">
        <f t="shared" si="75"/>
        <v>930</v>
      </c>
      <c r="L272" s="85">
        <v>103</v>
      </c>
      <c r="M272" s="85"/>
      <c r="N272" s="85"/>
      <c r="O272" s="85"/>
      <c r="P272" s="85"/>
      <c r="Q272" s="85"/>
      <c r="R272" s="85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84">
        <f>L272/L8</f>
        <v>20600</v>
      </c>
      <c r="AE272" s="86">
        <f t="shared" si="76"/>
        <v>6.700554439224212</v>
      </c>
      <c r="AF272" s="13" t="s">
        <v>243</v>
      </c>
    </row>
    <row r="273" spans="1:32" hidden="1" x14ac:dyDescent="0.25">
      <c r="A273" s="48">
        <v>44119</v>
      </c>
      <c r="B273" s="42">
        <v>11</v>
      </c>
      <c r="C273" s="6">
        <v>180</v>
      </c>
      <c r="D273" s="6" t="s">
        <v>89</v>
      </c>
      <c r="E273" s="6">
        <v>4</v>
      </c>
      <c r="F273" s="90">
        <f>(100000)*(F259/J259)</f>
        <v>4.0909834724267707E-3</v>
      </c>
      <c r="G273" s="91"/>
      <c r="H273" s="92">
        <v>80</v>
      </c>
      <c r="I273" s="83">
        <v>0.01</v>
      </c>
      <c r="J273" s="84">
        <f t="shared" si="77"/>
        <v>80000</v>
      </c>
      <c r="K273" s="84">
        <f t="shared" si="75"/>
        <v>8000</v>
      </c>
      <c r="L273" s="84"/>
      <c r="M273" s="85"/>
      <c r="N273" s="85"/>
      <c r="O273" s="85"/>
      <c r="P273" s="85"/>
      <c r="Q273" s="85"/>
      <c r="R273" s="85"/>
      <c r="S273" s="13"/>
      <c r="T273" s="13"/>
      <c r="U273" s="13"/>
      <c r="V273" s="13"/>
      <c r="W273" s="13"/>
      <c r="X273" s="13"/>
      <c r="Y273" s="13"/>
      <c r="Z273" s="13">
        <v>70</v>
      </c>
      <c r="AA273" s="13"/>
      <c r="AB273" s="13"/>
      <c r="AC273" s="13"/>
      <c r="AD273" s="84">
        <f>Z273/Z8</f>
        <v>100000000</v>
      </c>
      <c r="AE273" s="86">
        <f t="shared" si="76"/>
        <v>20.404258582364037</v>
      </c>
      <c r="AF273" s="13"/>
    </row>
    <row r="274" spans="1:32" hidden="1" x14ac:dyDescent="0.25">
      <c r="A274" s="48">
        <v>44119</v>
      </c>
      <c r="B274" s="42">
        <v>12</v>
      </c>
      <c r="C274" s="12">
        <v>100</v>
      </c>
      <c r="D274" s="12" t="s">
        <v>10</v>
      </c>
      <c r="E274" s="105">
        <v>3</v>
      </c>
      <c r="F274" s="90">
        <f>(100000)*(F250/J250)</f>
        <v>4.5934429939638441E-3</v>
      </c>
      <c r="G274" s="91"/>
      <c r="H274" s="92">
        <v>117</v>
      </c>
      <c r="I274" s="83">
        <v>0.01</v>
      </c>
      <c r="J274" s="84">
        <f t="shared" si="77"/>
        <v>117000</v>
      </c>
      <c r="K274" s="84">
        <f t="shared" si="75"/>
        <v>11700</v>
      </c>
      <c r="L274" s="84"/>
      <c r="M274" s="85"/>
      <c r="N274" s="85"/>
      <c r="O274" s="85"/>
      <c r="P274" s="85"/>
      <c r="Q274" s="85"/>
      <c r="R274" s="85"/>
      <c r="S274" s="13"/>
      <c r="T274" s="13"/>
      <c r="U274" s="13"/>
      <c r="V274" s="13"/>
      <c r="W274" s="13"/>
      <c r="X274" s="13"/>
      <c r="Y274" s="13"/>
      <c r="Z274" s="13"/>
      <c r="AA274" s="13">
        <v>118</v>
      </c>
      <c r="AB274" s="13"/>
      <c r="AC274" s="13"/>
      <c r="AD274" s="84">
        <f>AA274/AA8</f>
        <v>236000000</v>
      </c>
      <c r="AE274" s="86">
        <f t="shared" si="76"/>
        <v>21.439266430776442</v>
      </c>
      <c r="AF274" s="13"/>
    </row>
    <row r="275" spans="1:32" hidden="1" x14ac:dyDescent="0.25">
      <c r="A275" s="48">
        <v>44119</v>
      </c>
      <c r="B275" s="42">
        <v>13</v>
      </c>
      <c r="C275" s="6">
        <v>176</v>
      </c>
      <c r="D275" s="6" t="s">
        <v>85</v>
      </c>
      <c r="E275" s="6">
        <v>1</v>
      </c>
      <c r="F275" s="90">
        <f>(100000)*(F253/J253)</f>
        <v>2.1645021645021649E-3</v>
      </c>
      <c r="G275" s="91"/>
      <c r="H275" s="92">
        <v>120</v>
      </c>
      <c r="I275" s="83">
        <v>0.01</v>
      </c>
      <c r="J275" s="84">
        <f t="shared" si="77"/>
        <v>120000</v>
      </c>
      <c r="K275" s="84">
        <f t="shared" si="75"/>
        <v>12000</v>
      </c>
      <c r="L275" s="84"/>
      <c r="M275" s="85"/>
      <c r="N275" s="85"/>
      <c r="O275" s="85"/>
      <c r="P275" s="85"/>
      <c r="Q275" s="85"/>
      <c r="R275" s="85"/>
      <c r="S275" s="13"/>
      <c r="T275" s="13"/>
      <c r="U275" s="13"/>
      <c r="V275" s="13"/>
      <c r="W275" s="13"/>
      <c r="X275" s="13"/>
      <c r="Y275" s="13"/>
      <c r="Z275" s="13"/>
      <c r="AA275" s="13">
        <v>105</v>
      </c>
      <c r="AB275" s="13"/>
      <c r="AC275" s="13"/>
      <c r="AD275" s="84">
        <f>AA275/AA8</f>
        <v>210000000</v>
      </c>
      <c r="AE275" s="86">
        <f t="shared" si="76"/>
        <v>21.13203493494311</v>
      </c>
      <c r="AF275" s="13"/>
    </row>
    <row r="276" spans="1:32" hidden="1" x14ac:dyDescent="0.25">
      <c r="A276" s="48">
        <v>44119</v>
      </c>
      <c r="B276" s="42">
        <v>14</v>
      </c>
      <c r="C276" s="92" t="s">
        <v>216</v>
      </c>
      <c r="D276" s="92" t="s">
        <v>105</v>
      </c>
      <c r="E276" s="123" t="s">
        <v>219</v>
      </c>
      <c r="F276" s="136">
        <v>2.8571428571428571E-2</v>
      </c>
      <c r="G276" s="91"/>
      <c r="H276" s="92">
        <v>8</v>
      </c>
      <c r="I276" s="83">
        <v>0.5</v>
      </c>
      <c r="J276" s="84">
        <f>H276/0.05</f>
        <v>160</v>
      </c>
      <c r="K276" s="84">
        <f t="shared" si="75"/>
        <v>16</v>
      </c>
      <c r="L276" s="84"/>
      <c r="M276" s="85">
        <v>9</v>
      </c>
      <c r="N276" s="85"/>
      <c r="O276" s="85">
        <v>11</v>
      </c>
      <c r="P276" s="85"/>
      <c r="Q276" s="85">
        <v>1</v>
      </c>
      <c r="R276" s="85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78">
        <f>M276/M8</f>
        <v>9000</v>
      </c>
      <c r="AE276" s="79">
        <f t="shared" si="76"/>
        <v>13.696715571370914</v>
      </c>
      <c r="AF276" s="41"/>
    </row>
    <row r="277" spans="1:32" hidden="1" x14ac:dyDescent="0.25">
      <c r="AF277" s="135"/>
    </row>
    <row r="278" spans="1:32" hidden="1" x14ac:dyDescent="0.25">
      <c r="A278" s="48">
        <v>44124</v>
      </c>
      <c r="B278" s="42">
        <v>1</v>
      </c>
      <c r="C278" s="6">
        <v>179</v>
      </c>
      <c r="D278" s="6" t="s">
        <v>88</v>
      </c>
      <c r="E278" s="6">
        <v>1</v>
      </c>
      <c r="F278" s="90">
        <f>(100000)*(F269/J269)</f>
        <v>1.2239197989834122E-3</v>
      </c>
      <c r="G278" s="81"/>
      <c r="H278" s="82">
        <v>87</v>
      </c>
      <c r="I278" s="83">
        <v>0.01</v>
      </c>
      <c r="J278" s="84">
        <f>H278/0.001</f>
        <v>87000</v>
      </c>
      <c r="K278" s="84">
        <f t="shared" ref="K278:K284" si="78">H278/I278</f>
        <v>8700</v>
      </c>
      <c r="L278" s="84"/>
      <c r="M278" s="85"/>
      <c r="N278" s="85"/>
      <c r="O278" s="85"/>
      <c r="P278" s="85"/>
      <c r="Q278" s="85"/>
      <c r="R278" s="85"/>
      <c r="S278" s="13"/>
      <c r="T278" s="13"/>
      <c r="U278" s="13"/>
      <c r="V278" s="13"/>
      <c r="W278" s="13"/>
      <c r="X278" s="13"/>
      <c r="Y278" s="13"/>
      <c r="Z278" s="13">
        <v>54</v>
      </c>
      <c r="AA278" s="13">
        <v>40</v>
      </c>
      <c r="AB278" s="13"/>
      <c r="AC278" s="13"/>
      <c r="AD278" s="84">
        <f>Z278/Z8</f>
        <v>77142857.142857149</v>
      </c>
      <c r="AE278" s="86">
        <f t="shared" ref="AE278:AE284" si="79">LN(AD278/K278)/(0.667*LN(2))</f>
        <v>19.661513581250297</v>
      </c>
      <c r="AF278" s="13"/>
    </row>
    <row r="279" spans="1:32" hidden="1" x14ac:dyDescent="0.25">
      <c r="A279" s="48">
        <v>44124</v>
      </c>
      <c r="B279" s="42">
        <v>2</v>
      </c>
      <c r="C279" s="6">
        <v>180</v>
      </c>
      <c r="D279" s="6" t="s">
        <v>89</v>
      </c>
      <c r="E279" s="6">
        <v>4</v>
      </c>
      <c r="F279" s="90">
        <f>(100000)*(F273/J273)</f>
        <v>5.1137293405334634E-3</v>
      </c>
      <c r="G279" s="91"/>
      <c r="H279" s="92">
        <v>74</v>
      </c>
      <c r="I279" s="83">
        <v>0.01</v>
      </c>
      <c r="J279" s="84">
        <f t="shared" ref="J279:J281" si="80">H279/0.001</f>
        <v>74000</v>
      </c>
      <c r="K279" s="84">
        <f t="shared" si="78"/>
        <v>7400</v>
      </c>
      <c r="L279" s="84"/>
      <c r="M279" s="85"/>
      <c r="N279" s="85"/>
      <c r="O279" s="85"/>
      <c r="P279" s="85"/>
      <c r="Q279" s="85"/>
      <c r="R279" s="85"/>
      <c r="S279" s="13"/>
      <c r="T279" s="13"/>
      <c r="U279" s="13"/>
      <c r="V279" s="13"/>
      <c r="W279" s="13"/>
      <c r="X279" s="13"/>
      <c r="Y279" s="13"/>
      <c r="Z279" s="13">
        <v>54</v>
      </c>
      <c r="AA279" s="13">
        <v>38</v>
      </c>
      <c r="AB279" s="13"/>
      <c r="AC279" s="13"/>
      <c r="AD279" s="84">
        <f>Z279/Z8</f>
        <v>77142857.142857149</v>
      </c>
      <c r="AE279" s="86">
        <f t="shared" si="79"/>
        <v>20.011573746497344</v>
      </c>
      <c r="AF279" s="13"/>
    </row>
    <row r="280" spans="1:32" hidden="1" x14ac:dyDescent="0.25">
      <c r="A280" s="48">
        <v>44124</v>
      </c>
      <c r="B280" s="42">
        <v>3</v>
      </c>
      <c r="C280" s="12">
        <v>100</v>
      </c>
      <c r="D280" s="12" t="s">
        <v>10</v>
      </c>
      <c r="E280" s="105">
        <v>3</v>
      </c>
      <c r="F280" s="90">
        <f>(100000)*(F274/J274)</f>
        <v>3.9260196529605504E-3</v>
      </c>
      <c r="G280" s="91"/>
      <c r="H280" s="92">
        <v>77</v>
      </c>
      <c r="I280" s="83">
        <v>0.01</v>
      </c>
      <c r="J280" s="84">
        <f t="shared" si="80"/>
        <v>77000</v>
      </c>
      <c r="K280" s="84">
        <f t="shared" si="78"/>
        <v>7700</v>
      </c>
      <c r="L280" s="84"/>
      <c r="M280" s="85"/>
      <c r="N280" s="85"/>
      <c r="O280" s="85"/>
      <c r="P280" s="85"/>
      <c r="Q280" s="85"/>
      <c r="R280" s="85"/>
      <c r="S280" s="13"/>
      <c r="T280" s="13"/>
      <c r="U280" s="13"/>
      <c r="V280" s="13"/>
      <c r="W280" s="13"/>
      <c r="X280" s="13"/>
      <c r="Y280" s="13"/>
      <c r="Z280" s="13">
        <v>57</v>
      </c>
      <c r="AA280" s="13">
        <v>43</v>
      </c>
      <c r="AB280" s="13"/>
      <c r="AC280" s="13"/>
      <c r="AD280" s="84">
        <f>Z280/Z8</f>
        <v>81428571.428571433</v>
      </c>
      <c r="AE280" s="86">
        <f t="shared" si="79"/>
        <v>20.04256225764475</v>
      </c>
      <c r="AF280" s="13"/>
    </row>
    <row r="281" spans="1:32" hidden="1" x14ac:dyDescent="0.25">
      <c r="A281" s="48">
        <v>44124</v>
      </c>
      <c r="B281" s="42">
        <v>4</v>
      </c>
      <c r="C281" s="6">
        <v>178</v>
      </c>
      <c r="D281" s="6" t="s">
        <v>87</v>
      </c>
      <c r="E281" s="6">
        <v>1</v>
      </c>
      <c r="F281" s="90">
        <f>(100000)*(F263/J263)</f>
        <v>2.0350020350020353E-3</v>
      </c>
      <c r="G281" s="91"/>
      <c r="H281" s="92">
        <v>118</v>
      </c>
      <c r="I281" s="83">
        <v>0.01</v>
      </c>
      <c r="J281" s="84">
        <f t="shared" si="80"/>
        <v>118000</v>
      </c>
      <c r="K281" s="84">
        <f t="shared" si="78"/>
        <v>11800</v>
      </c>
      <c r="L281" s="84"/>
      <c r="M281" s="85"/>
      <c r="N281" s="85"/>
      <c r="O281" s="85"/>
      <c r="P281" s="85"/>
      <c r="Q281" s="85"/>
      <c r="R281" s="85"/>
      <c r="S281" s="13"/>
      <c r="T281" s="13"/>
      <c r="U281" s="13"/>
      <c r="V281" s="13"/>
      <c r="W281" s="13"/>
      <c r="X281" s="13"/>
      <c r="Y281" s="13">
        <v>84</v>
      </c>
      <c r="Z281" s="13">
        <v>75</v>
      </c>
      <c r="AA281" s="13"/>
      <c r="AB281" s="13"/>
      <c r="AC281" s="13"/>
      <c r="AD281" s="84">
        <f>Y281/Y8</f>
        <v>84000000</v>
      </c>
      <c r="AE281" s="86">
        <f t="shared" si="79"/>
        <v>19.186486886006549</v>
      </c>
      <c r="AF281" s="13"/>
    </row>
    <row r="282" spans="1:32" hidden="1" x14ac:dyDescent="0.25">
      <c r="A282" s="48">
        <v>44124</v>
      </c>
      <c r="B282" s="42">
        <v>5</v>
      </c>
      <c r="C282" s="92" t="s">
        <v>216</v>
      </c>
      <c r="D282" s="92" t="s">
        <v>105</v>
      </c>
      <c r="E282" s="123" t="s">
        <v>219</v>
      </c>
      <c r="F282" s="136">
        <f>(1000)*(F276/J276)</f>
        <v>0.17857142857142858</v>
      </c>
      <c r="G282" s="91"/>
      <c r="H282" s="92">
        <v>77</v>
      </c>
      <c r="I282" s="83">
        <v>0.5</v>
      </c>
      <c r="J282" s="84">
        <f>H282/0.05</f>
        <v>1540</v>
      </c>
      <c r="K282" s="84">
        <f t="shared" si="78"/>
        <v>154</v>
      </c>
      <c r="L282" s="85">
        <v>37</v>
      </c>
      <c r="M282" s="85">
        <v>14</v>
      </c>
      <c r="N282" s="85"/>
      <c r="O282" s="85">
        <v>12</v>
      </c>
      <c r="P282" s="85"/>
      <c r="Q282" s="85">
        <v>3</v>
      </c>
      <c r="R282" s="85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84">
        <f>L282/L8</f>
        <v>7400</v>
      </c>
      <c r="AE282" s="86">
        <f t="shared" si="79"/>
        <v>8.3755967237013085</v>
      </c>
      <c r="AF282" s="13"/>
    </row>
    <row r="283" spans="1:32" hidden="1" x14ac:dyDescent="0.25">
      <c r="A283" s="48">
        <v>44124</v>
      </c>
      <c r="B283" s="42">
        <v>6</v>
      </c>
      <c r="C283" s="6">
        <v>181</v>
      </c>
      <c r="D283" s="6" t="s">
        <v>90</v>
      </c>
      <c r="E283" s="6">
        <v>1</v>
      </c>
      <c r="F283" s="90">
        <f>(100000)*(F264/J264)</f>
        <v>5.2822853279242731E-4</v>
      </c>
      <c r="G283" s="91"/>
      <c r="H283" s="92">
        <v>68</v>
      </c>
      <c r="I283" s="83">
        <v>0.01</v>
      </c>
      <c r="J283" s="84">
        <f>H283/0.001</f>
        <v>68000</v>
      </c>
      <c r="K283" s="84">
        <f t="shared" si="78"/>
        <v>6800</v>
      </c>
      <c r="L283" s="84"/>
      <c r="M283" s="85"/>
      <c r="N283" s="85"/>
      <c r="O283" s="85"/>
      <c r="P283" s="85"/>
      <c r="Q283" s="85"/>
      <c r="R283" s="128"/>
      <c r="S283" s="85"/>
      <c r="T283" s="13"/>
      <c r="U283" s="13"/>
      <c r="V283" s="13"/>
      <c r="W283" s="13"/>
      <c r="X283" s="13">
        <v>45</v>
      </c>
      <c r="Y283" s="13">
        <v>17</v>
      </c>
      <c r="Z283" s="13"/>
      <c r="AA283" s="13"/>
      <c r="AB283" s="13"/>
      <c r="AC283" s="13"/>
      <c r="AD283" s="84">
        <f>X283/X8</f>
        <v>22500000</v>
      </c>
      <c r="AE283" s="86">
        <f t="shared" si="79"/>
        <v>17.52938925731452</v>
      </c>
      <c r="AF283" s="13"/>
    </row>
    <row r="284" spans="1:32" hidden="1" x14ac:dyDescent="0.25">
      <c r="A284" s="48">
        <v>44124</v>
      </c>
      <c r="B284" s="42">
        <v>7</v>
      </c>
      <c r="C284" s="6">
        <v>177</v>
      </c>
      <c r="D284" s="6" t="s">
        <v>86</v>
      </c>
      <c r="E284" s="6">
        <v>1</v>
      </c>
      <c r="F284" s="90">
        <f>(100000)*(F265/J265)</f>
        <v>1.4836773239208843E-3</v>
      </c>
      <c r="G284" s="91"/>
      <c r="H284" s="92">
        <v>77</v>
      </c>
      <c r="I284" s="83">
        <v>0.01</v>
      </c>
      <c r="J284" s="84">
        <f>H284/0.001</f>
        <v>77000</v>
      </c>
      <c r="K284" s="84">
        <f t="shared" si="78"/>
        <v>7700</v>
      </c>
      <c r="L284" s="84"/>
      <c r="M284" s="85"/>
      <c r="N284" s="85"/>
      <c r="O284" s="85"/>
      <c r="P284" s="85"/>
      <c r="Q284" s="85"/>
      <c r="R284" s="85"/>
      <c r="S284" s="13"/>
      <c r="T284" s="13"/>
      <c r="U284" s="13"/>
      <c r="V284" s="13"/>
      <c r="W284" s="13"/>
      <c r="X284" s="13"/>
      <c r="Y284" s="13">
        <v>72</v>
      </c>
      <c r="Z284" s="13">
        <v>64</v>
      </c>
      <c r="AA284" s="13"/>
      <c r="AB284" s="13"/>
      <c r="AC284" s="13"/>
      <c r="AD284" s="84">
        <f>Y284/Y8</f>
        <v>72000000</v>
      </c>
      <c r="AE284" s="86">
        <f t="shared" si="79"/>
        <v>19.776388066412085</v>
      </c>
      <c r="AF284" s="13"/>
    </row>
    <row r="285" spans="1:32" hidden="1" x14ac:dyDescent="0.25"/>
    <row r="286" spans="1:32" x14ac:dyDescent="0.25">
      <c r="A286" s="7">
        <v>44131</v>
      </c>
      <c r="B286" s="42">
        <v>1</v>
      </c>
      <c r="C286" s="12">
        <v>100</v>
      </c>
      <c r="D286" s="12" t="s">
        <v>10</v>
      </c>
      <c r="E286" s="105">
        <v>3</v>
      </c>
      <c r="F286" s="9">
        <f>(100000)*(F280/J280)</f>
        <v>5.0987268220266885E-3</v>
      </c>
      <c r="G286" s="6"/>
      <c r="H286" s="82"/>
      <c r="I286" s="83">
        <v>0.01</v>
      </c>
      <c r="J286" s="84">
        <f>H286/0.001</f>
        <v>0</v>
      </c>
      <c r="K286" s="84">
        <f t="shared" ref="K286:K292" si="81">H286/I286</f>
        <v>0</v>
      </c>
      <c r="L286" s="84"/>
      <c r="M286" s="85"/>
      <c r="N286" s="85"/>
      <c r="O286" s="85"/>
      <c r="P286" s="85"/>
      <c r="Q286" s="85"/>
      <c r="R286" s="85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84"/>
      <c r="AE286" s="86" t="e">
        <f t="shared" ref="AE286:AE292" si="82">LN(AD286/K286)/(0.667*LN(2))</f>
        <v>#DIV/0!</v>
      </c>
      <c r="AF286" s="13"/>
    </row>
    <row r="287" spans="1:32" x14ac:dyDescent="0.25">
      <c r="A287" s="7">
        <v>44131</v>
      </c>
      <c r="B287" s="42">
        <v>2</v>
      </c>
      <c r="C287" s="92">
        <v>126</v>
      </c>
      <c r="D287" s="92" t="s">
        <v>41</v>
      </c>
      <c r="E287" s="91">
        <v>3</v>
      </c>
      <c r="F287" s="145">
        <v>7.2499999999999995E-2</v>
      </c>
      <c r="G287" s="6"/>
      <c r="H287" s="92"/>
      <c r="I287" s="83">
        <v>0.1</v>
      </c>
      <c r="J287" s="84">
        <f>H287/0.01</f>
        <v>0</v>
      </c>
      <c r="K287" s="84">
        <f t="shared" si="81"/>
        <v>0</v>
      </c>
      <c r="L287" s="84"/>
      <c r="M287" s="85"/>
      <c r="N287" s="85"/>
      <c r="O287" s="85"/>
      <c r="P287" s="85"/>
      <c r="Q287" s="85"/>
      <c r="R287" s="85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84"/>
      <c r="AE287" s="86" t="e">
        <f t="shared" si="82"/>
        <v>#DIV/0!</v>
      </c>
      <c r="AF287" s="13"/>
    </row>
    <row r="288" spans="1:32" x14ac:dyDescent="0.25">
      <c r="A288" s="7">
        <v>44131</v>
      </c>
      <c r="B288" s="42">
        <v>3</v>
      </c>
      <c r="C288" s="6">
        <v>178</v>
      </c>
      <c r="D288" s="6" t="s">
        <v>87</v>
      </c>
      <c r="E288" s="6">
        <v>1</v>
      </c>
      <c r="F288" s="9">
        <f>(100000)*(F281/J281)</f>
        <v>1.7245779957644365E-3</v>
      </c>
      <c r="G288" s="6"/>
      <c r="H288" s="92"/>
      <c r="I288" s="83">
        <v>0.01</v>
      </c>
      <c r="J288" s="84">
        <f>H288/0.001</f>
        <v>0</v>
      </c>
      <c r="K288" s="84">
        <f t="shared" si="81"/>
        <v>0</v>
      </c>
      <c r="L288" s="84"/>
      <c r="M288" s="85"/>
      <c r="N288" s="85"/>
      <c r="O288" s="85"/>
      <c r="P288" s="85"/>
      <c r="Q288" s="85"/>
      <c r="R288" s="85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84"/>
      <c r="AE288" s="86" t="e">
        <f t="shared" si="82"/>
        <v>#DIV/0!</v>
      </c>
      <c r="AF288" s="13"/>
    </row>
    <row r="289" spans="1:32" x14ac:dyDescent="0.25">
      <c r="A289" s="7">
        <v>44131</v>
      </c>
      <c r="B289" s="42">
        <v>4</v>
      </c>
      <c r="C289" s="92" t="s">
        <v>216</v>
      </c>
      <c r="D289" s="92" t="s">
        <v>105</v>
      </c>
      <c r="E289" s="123" t="s">
        <v>219</v>
      </c>
      <c r="F289" s="146">
        <f>(1000)*(F282/J282)</f>
        <v>0.11595547309833024</v>
      </c>
      <c r="G289" s="6"/>
      <c r="H289" s="92"/>
      <c r="I289" s="83">
        <v>0.5</v>
      </c>
      <c r="J289" s="84">
        <f>H289/0.05</f>
        <v>0</v>
      </c>
      <c r="K289" s="84">
        <f t="shared" si="81"/>
        <v>0</v>
      </c>
      <c r="L289" s="84"/>
      <c r="M289" s="85"/>
      <c r="N289" s="85"/>
      <c r="O289" s="85"/>
      <c r="P289" s="85"/>
      <c r="Q289" s="85"/>
      <c r="R289" s="85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84"/>
      <c r="AE289" s="86" t="e">
        <f t="shared" si="82"/>
        <v>#DIV/0!</v>
      </c>
      <c r="AF289" s="13"/>
    </row>
    <row r="290" spans="1:32" x14ac:dyDescent="0.25">
      <c r="A290" s="7">
        <v>44131</v>
      </c>
      <c r="B290" s="42">
        <v>5</v>
      </c>
      <c r="C290" s="6">
        <v>179</v>
      </c>
      <c r="D290" s="6" t="s">
        <v>88</v>
      </c>
      <c r="E290" s="6">
        <v>1</v>
      </c>
      <c r="F290" s="9">
        <f>(100000)*F278/J278</f>
        <v>1.4068043666476003E-3</v>
      </c>
      <c r="G290" s="6"/>
      <c r="H290" s="92"/>
      <c r="I290" s="83">
        <v>0.01</v>
      </c>
      <c r="J290" s="84">
        <f>H290/0.001</f>
        <v>0</v>
      </c>
      <c r="K290" s="84">
        <f t="shared" si="81"/>
        <v>0</v>
      </c>
      <c r="L290" s="85"/>
      <c r="M290" s="85"/>
      <c r="N290" s="85"/>
      <c r="O290" s="85"/>
      <c r="P290" s="85"/>
      <c r="Q290" s="85"/>
      <c r="R290" s="85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84"/>
      <c r="AE290" s="86" t="e">
        <f t="shared" si="82"/>
        <v>#DIV/0!</v>
      </c>
      <c r="AF290" s="13"/>
    </row>
    <row r="291" spans="1:32" x14ac:dyDescent="0.25">
      <c r="A291" s="7">
        <v>44131</v>
      </c>
      <c r="B291" s="42">
        <v>6</v>
      </c>
      <c r="C291" s="13">
        <v>168</v>
      </c>
      <c r="D291" s="13" t="s">
        <v>77</v>
      </c>
      <c r="E291" s="13">
        <v>1</v>
      </c>
      <c r="F291" s="145">
        <v>8.1299999999999997E-2</v>
      </c>
      <c r="G291" s="6"/>
      <c r="H291" s="92"/>
      <c r="I291" s="83">
        <v>0.1</v>
      </c>
      <c r="J291" s="84">
        <f>H291/0.01</f>
        <v>0</v>
      </c>
      <c r="K291" s="84">
        <f t="shared" si="81"/>
        <v>0</v>
      </c>
      <c r="L291" s="84"/>
      <c r="M291" s="85"/>
      <c r="N291" s="85"/>
      <c r="O291" s="85"/>
      <c r="P291" s="85"/>
      <c r="Q291" s="85"/>
      <c r="R291" s="85"/>
      <c r="S291" s="85"/>
      <c r="T291" s="13"/>
      <c r="U291" s="13" t="s">
        <v>270</v>
      </c>
      <c r="V291" s="13"/>
      <c r="W291" s="13"/>
      <c r="X291" s="13"/>
      <c r="Y291" s="13"/>
      <c r="Z291" s="13"/>
      <c r="AA291" s="13"/>
      <c r="AB291" s="13"/>
      <c r="AC291" s="13"/>
      <c r="AD291" s="84"/>
      <c r="AE291" s="86" t="e">
        <f t="shared" si="82"/>
        <v>#DIV/0!</v>
      </c>
      <c r="AF291" s="13"/>
    </row>
    <row r="292" spans="1:32" x14ac:dyDescent="0.25">
      <c r="A292" s="7">
        <v>44131</v>
      </c>
      <c r="B292" s="42">
        <v>7</v>
      </c>
      <c r="C292" s="92">
        <v>155</v>
      </c>
      <c r="D292" s="92" t="s">
        <v>64</v>
      </c>
      <c r="E292" s="92">
        <v>3</v>
      </c>
      <c r="F292" s="9">
        <v>1.5900000000000001E-3</v>
      </c>
      <c r="G292" s="6"/>
      <c r="H292" s="6"/>
      <c r="I292" s="9">
        <v>0.01</v>
      </c>
      <c r="J292" s="6">
        <f>H292/0.001</f>
        <v>0</v>
      </c>
      <c r="K292" s="6">
        <f t="shared" si="81"/>
        <v>0</v>
      </c>
      <c r="L292" s="6"/>
      <c r="M292" s="6"/>
      <c r="N292" s="6"/>
      <c r="O292" s="6"/>
      <c r="P292" s="6"/>
      <c r="Q292" s="68"/>
      <c r="R292" s="68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86" t="e">
        <f t="shared" si="82"/>
        <v>#DIV/0!</v>
      </c>
      <c r="AF292" s="6"/>
    </row>
  </sheetData>
  <mergeCells count="2">
    <mergeCell ref="H7:K7"/>
    <mergeCell ref="S7:AD7"/>
  </mergeCells>
  <pageMargins left="0.7" right="0.7" top="0.75" bottom="0.75" header="0.3" footer="0.3"/>
  <pageSetup scale="27" fitToHeight="0" orientation="portrait" horizontalDpi="0" verticalDpi="0" r:id="rId1"/>
  <ignoredErrors>
    <ignoredError sqref="J13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B297-929D-426E-9051-3976E0960CA7}">
  <sheetPr>
    <pageSetUpPr fitToPage="1"/>
  </sheetPr>
  <dimension ref="A1:AB91"/>
  <sheetViews>
    <sheetView tabSelected="1" topLeftCell="T47" zoomScale="70" zoomScaleNormal="70" workbookViewId="0">
      <selection activeCell="Z63" sqref="Z63"/>
    </sheetView>
    <sheetView workbookViewId="1"/>
  </sheetViews>
  <sheetFormatPr defaultRowHeight="15" x14ac:dyDescent="0.25"/>
  <cols>
    <col min="1" max="1" width="10.140625" bestFit="1" customWidth="1"/>
    <col min="2" max="2" width="26.42578125" customWidth="1"/>
    <col min="3" max="4" width="11" customWidth="1"/>
    <col min="5" max="9" width="11.7109375" customWidth="1"/>
    <col min="10" max="14" width="12.140625" customWidth="1"/>
    <col min="15" max="15" width="10.140625" customWidth="1"/>
    <col min="16" max="18" width="10.5703125" customWidth="1"/>
    <col min="19" max="20" width="11.42578125" customWidth="1"/>
    <col min="21" max="22" width="11.42578125" style="87" customWidth="1"/>
    <col min="23" max="23" width="22.140625" customWidth="1"/>
    <col min="24" max="24" width="25" customWidth="1"/>
    <col min="26" max="26" width="18.7109375" bestFit="1" customWidth="1"/>
    <col min="27" max="27" width="80.5703125" bestFit="1" customWidth="1"/>
  </cols>
  <sheetData>
    <row r="1" spans="1:27" x14ac:dyDescent="0.25">
      <c r="A1" s="35" t="s">
        <v>162</v>
      </c>
      <c r="B1" s="35" t="s">
        <v>51</v>
      </c>
      <c r="C1" s="34">
        <v>44082</v>
      </c>
      <c r="D1" s="34">
        <v>44083</v>
      </c>
      <c r="E1" s="34">
        <v>44084</v>
      </c>
      <c r="F1" s="63">
        <v>44087</v>
      </c>
      <c r="G1" s="63">
        <v>44090</v>
      </c>
      <c r="H1" s="63">
        <v>44091</v>
      </c>
      <c r="I1" s="63">
        <v>44095</v>
      </c>
      <c r="J1" s="63">
        <v>44096</v>
      </c>
      <c r="K1" s="63">
        <v>44097</v>
      </c>
      <c r="L1" s="63">
        <v>44098</v>
      </c>
      <c r="M1" s="63">
        <v>44102</v>
      </c>
      <c r="N1" s="63">
        <v>44103</v>
      </c>
      <c r="O1" s="63">
        <v>44105</v>
      </c>
      <c r="P1" s="63">
        <v>44108</v>
      </c>
      <c r="Q1" s="63">
        <v>44109</v>
      </c>
      <c r="R1" s="63">
        <v>44111</v>
      </c>
      <c r="S1" s="63">
        <v>44117</v>
      </c>
      <c r="T1" s="63">
        <v>44118</v>
      </c>
      <c r="U1" s="142">
        <v>44119</v>
      </c>
      <c r="V1" s="142">
        <v>44124</v>
      </c>
      <c r="W1" t="s">
        <v>174</v>
      </c>
      <c r="X1" t="s">
        <v>175</v>
      </c>
      <c r="Y1" t="s">
        <v>227</v>
      </c>
      <c r="Z1" t="s">
        <v>251</v>
      </c>
      <c r="AA1" t="s">
        <v>9</v>
      </c>
    </row>
    <row r="2" spans="1:27" x14ac:dyDescent="0.25">
      <c r="A2" s="6">
        <v>100</v>
      </c>
      <c r="B2" s="6" t="s">
        <v>204</v>
      </c>
      <c r="C2" s="43">
        <v>22.305283502612205</v>
      </c>
      <c r="D2" s="6">
        <v>21.59</v>
      </c>
      <c r="E2" s="6">
        <v>21.19</v>
      </c>
      <c r="F2" s="43">
        <v>21.54172539693813</v>
      </c>
      <c r="G2" s="13">
        <v>21.64</v>
      </c>
      <c r="H2" s="86">
        <v>22.28</v>
      </c>
      <c r="I2" s="43">
        <v>21.44</v>
      </c>
      <c r="J2" s="43">
        <v>21.06</v>
      </c>
      <c r="K2" s="43">
        <v>20.55</v>
      </c>
      <c r="L2" s="43">
        <v>22.05</v>
      </c>
      <c r="M2" s="43">
        <v>21.62</v>
      </c>
      <c r="N2" s="43">
        <v>21.15</v>
      </c>
      <c r="O2" s="43">
        <v>21.27</v>
      </c>
      <c r="P2" s="6"/>
      <c r="Q2" s="6"/>
      <c r="R2" s="6"/>
      <c r="S2" s="13"/>
      <c r="T2" s="13"/>
      <c r="U2" s="13"/>
      <c r="V2" s="13"/>
      <c r="W2" s="6"/>
      <c r="X2" s="6"/>
    </row>
    <row r="3" spans="1:27" x14ac:dyDescent="0.25">
      <c r="A3" s="6">
        <v>100</v>
      </c>
      <c r="B3" s="6" t="s">
        <v>205</v>
      </c>
      <c r="C3" s="43"/>
      <c r="D3" s="6"/>
      <c r="E3" s="6"/>
      <c r="F3" s="43"/>
      <c r="G3" s="13"/>
      <c r="H3" s="86"/>
      <c r="I3" s="43"/>
      <c r="J3" s="43"/>
      <c r="K3" s="43"/>
      <c r="L3" s="43"/>
      <c r="M3" s="43"/>
      <c r="N3" s="43"/>
      <c r="O3" s="43"/>
      <c r="P3" s="43">
        <v>21.32</v>
      </c>
      <c r="Q3" s="6">
        <v>21.08</v>
      </c>
      <c r="R3" s="76" t="s">
        <v>225</v>
      </c>
      <c r="S3" s="13">
        <v>21.23</v>
      </c>
      <c r="T3" s="13">
        <v>21.47</v>
      </c>
      <c r="U3" s="13">
        <v>21.44</v>
      </c>
      <c r="V3" s="13">
        <v>20.04</v>
      </c>
      <c r="W3" s="6"/>
      <c r="X3" s="6"/>
    </row>
    <row r="4" spans="1:27" x14ac:dyDescent="0.25">
      <c r="A4" s="6">
        <v>100</v>
      </c>
      <c r="B4" s="6" t="s">
        <v>206</v>
      </c>
      <c r="C4" s="43"/>
      <c r="D4" s="6"/>
      <c r="E4" s="6"/>
      <c r="F4" s="43"/>
      <c r="G4" s="13"/>
      <c r="H4" s="86"/>
      <c r="I4" s="43"/>
      <c r="J4" s="43"/>
      <c r="K4" s="43"/>
      <c r="L4" s="43"/>
      <c r="M4" s="43"/>
      <c r="N4" s="43"/>
      <c r="O4" s="43"/>
      <c r="P4" s="43">
        <v>22.89</v>
      </c>
      <c r="Q4" s="6">
        <v>22.74</v>
      </c>
      <c r="R4" s="79">
        <v>21.1</v>
      </c>
      <c r="S4" s="86">
        <v>22.09</v>
      </c>
      <c r="T4" s="86"/>
      <c r="U4" s="86"/>
      <c r="V4" s="86"/>
      <c r="W4" s="43">
        <f>AVERAGE(P4:Q4,S4)</f>
        <v>22.573333333333334</v>
      </c>
      <c r="X4" s="43">
        <f>AVERAGE(P3:Q3,S3)</f>
        <v>21.209999999999997</v>
      </c>
      <c r="AA4" t="s">
        <v>231</v>
      </c>
    </row>
    <row r="5" spans="1:27" x14ac:dyDescent="0.25">
      <c r="A5" s="58"/>
      <c r="B5" s="58"/>
      <c r="C5" s="44"/>
      <c r="D5" s="35"/>
      <c r="E5" s="35"/>
      <c r="F5" s="35"/>
      <c r="L5" s="88"/>
      <c r="M5" s="88"/>
      <c r="N5" s="88"/>
      <c r="O5" s="88"/>
      <c r="P5" s="88"/>
      <c r="S5" s="87"/>
      <c r="T5" s="87"/>
    </row>
    <row r="6" spans="1:27" x14ac:dyDescent="0.25">
      <c r="A6" s="13">
        <v>101</v>
      </c>
      <c r="B6" s="13" t="s">
        <v>11</v>
      </c>
      <c r="C6" s="43">
        <v>20.497535038804362</v>
      </c>
      <c r="D6" s="6">
        <v>20.04</v>
      </c>
      <c r="E6" s="6">
        <v>21.32</v>
      </c>
      <c r="F6" s="6"/>
      <c r="G6" s="6"/>
      <c r="H6" s="6"/>
      <c r="I6" s="6"/>
      <c r="J6" s="6"/>
      <c r="K6" s="6"/>
      <c r="L6" s="43"/>
      <c r="M6" s="43"/>
      <c r="N6" s="43"/>
      <c r="O6" s="43"/>
      <c r="P6" s="43"/>
      <c r="Q6" s="6"/>
      <c r="R6" s="6"/>
      <c r="S6" s="13"/>
      <c r="T6" s="13"/>
      <c r="U6" s="13"/>
      <c r="V6" s="13"/>
      <c r="W6" s="43">
        <f t="shared" ref="W6:W12" si="0">AVERAGE(C6:E6)</f>
        <v>20.619178346268122</v>
      </c>
      <c r="X6" s="43">
        <f>AVERAGE(C2:E2)</f>
        <v>21.695094500870734</v>
      </c>
      <c r="Y6">
        <v>1</v>
      </c>
      <c r="Z6">
        <v>1</v>
      </c>
    </row>
    <row r="7" spans="1:27" x14ac:dyDescent="0.25">
      <c r="A7" s="13">
        <v>102</v>
      </c>
      <c r="B7" s="13" t="s">
        <v>12</v>
      </c>
      <c r="C7" s="43">
        <v>20.467951732771102</v>
      </c>
      <c r="D7" s="6">
        <v>20.85</v>
      </c>
      <c r="E7" s="6">
        <v>19.899999999999999</v>
      </c>
      <c r="F7" s="6"/>
      <c r="G7" s="6"/>
      <c r="H7" s="6"/>
      <c r="I7" s="6"/>
      <c r="J7" s="6"/>
      <c r="K7" s="6"/>
      <c r="L7" s="43"/>
      <c r="M7" s="43"/>
      <c r="N7" s="43"/>
      <c r="O7" s="43"/>
      <c r="P7" s="43"/>
      <c r="Q7" s="6"/>
      <c r="R7" s="6"/>
      <c r="S7" s="13"/>
      <c r="T7" s="13"/>
      <c r="U7" s="13"/>
      <c r="V7" s="13"/>
      <c r="W7" s="43">
        <f t="shared" si="0"/>
        <v>20.405983910923702</v>
      </c>
      <c r="X7" s="43">
        <f>AVERAGE(C2:E2)</f>
        <v>21.695094500870734</v>
      </c>
      <c r="Y7">
        <v>1</v>
      </c>
      <c r="Z7">
        <v>1</v>
      </c>
    </row>
    <row r="8" spans="1:27" x14ac:dyDescent="0.25">
      <c r="A8" s="13">
        <v>103</v>
      </c>
      <c r="B8" s="13" t="s">
        <v>14</v>
      </c>
      <c r="C8" s="43">
        <v>20.418168347863304</v>
      </c>
      <c r="D8" s="6">
        <v>19.87</v>
      </c>
      <c r="E8" s="6">
        <v>20.440000000000001</v>
      </c>
      <c r="F8" s="6"/>
      <c r="G8" s="6"/>
      <c r="H8" s="6"/>
      <c r="I8" s="6"/>
      <c r="J8" s="6"/>
      <c r="K8" s="6"/>
      <c r="L8" s="43"/>
      <c r="M8" s="43"/>
      <c r="N8" s="43"/>
      <c r="O8" s="43"/>
      <c r="P8" s="43"/>
      <c r="Q8" s="6"/>
      <c r="R8" s="6"/>
      <c r="S8" s="13"/>
      <c r="T8" s="13"/>
      <c r="U8" s="13"/>
      <c r="V8" s="13"/>
      <c r="W8" s="43">
        <f t="shared" si="0"/>
        <v>20.242722782621101</v>
      </c>
      <c r="X8" s="43">
        <f>AVERAGE(C2:E2)</f>
        <v>21.695094500870734</v>
      </c>
      <c r="Y8">
        <v>1</v>
      </c>
      <c r="Z8">
        <v>1</v>
      </c>
    </row>
    <row r="9" spans="1:27" x14ac:dyDescent="0.25">
      <c r="A9" s="13">
        <v>104</v>
      </c>
      <c r="B9" s="13" t="s">
        <v>15</v>
      </c>
      <c r="C9" s="43">
        <v>19.137738516845712</v>
      </c>
      <c r="D9" s="6">
        <v>20.14</v>
      </c>
      <c r="E9" s="6">
        <v>20.57</v>
      </c>
      <c r="F9" s="6"/>
      <c r="G9" s="6"/>
      <c r="H9" s="6"/>
      <c r="I9" s="6"/>
      <c r="J9" s="6"/>
      <c r="K9" s="6"/>
      <c r="L9" s="43"/>
      <c r="M9" s="43"/>
      <c r="N9" s="43"/>
      <c r="O9" s="43"/>
      <c r="P9" s="43"/>
      <c r="Q9" s="6"/>
      <c r="R9" s="6"/>
      <c r="S9" s="13"/>
      <c r="T9" s="13"/>
      <c r="U9" s="13"/>
      <c r="V9" s="13"/>
      <c r="W9" s="43">
        <f t="shared" si="0"/>
        <v>19.949246172281907</v>
      </c>
      <c r="X9" s="43">
        <f>AVERAGE(C2:E2)</f>
        <v>21.695094500870734</v>
      </c>
      <c r="Y9">
        <v>1</v>
      </c>
      <c r="Z9">
        <v>1</v>
      </c>
    </row>
    <row r="10" spans="1:27" x14ac:dyDescent="0.25">
      <c r="A10" s="13">
        <v>105</v>
      </c>
      <c r="B10" s="13" t="s">
        <v>16</v>
      </c>
      <c r="C10" s="43">
        <v>19.044602516983947</v>
      </c>
      <c r="D10" s="6">
        <v>19.350000000000001</v>
      </c>
      <c r="E10" s="6">
        <v>18.75</v>
      </c>
      <c r="F10" s="6"/>
      <c r="G10" s="6"/>
      <c r="H10" s="6"/>
      <c r="I10" s="6"/>
      <c r="J10" s="6"/>
      <c r="K10" s="6"/>
      <c r="L10" s="43"/>
      <c r="M10" s="43"/>
      <c r="N10" s="43"/>
      <c r="O10" s="43"/>
      <c r="P10" s="43"/>
      <c r="Q10" s="6"/>
      <c r="R10" s="6"/>
      <c r="S10" s="13"/>
      <c r="T10" s="13"/>
      <c r="U10" s="13"/>
      <c r="V10" s="13"/>
      <c r="W10" s="43">
        <f t="shared" si="0"/>
        <v>19.048200838994649</v>
      </c>
      <c r="X10" s="43">
        <f>AVERAGE(C2:E2)</f>
        <v>21.695094500870734</v>
      </c>
      <c r="Y10">
        <v>1</v>
      </c>
      <c r="Z10">
        <v>1</v>
      </c>
    </row>
    <row r="11" spans="1:27" x14ac:dyDescent="0.25">
      <c r="A11" s="13">
        <v>106</v>
      </c>
      <c r="B11" s="13" t="s">
        <v>17</v>
      </c>
      <c r="C11" s="43">
        <v>19.70780807212391</v>
      </c>
      <c r="D11" s="6">
        <v>20.14</v>
      </c>
      <c r="E11" s="6">
        <v>20.03</v>
      </c>
      <c r="F11" s="6"/>
      <c r="G11" s="6"/>
      <c r="H11" s="6"/>
      <c r="I11" s="6"/>
      <c r="J11" s="6"/>
      <c r="K11" s="6"/>
      <c r="L11" s="43"/>
      <c r="M11" s="43"/>
      <c r="N11" s="43"/>
      <c r="O11" s="43"/>
      <c r="P11" s="43"/>
      <c r="Q11" s="6"/>
      <c r="R11" s="6"/>
      <c r="S11" s="13"/>
      <c r="T11" s="13"/>
      <c r="U11" s="13"/>
      <c r="V11" s="13"/>
      <c r="W11" s="43">
        <f t="shared" si="0"/>
        <v>19.959269357374637</v>
      </c>
      <c r="X11" s="43">
        <f>AVERAGE(C2:E2)</f>
        <v>21.695094500870734</v>
      </c>
      <c r="Y11">
        <v>1</v>
      </c>
      <c r="Z11">
        <v>1</v>
      </c>
    </row>
    <row r="12" spans="1:27" x14ac:dyDescent="0.25">
      <c r="A12" s="13">
        <v>107</v>
      </c>
      <c r="B12" s="13" t="s">
        <v>18</v>
      </c>
      <c r="C12" s="43">
        <v>15.011552221963388</v>
      </c>
      <c r="D12" s="6">
        <v>15.97</v>
      </c>
      <c r="E12" s="6">
        <v>14.79</v>
      </c>
      <c r="F12" s="6"/>
      <c r="G12" s="6"/>
      <c r="H12" s="6"/>
      <c r="I12" s="6"/>
      <c r="J12" s="6"/>
      <c r="K12" s="6"/>
      <c r="L12" s="43"/>
      <c r="M12" s="43"/>
      <c r="N12" s="43"/>
      <c r="O12" s="43"/>
      <c r="P12" s="43"/>
      <c r="Q12" s="6"/>
      <c r="R12" s="6"/>
      <c r="S12" s="13"/>
      <c r="T12" s="13"/>
      <c r="U12" s="13"/>
      <c r="V12" s="13"/>
      <c r="W12" s="43">
        <f t="shared" si="0"/>
        <v>15.257184073987796</v>
      </c>
      <c r="X12" s="43">
        <f>AVERAGE(C2:E2)</f>
        <v>21.695094500870734</v>
      </c>
      <c r="Y12">
        <v>1</v>
      </c>
      <c r="Z12">
        <v>1</v>
      </c>
    </row>
    <row r="13" spans="1:27" x14ac:dyDescent="0.25">
      <c r="A13" s="13">
        <v>108</v>
      </c>
      <c r="B13" s="13" t="s">
        <v>19</v>
      </c>
      <c r="C13" s="6"/>
      <c r="D13" s="6"/>
      <c r="E13" s="6"/>
      <c r="F13" s="43">
        <v>18.046103157445625</v>
      </c>
      <c r="G13" s="43">
        <v>18.260000000000002</v>
      </c>
      <c r="H13" s="6">
        <v>18.3</v>
      </c>
      <c r="I13" s="6"/>
      <c r="J13" s="6"/>
      <c r="K13" s="6"/>
      <c r="L13" s="43"/>
      <c r="M13" s="43"/>
      <c r="N13" s="43"/>
      <c r="O13" s="43"/>
      <c r="P13" s="43"/>
      <c r="Q13" s="6"/>
      <c r="R13" s="6"/>
      <c r="S13" s="13"/>
      <c r="T13" s="13"/>
      <c r="U13" s="13"/>
      <c r="V13" s="13"/>
      <c r="W13" s="43">
        <f>AVERAGE(F13:H13)</f>
        <v>18.20203438581521</v>
      </c>
      <c r="X13" s="43">
        <f>AVERAGE(F2:H2)</f>
        <v>21.820575132312712</v>
      </c>
      <c r="Y13">
        <v>1</v>
      </c>
      <c r="Z13">
        <v>1</v>
      </c>
    </row>
    <row r="14" spans="1:27" x14ac:dyDescent="0.25">
      <c r="A14" s="13">
        <v>109</v>
      </c>
      <c r="B14" s="13" t="s">
        <v>20</v>
      </c>
      <c r="C14" s="6"/>
      <c r="D14" s="6"/>
      <c r="E14" s="6"/>
      <c r="F14" s="66">
        <v>9.7546516732005841</v>
      </c>
      <c r="G14" s="43">
        <v>10.029999999999999</v>
      </c>
      <c r="H14" s="6">
        <v>10.4</v>
      </c>
      <c r="I14" s="43">
        <v>10.07</v>
      </c>
      <c r="J14" s="6"/>
      <c r="K14" s="6"/>
      <c r="L14" s="43"/>
      <c r="M14" s="43"/>
      <c r="N14" s="43"/>
      <c r="O14" s="43"/>
      <c r="P14" s="43"/>
      <c r="Q14" s="6"/>
      <c r="R14" s="6"/>
      <c r="S14" s="13"/>
      <c r="T14" s="13"/>
      <c r="U14" s="13"/>
      <c r="V14" s="13"/>
      <c r="W14" s="43">
        <f>AVERAGE(G14:I14)</f>
        <v>10.166666666666666</v>
      </c>
      <c r="X14" s="43">
        <f>AVERAGE(G2:I2)</f>
        <v>21.786666666666665</v>
      </c>
      <c r="Y14">
        <v>1</v>
      </c>
      <c r="Z14">
        <v>1</v>
      </c>
    </row>
    <row r="15" spans="1:27" x14ac:dyDescent="0.25">
      <c r="A15" s="13">
        <v>110</v>
      </c>
      <c r="B15" s="13" t="s">
        <v>21</v>
      </c>
      <c r="C15" s="6"/>
      <c r="D15" s="6"/>
      <c r="E15" s="6"/>
      <c r="F15" s="43">
        <v>14.385227270305515</v>
      </c>
      <c r="G15" s="43">
        <v>15.64</v>
      </c>
      <c r="H15" s="6">
        <v>14.06</v>
      </c>
      <c r="I15" s="43"/>
      <c r="J15" s="6"/>
      <c r="K15" s="6"/>
      <c r="L15" s="43"/>
      <c r="M15" s="43"/>
      <c r="N15" s="43"/>
      <c r="O15" s="43"/>
      <c r="P15" s="43"/>
      <c r="Q15" s="6"/>
      <c r="R15" s="6"/>
      <c r="S15" s="13"/>
      <c r="T15" s="13"/>
      <c r="U15" s="13"/>
      <c r="V15" s="13"/>
      <c r="W15" s="43">
        <f>AVERAGE(F15:H15)</f>
        <v>14.695075756768505</v>
      </c>
      <c r="X15" s="43">
        <f>AVERAGE(F2:H2)</f>
        <v>21.820575132312712</v>
      </c>
      <c r="Y15">
        <v>1</v>
      </c>
      <c r="Z15">
        <v>1</v>
      </c>
    </row>
    <row r="16" spans="1:27" x14ac:dyDescent="0.25">
      <c r="A16" s="13">
        <v>111</v>
      </c>
      <c r="B16" s="13" t="s">
        <v>22</v>
      </c>
      <c r="C16" s="6"/>
      <c r="D16" s="6"/>
      <c r="E16" s="6"/>
      <c r="F16" s="66">
        <v>7.6578759963036207</v>
      </c>
      <c r="G16" s="79">
        <v>5.91</v>
      </c>
      <c r="H16" s="6">
        <v>6.85</v>
      </c>
      <c r="I16" s="43">
        <v>6.02</v>
      </c>
      <c r="J16" s="43">
        <v>5.5</v>
      </c>
      <c r="K16" s="6"/>
      <c r="L16" s="43"/>
      <c r="M16" s="43"/>
      <c r="N16" s="43"/>
      <c r="O16" s="43"/>
      <c r="P16" s="43"/>
      <c r="Q16" s="6"/>
      <c r="R16" s="6"/>
      <c r="S16" s="13"/>
      <c r="T16" s="13"/>
      <c r="U16" s="13"/>
      <c r="V16" s="13"/>
      <c r="W16" s="43">
        <f>AVERAGE(H16:J16)</f>
        <v>6.1233333333333322</v>
      </c>
      <c r="X16" s="43">
        <f>AVERAGE(H2:J2)</f>
        <v>21.593333333333334</v>
      </c>
      <c r="Y16">
        <v>1</v>
      </c>
      <c r="Z16">
        <v>1</v>
      </c>
    </row>
    <row r="17" spans="1:27" x14ac:dyDescent="0.25">
      <c r="A17" s="13">
        <v>112</v>
      </c>
      <c r="B17" s="13" t="s">
        <v>23</v>
      </c>
      <c r="C17" s="6"/>
      <c r="D17" s="6"/>
      <c r="E17" s="6"/>
      <c r="F17" s="43">
        <v>15.426645759482724</v>
      </c>
      <c r="G17" s="43">
        <v>14.66</v>
      </c>
      <c r="H17" s="6">
        <v>17.850000000000001</v>
      </c>
      <c r="I17" s="43"/>
      <c r="J17" s="6"/>
      <c r="K17" s="6"/>
      <c r="L17" s="43"/>
      <c r="M17" s="43"/>
      <c r="N17" s="43"/>
      <c r="O17" s="43"/>
      <c r="P17" s="43"/>
      <c r="Q17" s="6"/>
      <c r="R17" s="6"/>
      <c r="S17" s="13"/>
      <c r="T17" s="13"/>
      <c r="U17" s="13"/>
      <c r="V17" s="13"/>
      <c r="W17" s="43">
        <f>AVERAGE(F17:H17)</f>
        <v>15.978881919827577</v>
      </c>
      <c r="X17" s="43">
        <f>AVERAGE(F2:H2)</f>
        <v>21.820575132312712</v>
      </c>
      <c r="Y17">
        <v>1</v>
      </c>
      <c r="Z17">
        <v>1</v>
      </c>
    </row>
    <row r="18" spans="1:27" x14ac:dyDescent="0.25">
      <c r="A18" s="13">
        <v>113</v>
      </c>
      <c r="B18" s="13" t="s">
        <v>24</v>
      </c>
      <c r="C18" s="6"/>
      <c r="D18" s="6"/>
      <c r="E18" s="6"/>
      <c r="F18" s="43">
        <v>15.889674991024824</v>
      </c>
      <c r="G18" s="43">
        <v>16.260000000000002</v>
      </c>
      <c r="H18" s="6">
        <v>15.35</v>
      </c>
      <c r="I18" s="43"/>
      <c r="J18" s="6"/>
      <c r="K18" s="6"/>
      <c r="L18" s="43"/>
      <c r="M18" s="43"/>
      <c r="N18" s="43"/>
      <c r="O18" s="43"/>
      <c r="P18" s="43"/>
      <c r="Q18" s="6"/>
      <c r="R18" s="6"/>
      <c r="S18" s="13"/>
      <c r="T18" s="13"/>
      <c r="U18" s="13"/>
      <c r="V18" s="13"/>
      <c r="W18" s="43">
        <f>AVERAGE(F18:H18)</f>
        <v>15.833224997008275</v>
      </c>
      <c r="X18" s="43">
        <f>AVERAGE(F2:H2)</f>
        <v>21.820575132312712</v>
      </c>
      <c r="Y18">
        <v>1</v>
      </c>
      <c r="Z18">
        <v>1</v>
      </c>
    </row>
    <row r="19" spans="1:27" x14ac:dyDescent="0.25">
      <c r="A19" s="13">
        <v>114</v>
      </c>
      <c r="B19" s="13" t="s">
        <v>25</v>
      </c>
      <c r="C19" s="6"/>
      <c r="D19" s="6"/>
      <c r="E19" s="6"/>
      <c r="F19" s="66">
        <v>13.242155552921473</v>
      </c>
      <c r="G19" s="43">
        <v>13.77</v>
      </c>
      <c r="H19" s="6">
        <v>12.73</v>
      </c>
      <c r="I19" s="43">
        <v>12.67</v>
      </c>
      <c r="J19" s="6"/>
      <c r="K19" s="6"/>
      <c r="L19" s="43"/>
      <c r="M19" s="43"/>
      <c r="N19" s="43"/>
      <c r="O19" s="43"/>
      <c r="P19" s="43"/>
      <c r="Q19" s="6"/>
      <c r="R19" s="6"/>
      <c r="S19" s="13"/>
      <c r="T19" s="13"/>
      <c r="U19" s="13"/>
      <c r="V19" s="13"/>
      <c r="W19" s="43">
        <f>AVERAGE(G19:I19)</f>
        <v>13.056666666666667</v>
      </c>
      <c r="X19" s="43">
        <f>AVERAGE(G2:I2)</f>
        <v>21.786666666666665</v>
      </c>
      <c r="Y19">
        <v>1</v>
      </c>
      <c r="Z19">
        <v>1</v>
      </c>
    </row>
    <row r="20" spans="1:27" x14ac:dyDescent="0.25">
      <c r="A20" s="13">
        <v>115</v>
      </c>
      <c r="B20" s="13" t="s">
        <v>26</v>
      </c>
      <c r="C20" s="6"/>
      <c r="D20" s="6"/>
      <c r="E20" s="6"/>
      <c r="F20" s="66">
        <v>10.715179309343679</v>
      </c>
      <c r="G20" s="43">
        <v>11.02</v>
      </c>
      <c r="H20" s="6">
        <v>10.58</v>
      </c>
      <c r="I20" s="43">
        <v>10.85</v>
      </c>
      <c r="J20" s="6"/>
      <c r="K20" s="6"/>
      <c r="L20" s="43"/>
      <c r="M20" s="43"/>
      <c r="N20" s="43"/>
      <c r="O20" s="43"/>
      <c r="P20" s="43"/>
      <c r="Q20" s="6"/>
      <c r="R20" s="6"/>
      <c r="S20" s="13"/>
      <c r="T20" s="13"/>
      <c r="U20" s="13"/>
      <c r="V20" s="13"/>
      <c r="W20" s="43">
        <f>AVERAGE(G20:I20)</f>
        <v>10.816666666666668</v>
      </c>
      <c r="X20" s="43">
        <f>AVERAGE(G2:I2)</f>
        <v>21.786666666666665</v>
      </c>
      <c r="Y20">
        <v>1</v>
      </c>
      <c r="Z20">
        <v>1</v>
      </c>
    </row>
    <row r="21" spans="1:27" x14ac:dyDescent="0.25">
      <c r="A21" s="58"/>
      <c r="B21" s="58"/>
      <c r="C21" s="35"/>
      <c r="D21" s="35"/>
      <c r="E21" s="35"/>
      <c r="F21" s="89"/>
      <c r="G21" s="88"/>
      <c r="I21" s="88"/>
      <c r="L21" s="88"/>
      <c r="M21" s="88"/>
      <c r="N21" s="88"/>
      <c r="O21" s="88"/>
      <c r="P21" s="88"/>
      <c r="S21" s="87"/>
      <c r="T21" s="87"/>
      <c r="W21" s="88"/>
    </row>
    <row r="22" spans="1:27" x14ac:dyDescent="0.25">
      <c r="A22" s="92">
        <v>116</v>
      </c>
      <c r="B22" s="92" t="s">
        <v>27</v>
      </c>
      <c r="C22" s="6"/>
      <c r="D22" s="6"/>
      <c r="E22" s="6"/>
      <c r="F22" s="43">
        <v>20.249958263105317</v>
      </c>
      <c r="G22" s="43">
        <v>20.99</v>
      </c>
      <c r="H22" s="6">
        <v>20.16</v>
      </c>
      <c r="I22" s="43"/>
      <c r="J22" s="6"/>
      <c r="K22" s="6"/>
      <c r="L22" s="43"/>
      <c r="M22" s="43"/>
      <c r="N22" s="43"/>
      <c r="O22" s="43"/>
      <c r="P22" s="43"/>
      <c r="Q22" s="6"/>
      <c r="R22" s="6"/>
      <c r="S22" s="13"/>
      <c r="T22" s="13"/>
      <c r="U22" s="13"/>
      <c r="V22" s="13"/>
      <c r="W22" s="43">
        <f>AVERAGE(F22:H22)</f>
        <v>20.46665275436844</v>
      </c>
      <c r="X22" s="43">
        <f>AVERAGE(F2:H2)</f>
        <v>21.820575132312712</v>
      </c>
      <c r="Y22">
        <v>1</v>
      </c>
      <c r="Z22">
        <v>1</v>
      </c>
    </row>
    <row r="23" spans="1:27" x14ac:dyDescent="0.25">
      <c r="A23" s="92">
        <v>117</v>
      </c>
      <c r="B23" s="92" t="s">
        <v>28</v>
      </c>
      <c r="C23" s="6"/>
      <c r="D23" s="6"/>
      <c r="E23" s="6"/>
      <c r="F23" s="43">
        <v>20.585449579177208</v>
      </c>
      <c r="G23" s="43">
        <v>21</v>
      </c>
      <c r="H23" s="6">
        <v>21.16</v>
      </c>
      <c r="I23" s="43"/>
      <c r="J23" s="6"/>
      <c r="K23" s="6"/>
      <c r="L23" s="43"/>
      <c r="M23" s="43"/>
      <c r="N23" s="43"/>
      <c r="O23" s="43"/>
      <c r="P23" s="43"/>
      <c r="Q23" s="6"/>
      <c r="R23" s="6"/>
      <c r="S23" s="13"/>
      <c r="T23" s="13"/>
      <c r="U23" s="13"/>
      <c r="V23" s="13"/>
      <c r="W23" s="43">
        <f>AVERAGE(F23:H23)</f>
        <v>20.915149859725734</v>
      </c>
      <c r="X23" s="43">
        <f>AVERAGE(F2:H2)</f>
        <v>21.820575132312712</v>
      </c>
      <c r="Y23">
        <v>1</v>
      </c>
      <c r="Z23">
        <v>1</v>
      </c>
    </row>
    <row r="24" spans="1:27" x14ac:dyDescent="0.25">
      <c r="A24" s="92">
        <v>118</v>
      </c>
      <c r="B24" s="92" t="s">
        <v>30</v>
      </c>
      <c r="C24" s="6"/>
      <c r="D24" s="6"/>
      <c r="E24" s="6"/>
      <c r="F24" s="43">
        <v>18.711180595939801</v>
      </c>
      <c r="G24" s="43">
        <v>18.399999999999999</v>
      </c>
      <c r="H24" s="6">
        <v>18.28</v>
      </c>
      <c r="I24" s="43"/>
      <c r="J24" s="6"/>
      <c r="K24" s="6"/>
      <c r="L24" s="43"/>
      <c r="M24" s="43"/>
      <c r="N24" s="43"/>
      <c r="O24" s="43"/>
      <c r="P24" s="43"/>
      <c r="Q24" s="6"/>
      <c r="R24" s="6"/>
      <c r="S24" s="13"/>
      <c r="T24" s="13"/>
      <c r="U24" s="13"/>
      <c r="V24" s="13"/>
      <c r="W24" s="43">
        <f>AVERAGE(F24:H24)</f>
        <v>18.463726865313266</v>
      </c>
      <c r="X24" s="43">
        <f>AVERAGE(F2:H2)</f>
        <v>21.820575132312712</v>
      </c>
      <c r="Y24">
        <v>1</v>
      </c>
      <c r="Z24">
        <v>1</v>
      </c>
    </row>
    <row r="25" spans="1:27" x14ac:dyDescent="0.25">
      <c r="A25" s="92">
        <v>119</v>
      </c>
      <c r="B25" s="92" t="s">
        <v>32</v>
      </c>
      <c r="C25" s="6"/>
      <c r="D25" s="6"/>
      <c r="E25" s="6"/>
      <c r="F25" s="6"/>
      <c r="G25" s="6"/>
      <c r="H25" s="6"/>
      <c r="I25" s="43">
        <v>19.59</v>
      </c>
      <c r="J25" s="43">
        <v>19.53</v>
      </c>
      <c r="K25" s="6">
        <v>19.940000000000001</v>
      </c>
      <c r="L25" s="43"/>
      <c r="M25" s="43"/>
      <c r="N25" s="43"/>
      <c r="O25" s="43"/>
      <c r="P25" s="43"/>
      <c r="Q25" s="6"/>
      <c r="R25" s="6"/>
      <c r="S25" s="13"/>
      <c r="T25" s="13"/>
      <c r="U25" s="13"/>
      <c r="V25" s="13"/>
      <c r="W25" s="43">
        <f>AVERAGE(I25:K25)</f>
        <v>19.686666666666667</v>
      </c>
      <c r="X25" s="43">
        <f>AVERAGE(I2:K2)</f>
        <v>21.016666666666666</v>
      </c>
      <c r="Y25">
        <v>1</v>
      </c>
      <c r="Z25">
        <v>1</v>
      </c>
    </row>
    <row r="26" spans="1:27" x14ac:dyDescent="0.25">
      <c r="A26" s="92">
        <v>120</v>
      </c>
      <c r="B26" s="92" t="s">
        <v>33</v>
      </c>
      <c r="C26" s="6"/>
      <c r="D26" s="6"/>
      <c r="E26" s="6"/>
      <c r="F26" s="6"/>
      <c r="G26" s="6"/>
      <c r="H26" s="6"/>
      <c r="I26" s="79">
        <v>10.6</v>
      </c>
      <c r="J26" s="79">
        <v>7.62</v>
      </c>
      <c r="K26" s="76">
        <v>7.91</v>
      </c>
      <c r="L26" s="43">
        <v>7.13</v>
      </c>
      <c r="M26" s="43">
        <v>7.54</v>
      </c>
      <c r="N26" s="43"/>
      <c r="O26" s="43"/>
      <c r="P26" s="43"/>
      <c r="Q26" s="6"/>
      <c r="R26" s="6"/>
      <c r="S26" s="13">
        <v>7.67</v>
      </c>
      <c r="T26" s="13"/>
      <c r="U26" s="13"/>
      <c r="V26" s="13"/>
      <c r="W26" s="43">
        <f>AVERAGE(L26:M26,S26)</f>
        <v>7.4466666666666663</v>
      </c>
      <c r="X26" s="43">
        <f>AVERAGE(L2:M2,S3)</f>
        <v>21.633333333333336</v>
      </c>
      <c r="Y26">
        <v>1</v>
      </c>
      <c r="Z26">
        <v>1</v>
      </c>
      <c r="AA26" t="s">
        <v>245</v>
      </c>
    </row>
    <row r="27" spans="1:27" x14ac:dyDescent="0.25">
      <c r="A27" s="92">
        <v>121</v>
      </c>
      <c r="B27" s="92" t="s">
        <v>34</v>
      </c>
      <c r="C27" s="6"/>
      <c r="D27" s="6"/>
      <c r="E27" s="6"/>
      <c r="F27" s="6"/>
      <c r="G27" s="6"/>
      <c r="H27" s="6"/>
      <c r="I27" s="43">
        <v>18.010000000000002</v>
      </c>
      <c r="J27" s="43">
        <v>18.260000000000002</v>
      </c>
      <c r="K27" s="6">
        <v>19.04</v>
      </c>
      <c r="L27" s="43"/>
      <c r="M27" s="43"/>
      <c r="N27" s="43"/>
      <c r="O27" s="43"/>
      <c r="P27" s="43"/>
      <c r="Q27" s="6"/>
      <c r="R27" s="6"/>
      <c r="S27" s="13"/>
      <c r="T27" s="13"/>
      <c r="U27" s="13"/>
      <c r="V27" s="13"/>
      <c r="W27" s="43">
        <f>AVERAGE(I27:K27)</f>
        <v>18.436666666666667</v>
      </c>
      <c r="X27" s="43">
        <f>AVERAGE(I2:K2)</f>
        <v>21.016666666666666</v>
      </c>
      <c r="Y27">
        <v>1</v>
      </c>
      <c r="Z27">
        <v>1</v>
      </c>
    </row>
    <row r="28" spans="1:27" x14ac:dyDescent="0.25">
      <c r="A28" s="92">
        <v>122</v>
      </c>
      <c r="B28" s="92" t="s">
        <v>36</v>
      </c>
      <c r="C28" s="6"/>
      <c r="D28" s="6"/>
      <c r="E28" s="6"/>
      <c r="F28" s="6"/>
      <c r="G28" s="6"/>
      <c r="H28" s="6"/>
      <c r="I28" s="43">
        <v>14.39</v>
      </c>
      <c r="J28" s="43">
        <v>14.17</v>
      </c>
      <c r="K28" s="6">
        <v>14.6</v>
      </c>
      <c r="L28" s="43"/>
      <c r="M28" s="43"/>
      <c r="N28" s="43"/>
      <c r="O28" s="43"/>
      <c r="P28" s="43"/>
      <c r="Q28" s="13"/>
      <c r="R28" s="13"/>
      <c r="S28" s="13"/>
      <c r="T28" s="13"/>
      <c r="U28" s="13"/>
      <c r="V28" s="13"/>
      <c r="W28" s="86">
        <f>AVERAGE(I28:K28)</f>
        <v>14.386666666666668</v>
      </c>
      <c r="X28" s="43">
        <f>AVERAGE(I2:K2)</f>
        <v>21.016666666666666</v>
      </c>
      <c r="Y28">
        <v>1</v>
      </c>
      <c r="Z28">
        <v>1</v>
      </c>
    </row>
    <row r="29" spans="1:27" x14ac:dyDescent="0.25">
      <c r="A29" s="92">
        <v>123</v>
      </c>
      <c r="B29" s="92" t="s">
        <v>38</v>
      </c>
      <c r="C29" s="6"/>
      <c r="D29" s="6"/>
      <c r="E29" s="6"/>
      <c r="F29" s="6"/>
      <c r="G29" s="6"/>
      <c r="H29" s="6"/>
      <c r="I29" s="79">
        <v>12.36</v>
      </c>
      <c r="J29" s="43">
        <v>13.11</v>
      </c>
      <c r="K29" s="6">
        <v>12.7</v>
      </c>
      <c r="L29" s="43">
        <v>11.3</v>
      </c>
      <c r="M29" s="43"/>
      <c r="N29" s="43"/>
      <c r="O29" s="43"/>
      <c r="P29" s="43"/>
      <c r="Q29" s="92"/>
      <c r="R29" s="92"/>
      <c r="S29" s="92"/>
      <c r="T29" s="92"/>
      <c r="U29" s="92"/>
      <c r="V29" s="92"/>
      <c r="W29" s="86">
        <f>AVERAGE(J29:L29)</f>
        <v>12.37</v>
      </c>
      <c r="X29" s="43">
        <f>AVERAGE(J2:L2)</f>
        <v>21.22</v>
      </c>
      <c r="Y29">
        <v>1</v>
      </c>
      <c r="Z29">
        <v>1</v>
      </c>
    </row>
    <row r="30" spans="1:27" x14ac:dyDescent="0.25">
      <c r="A30" s="92">
        <v>124</v>
      </c>
      <c r="B30" s="92" t="s">
        <v>39</v>
      </c>
      <c r="C30" s="6"/>
      <c r="D30" s="6"/>
      <c r="E30" s="6"/>
      <c r="F30" s="6"/>
      <c r="G30" s="6"/>
      <c r="H30" s="6"/>
      <c r="I30" s="43">
        <v>17.63</v>
      </c>
      <c r="J30" s="43">
        <v>18.329999999999998</v>
      </c>
      <c r="K30" s="6">
        <v>17.559999999999999</v>
      </c>
      <c r="L30" s="43"/>
      <c r="M30" s="43"/>
      <c r="N30" s="43"/>
      <c r="O30" s="43"/>
      <c r="P30" s="43"/>
      <c r="Q30" s="92"/>
      <c r="R30" s="92"/>
      <c r="S30" s="92"/>
      <c r="T30" s="92"/>
      <c r="U30" s="92"/>
      <c r="V30" s="92"/>
      <c r="W30" s="86">
        <f>AVERAGE(I30:K30)</f>
        <v>17.84</v>
      </c>
      <c r="X30" s="43">
        <f>AVERAGE(I2:K2)</f>
        <v>21.016666666666666</v>
      </c>
      <c r="Y30">
        <v>1</v>
      </c>
      <c r="Z30">
        <v>1</v>
      </c>
    </row>
    <row r="31" spans="1:27" x14ac:dyDescent="0.25">
      <c r="A31" s="92">
        <v>125</v>
      </c>
      <c r="B31" s="92" t="s">
        <v>40</v>
      </c>
      <c r="C31" s="6"/>
      <c r="D31" s="6"/>
      <c r="E31" s="6"/>
      <c r="F31" s="6"/>
      <c r="G31" s="6"/>
      <c r="H31" s="6"/>
      <c r="I31" s="43">
        <v>15.62</v>
      </c>
      <c r="J31" s="43">
        <v>16.03</v>
      </c>
      <c r="K31" s="6">
        <v>15.49</v>
      </c>
      <c r="L31" s="43"/>
      <c r="M31" s="43"/>
      <c r="N31" s="43"/>
      <c r="O31" s="43"/>
      <c r="P31" s="43"/>
      <c r="Q31" s="92"/>
      <c r="R31" s="92"/>
      <c r="S31" s="92"/>
      <c r="T31" s="92"/>
      <c r="U31" s="92"/>
      <c r="V31" s="92"/>
      <c r="W31" s="86">
        <f>AVERAGE(I31:K31)</f>
        <v>15.713333333333333</v>
      </c>
      <c r="X31" s="43">
        <f>AVERAGE(I2:K2)</f>
        <v>21.016666666666666</v>
      </c>
      <c r="Y31">
        <v>1</v>
      </c>
      <c r="Z31">
        <v>1</v>
      </c>
    </row>
    <row r="32" spans="1:27" x14ac:dyDescent="0.25">
      <c r="A32" s="92">
        <v>126</v>
      </c>
      <c r="B32" s="92" t="s">
        <v>41</v>
      </c>
      <c r="C32" s="6"/>
      <c r="D32" s="6"/>
      <c r="E32" s="6"/>
      <c r="F32" s="6"/>
      <c r="G32" s="6"/>
      <c r="H32" s="6"/>
      <c r="I32" s="43"/>
      <c r="J32" s="43"/>
      <c r="K32" s="6"/>
      <c r="L32" s="43"/>
      <c r="M32" s="43"/>
      <c r="N32" s="43"/>
      <c r="O32" s="43"/>
      <c r="P32" s="43"/>
      <c r="Q32" s="92"/>
      <c r="R32" s="92"/>
      <c r="S32" s="92"/>
      <c r="T32" s="92"/>
      <c r="U32" s="92"/>
      <c r="V32" s="92"/>
      <c r="W32" s="86"/>
      <c r="X32" s="6"/>
      <c r="Z32">
        <v>2</v>
      </c>
    </row>
    <row r="33" spans="1:27" x14ac:dyDescent="0.25">
      <c r="A33" s="92">
        <v>127</v>
      </c>
      <c r="B33" s="92" t="s">
        <v>46</v>
      </c>
      <c r="C33" s="6"/>
      <c r="D33" s="6"/>
      <c r="E33" s="6"/>
      <c r="F33" s="6"/>
      <c r="G33" s="6"/>
      <c r="H33" s="6"/>
      <c r="I33" s="79">
        <v>12.85</v>
      </c>
      <c r="J33" s="43">
        <v>12.91</v>
      </c>
      <c r="K33" s="6">
        <v>12.53</v>
      </c>
      <c r="L33" s="43">
        <v>12.86</v>
      </c>
      <c r="M33" s="43"/>
      <c r="N33" s="43"/>
      <c r="O33" s="43"/>
      <c r="P33" s="43"/>
      <c r="Q33" s="92"/>
      <c r="R33" s="92"/>
      <c r="S33" s="92"/>
      <c r="T33" s="92"/>
      <c r="U33" s="92"/>
      <c r="V33" s="92"/>
      <c r="W33" s="86">
        <f>AVERAGE(J33:L33)</f>
        <v>12.766666666666666</v>
      </c>
      <c r="X33" s="43">
        <f>AVERAGE(J2:L2)</f>
        <v>21.22</v>
      </c>
      <c r="Y33">
        <v>1</v>
      </c>
      <c r="Z33">
        <v>1</v>
      </c>
    </row>
    <row r="34" spans="1:27" x14ac:dyDescent="0.25">
      <c r="A34" s="92">
        <v>128</v>
      </c>
      <c r="B34" s="92" t="s">
        <v>48</v>
      </c>
      <c r="C34" s="6"/>
      <c r="D34" s="6"/>
      <c r="E34" s="6"/>
      <c r="F34" s="6"/>
      <c r="G34" s="6"/>
      <c r="H34" s="6"/>
      <c r="I34" s="79">
        <v>11.74</v>
      </c>
      <c r="J34" s="43">
        <v>11.46</v>
      </c>
      <c r="K34" s="6">
        <v>11.03</v>
      </c>
      <c r="L34" s="43">
        <v>11.22</v>
      </c>
      <c r="M34" s="43"/>
      <c r="N34" s="43"/>
      <c r="O34" s="43"/>
      <c r="P34" s="43"/>
      <c r="Q34" s="92"/>
      <c r="R34" s="92"/>
      <c r="S34" s="92"/>
      <c r="T34" s="92"/>
      <c r="U34" s="92"/>
      <c r="V34" s="92"/>
      <c r="W34" s="86">
        <f>AVERAGE(J34:L34)</f>
        <v>11.236666666666666</v>
      </c>
      <c r="X34" s="43">
        <f>AVERAGE(J2:L2)</f>
        <v>21.22</v>
      </c>
      <c r="Y34">
        <v>1</v>
      </c>
      <c r="Z34">
        <v>1</v>
      </c>
    </row>
    <row r="35" spans="1:27" x14ac:dyDescent="0.25">
      <c r="A35" s="92">
        <v>129</v>
      </c>
      <c r="B35" s="92" t="s">
        <v>49</v>
      </c>
      <c r="C35" s="13"/>
      <c r="D35" s="13"/>
      <c r="E35" s="6"/>
      <c r="F35" s="6"/>
      <c r="G35" s="6"/>
      <c r="H35" s="6"/>
      <c r="I35" s="43">
        <v>17.100000000000001</v>
      </c>
      <c r="J35" s="43">
        <v>17</v>
      </c>
      <c r="K35" s="6">
        <v>16.670000000000002</v>
      </c>
      <c r="L35" s="43"/>
      <c r="M35" s="43"/>
      <c r="N35" s="43"/>
      <c r="O35" s="43"/>
      <c r="P35" s="43"/>
      <c r="Q35" s="92"/>
      <c r="R35" s="92"/>
      <c r="S35" s="92"/>
      <c r="T35" s="92"/>
      <c r="U35" s="92"/>
      <c r="V35" s="92"/>
      <c r="W35" s="86">
        <f>AVERAGE(I35:K35)</f>
        <v>16.923333333333336</v>
      </c>
      <c r="X35" s="43">
        <f>AVERAGE(I2:K2)</f>
        <v>21.016666666666666</v>
      </c>
      <c r="Y35">
        <v>1</v>
      </c>
      <c r="Z35">
        <v>1</v>
      </c>
    </row>
    <row r="36" spans="1:27" x14ac:dyDescent="0.25">
      <c r="A36" s="92">
        <v>130</v>
      </c>
      <c r="B36" s="92" t="s">
        <v>50</v>
      </c>
      <c r="C36" s="13"/>
      <c r="D36" s="13"/>
      <c r="E36" s="6"/>
      <c r="F36" s="6"/>
      <c r="G36" s="6"/>
      <c r="H36" s="6"/>
      <c r="I36" s="79">
        <v>11.71</v>
      </c>
      <c r="J36" s="43">
        <v>11.74</v>
      </c>
      <c r="K36" s="6">
        <v>12.33</v>
      </c>
      <c r="L36" s="43">
        <v>11.99</v>
      </c>
      <c r="M36" s="43"/>
      <c r="N36" s="43"/>
      <c r="O36" s="43"/>
      <c r="P36" s="43"/>
      <c r="Q36" s="92"/>
      <c r="R36" s="92"/>
      <c r="S36" s="92"/>
      <c r="T36" s="92"/>
      <c r="U36" s="92"/>
      <c r="V36" s="92"/>
      <c r="W36" s="86">
        <f>AVERAGE(J36:L36)</f>
        <v>12.020000000000001</v>
      </c>
      <c r="X36" s="43">
        <f>AVERAGE(J2:L2)</f>
        <v>21.22</v>
      </c>
      <c r="Y36">
        <v>1</v>
      </c>
      <c r="Z36">
        <v>1</v>
      </c>
    </row>
    <row r="37" spans="1:27" x14ac:dyDescent="0.25">
      <c r="A37" s="87"/>
      <c r="B37" s="87"/>
      <c r="C37" s="58"/>
      <c r="D37" s="58"/>
      <c r="I37" s="88"/>
      <c r="L37" s="88"/>
      <c r="M37" s="88"/>
      <c r="N37" s="88"/>
      <c r="O37" s="88"/>
      <c r="P37" s="88"/>
      <c r="Q37" s="93"/>
      <c r="R37" s="93"/>
      <c r="S37" s="93"/>
      <c r="T37" s="93"/>
      <c r="U37" s="93"/>
      <c r="V37" s="93"/>
      <c r="W37" s="89"/>
    </row>
    <row r="38" spans="1:27" x14ac:dyDescent="0.25">
      <c r="A38" s="92">
        <v>131</v>
      </c>
      <c r="B38" s="92" t="s">
        <v>91</v>
      </c>
      <c r="C38" s="51"/>
      <c r="D38" s="13"/>
      <c r="E38" s="6"/>
      <c r="F38" s="6"/>
      <c r="G38" s="6"/>
      <c r="H38" s="6"/>
      <c r="I38" s="6"/>
      <c r="J38" s="6"/>
      <c r="K38" s="6"/>
      <c r="L38" s="43">
        <v>20.56</v>
      </c>
      <c r="M38" s="43">
        <v>21.62</v>
      </c>
      <c r="N38" s="43">
        <v>21.96</v>
      </c>
      <c r="O38" s="43"/>
      <c r="P38" s="43"/>
      <c r="Q38" s="92"/>
      <c r="R38" s="92"/>
      <c r="S38" s="92"/>
      <c r="T38" s="92"/>
      <c r="U38" s="92"/>
      <c r="V38" s="92"/>
      <c r="W38" s="86">
        <f>AVERAGE(L38:N38)</f>
        <v>21.38</v>
      </c>
      <c r="X38" s="118">
        <f>AVERAGE(L2:N2)</f>
        <v>21.606666666666666</v>
      </c>
      <c r="Y38" s="129">
        <v>1</v>
      </c>
      <c r="Z38" s="129">
        <v>1</v>
      </c>
    </row>
    <row r="39" spans="1:27" x14ac:dyDescent="0.25">
      <c r="A39" s="92">
        <v>132</v>
      </c>
      <c r="B39" s="92" t="s">
        <v>92</v>
      </c>
      <c r="C39" s="51"/>
      <c r="D39" s="13"/>
      <c r="E39" s="6"/>
      <c r="F39" s="6"/>
      <c r="G39" s="6"/>
      <c r="H39" s="6"/>
      <c r="I39" s="6"/>
      <c r="J39" s="6"/>
      <c r="K39" s="6"/>
      <c r="L39" s="43">
        <v>20.81</v>
      </c>
      <c r="M39" s="43">
        <v>21.32</v>
      </c>
      <c r="N39" s="43">
        <v>21</v>
      </c>
      <c r="O39" s="43"/>
      <c r="P39" s="43"/>
      <c r="Q39" s="92"/>
      <c r="R39" s="92"/>
      <c r="S39" s="92"/>
      <c r="T39" s="92"/>
      <c r="U39" s="92"/>
      <c r="V39" s="92"/>
      <c r="W39" s="86">
        <f>AVERAGE(L39:N39)</f>
        <v>21.043333333333333</v>
      </c>
      <c r="X39" s="118">
        <f>AVERAGE(L2:N2)</f>
        <v>21.606666666666666</v>
      </c>
      <c r="Y39" s="129">
        <v>1</v>
      </c>
      <c r="Z39" s="129">
        <v>1</v>
      </c>
    </row>
    <row r="40" spans="1:27" x14ac:dyDescent="0.25">
      <c r="A40" s="92">
        <v>133</v>
      </c>
      <c r="B40" s="92" t="s">
        <v>93</v>
      </c>
      <c r="C40" s="51"/>
      <c r="D40" s="13"/>
      <c r="E40" s="6"/>
      <c r="F40" s="6"/>
      <c r="G40" s="6"/>
      <c r="H40" s="6"/>
      <c r="I40" s="6"/>
      <c r="J40" s="6"/>
      <c r="K40" s="6"/>
      <c r="L40" s="43">
        <v>20.63</v>
      </c>
      <c r="M40" s="43">
        <v>21.23</v>
      </c>
      <c r="N40" s="43">
        <v>20.16</v>
      </c>
      <c r="O40" s="43"/>
      <c r="P40" s="43"/>
      <c r="Q40" s="92"/>
      <c r="R40" s="92"/>
      <c r="S40" s="92"/>
      <c r="T40" s="92"/>
      <c r="U40" s="92"/>
      <c r="V40" s="92"/>
      <c r="W40" s="86">
        <f>AVERAGE(L40:N40)</f>
        <v>20.673333333333332</v>
      </c>
      <c r="X40" s="118">
        <f>AVERAGE(L2:N2)</f>
        <v>21.606666666666666</v>
      </c>
      <c r="Y40" s="129">
        <v>1</v>
      </c>
      <c r="Z40" s="129">
        <v>1</v>
      </c>
    </row>
    <row r="41" spans="1:27" x14ac:dyDescent="0.25">
      <c r="A41" s="92">
        <v>134</v>
      </c>
      <c r="B41" s="92" t="s">
        <v>94</v>
      </c>
      <c r="C41" s="13"/>
      <c r="D41" s="13"/>
      <c r="E41" s="6"/>
      <c r="F41" s="6"/>
      <c r="G41" s="6"/>
      <c r="H41" s="6"/>
      <c r="I41" s="6"/>
      <c r="J41" s="6"/>
      <c r="K41" s="6"/>
      <c r="L41" s="43"/>
      <c r="M41" s="43"/>
      <c r="N41" s="43"/>
      <c r="O41" s="43"/>
      <c r="P41" s="43"/>
      <c r="Q41" s="92"/>
      <c r="R41" s="92"/>
      <c r="S41" s="92"/>
      <c r="T41" s="92"/>
      <c r="U41" s="92"/>
      <c r="V41" s="92"/>
      <c r="W41" s="86" t="s">
        <v>194</v>
      </c>
      <c r="X41" s="92"/>
      <c r="Y41" s="129"/>
      <c r="Z41" s="129"/>
    </row>
    <row r="42" spans="1:27" x14ac:dyDescent="0.25">
      <c r="A42" s="92">
        <v>135</v>
      </c>
      <c r="B42" s="92" t="s">
        <v>95</v>
      </c>
      <c r="C42" s="51"/>
      <c r="D42" s="13"/>
      <c r="E42" s="6"/>
      <c r="F42" s="6"/>
      <c r="G42" s="6"/>
      <c r="H42" s="6"/>
      <c r="I42" s="6"/>
      <c r="J42" s="6"/>
      <c r="K42" s="6"/>
      <c r="L42" s="43">
        <v>19.88</v>
      </c>
      <c r="M42" s="43">
        <v>19.98</v>
      </c>
      <c r="N42" s="43">
        <v>21.31</v>
      </c>
      <c r="O42" s="43"/>
      <c r="P42" s="43"/>
      <c r="Q42" s="13"/>
      <c r="R42" s="13"/>
      <c r="S42" s="13"/>
      <c r="T42" s="13"/>
      <c r="U42" s="13"/>
      <c r="V42" s="13"/>
      <c r="W42" s="86">
        <f>AVERAGE(L42:N42)</f>
        <v>20.39</v>
      </c>
      <c r="X42" s="118">
        <f>AVERAGE(L2:N2)</f>
        <v>21.606666666666666</v>
      </c>
      <c r="Y42" s="129">
        <v>1</v>
      </c>
      <c r="Z42" s="129">
        <v>1</v>
      </c>
    </row>
    <row r="43" spans="1:27" x14ac:dyDescent="0.25">
      <c r="A43" s="92">
        <v>136</v>
      </c>
      <c r="B43" s="92" t="s">
        <v>96</v>
      </c>
      <c r="C43" s="51"/>
      <c r="D43" s="13"/>
      <c r="E43" s="6"/>
      <c r="F43" s="6"/>
      <c r="G43" s="6"/>
      <c r="H43" s="6"/>
      <c r="I43" s="6"/>
      <c r="J43" s="6"/>
      <c r="K43" s="6"/>
      <c r="L43" s="43"/>
      <c r="M43" s="43"/>
      <c r="N43" s="43"/>
      <c r="O43" s="43">
        <v>18.54</v>
      </c>
      <c r="P43" s="138">
        <v>19.920000000000002</v>
      </c>
      <c r="Q43" s="139">
        <v>18.07</v>
      </c>
      <c r="R43" s="140"/>
      <c r="S43" s="140"/>
      <c r="T43" s="140">
        <v>18.649999999999999</v>
      </c>
      <c r="U43" s="141">
        <v>18.610559612643641</v>
      </c>
      <c r="V43" s="141"/>
      <c r="W43" s="6" t="s">
        <v>248</v>
      </c>
      <c r="X43" s="92"/>
      <c r="Y43" s="129">
        <v>1</v>
      </c>
      <c r="Z43" s="129">
        <v>2</v>
      </c>
      <c r="AA43" t="s">
        <v>241</v>
      </c>
    </row>
    <row r="44" spans="1:27" x14ac:dyDescent="0.25">
      <c r="A44" s="92">
        <v>137</v>
      </c>
      <c r="B44" s="92" t="s">
        <v>97</v>
      </c>
      <c r="C44" s="51"/>
      <c r="D44" s="13"/>
      <c r="E44" s="6"/>
      <c r="F44" s="6"/>
      <c r="G44" s="6"/>
      <c r="H44" s="6"/>
      <c r="I44" s="6"/>
      <c r="J44" s="6"/>
      <c r="K44" s="6"/>
      <c r="L44" s="43">
        <v>19.95</v>
      </c>
      <c r="M44" s="43">
        <v>19.440000000000001</v>
      </c>
      <c r="N44" s="43">
        <v>20.39</v>
      </c>
      <c r="O44" s="43"/>
      <c r="P44" s="43"/>
      <c r="Q44" s="6"/>
      <c r="R44" s="13"/>
      <c r="S44" s="13"/>
      <c r="T44" s="13"/>
      <c r="U44" s="13"/>
      <c r="V44" s="13"/>
      <c r="W44" s="43">
        <f>AVERAGE(L44:N44)</f>
        <v>19.926666666666666</v>
      </c>
      <c r="X44" s="118">
        <f>AVERAGE(L2:N2)</f>
        <v>21.606666666666666</v>
      </c>
      <c r="Y44" s="129">
        <v>1</v>
      </c>
      <c r="Z44" s="129">
        <v>1</v>
      </c>
    </row>
    <row r="45" spans="1:27" x14ac:dyDescent="0.25">
      <c r="A45" s="92">
        <v>138</v>
      </c>
      <c r="B45" s="92" t="s">
        <v>98</v>
      </c>
      <c r="C45" s="13"/>
      <c r="D45" s="13"/>
      <c r="E45" s="6"/>
      <c r="F45" s="6"/>
      <c r="G45" s="6"/>
      <c r="H45" s="6"/>
      <c r="I45" s="6"/>
      <c r="J45" s="6"/>
      <c r="K45" s="6"/>
      <c r="L45" s="43"/>
      <c r="M45" s="43"/>
      <c r="N45" s="43"/>
      <c r="O45" s="43"/>
      <c r="P45" s="43"/>
      <c r="Q45" s="6"/>
      <c r="R45" s="13"/>
      <c r="S45" s="13"/>
      <c r="T45" s="13"/>
      <c r="U45" s="13"/>
      <c r="V45" s="13"/>
      <c r="W45" s="86" t="s">
        <v>194</v>
      </c>
      <c r="X45" s="92"/>
      <c r="Y45" s="129"/>
      <c r="Z45" s="129"/>
    </row>
    <row r="46" spans="1:27" x14ac:dyDescent="0.25">
      <c r="A46" s="92">
        <v>139</v>
      </c>
      <c r="B46" s="92" t="s">
        <v>99</v>
      </c>
      <c r="C46" s="51"/>
      <c r="D46" s="13"/>
      <c r="E46" s="6"/>
      <c r="F46" s="6"/>
      <c r="G46" s="6"/>
      <c r="H46" s="6"/>
      <c r="I46" s="6"/>
      <c r="J46" s="6"/>
      <c r="K46" s="6"/>
      <c r="L46" s="43">
        <v>18.600000000000001</v>
      </c>
      <c r="M46" s="43">
        <v>17.649999999999999</v>
      </c>
      <c r="N46" s="43">
        <v>18.09</v>
      </c>
      <c r="O46" s="43"/>
      <c r="P46" s="43"/>
      <c r="Q46" s="6"/>
      <c r="R46" s="13"/>
      <c r="S46" s="13"/>
      <c r="T46" s="13"/>
      <c r="U46" s="13"/>
      <c r="V46" s="13"/>
      <c r="W46" s="43">
        <f>AVERAGE(L46:N46)</f>
        <v>18.113333333333333</v>
      </c>
      <c r="X46" s="118">
        <f>AVERAGE(L2:N2)</f>
        <v>21.606666666666666</v>
      </c>
      <c r="Y46" s="129">
        <v>1</v>
      </c>
      <c r="Z46" s="129">
        <v>1</v>
      </c>
    </row>
    <row r="47" spans="1:27" x14ac:dyDescent="0.25">
      <c r="A47" s="92">
        <v>140</v>
      </c>
      <c r="B47" s="92" t="s">
        <v>100</v>
      </c>
      <c r="C47" s="51"/>
      <c r="D47" s="13"/>
      <c r="E47" s="6"/>
      <c r="F47" s="6"/>
      <c r="G47" s="6"/>
      <c r="H47" s="6"/>
      <c r="I47" s="6"/>
      <c r="J47" s="6"/>
      <c r="K47" s="6"/>
      <c r="L47" s="43">
        <v>17.079999999999998</v>
      </c>
      <c r="M47" s="43">
        <v>16.87</v>
      </c>
      <c r="N47" s="43">
        <v>17.149999999999999</v>
      </c>
      <c r="O47" s="43"/>
      <c r="P47" s="43"/>
      <c r="Q47" s="6"/>
      <c r="R47" s="13"/>
      <c r="S47" s="13"/>
      <c r="T47" s="13"/>
      <c r="U47" s="13"/>
      <c r="V47" s="13"/>
      <c r="W47" s="43">
        <f>AVERAGE(L47:N47)</f>
        <v>17.033333333333335</v>
      </c>
      <c r="X47" s="118">
        <f>AVERAGE(L2:N2)</f>
        <v>21.606666666666666</v>
      </c>
      <c r="Y47" s="129">
        <v>1</v>
      </c>
      <c r="Z47" s="129">
        <v>1</v>
      </c>
    </row>
    <row r="48" spans="1:27" x14ac:dyDescent="0.25">
      <c r="A48" s="92">
        <v>141</v>
      </c>
      <c r="B48" s="92" t="s">
        <v>101</v>
      </c>
      <c r="C48" s="13"/>
      <c r="D48" s="13"/>
      <c r="E48" s="6"/>
      <c r="F48" s="6"/>
      <c r="G48" s="6"/>
      <c r="H48" s="6"/>
      <c r="I48" s="6"/>
      <c r="J48" s="6"/>
      <c r="K48" s="6"/>
      <c r="L48" s="43"/>
      <c r="M48" s="43"/>
      <c r="N48" s="43"/>
      <c r="O48" s="43"/>
      <c r="P48" s="43"/>
      <c r="Q48" s="6"/>
      <c r="R48" s="13"/>
      <c r="S48" s="13"/>
      <c r="T48" s="13"/>
      <c r="U48" s="13"/>
      <c r="V48" s="13"/>
      <c r="W48" s="86" t="s">
        <v>7</v>
      </c>
      <c r="X48" s="12"/>
      <c r="Y48" s="129"/>
      <c r="Z48" s="129"/>
    </row>
    <row r="49" spans="1:28" x14ac:dyDescent="0.25">
      <c r="A49" s="92">
        <v>142</v>
      </c>
      <c r="B49" s="92" t="s">
        <v>102</v>
      </c>
      <c r="C49" s="51"/>
      <c r="D49" s="13"/>
      <c r="E49" s="6"/>
      <c r="F49" s="6"/>
      <c r="G49" s="6"/>
      <c r="H49" s="6"/>
      <c r="I49" s="6"/>
      <c r="J49" s="6"/>
      <c r="K49" s="6"/>
      <c r="L49" s="43">
        <v>16.2</v>
      </c>
      <c r="M49" s="43">
        <v>15.89</v>
      </c>
      <c r="N49" s="43">
        <v>16.579999999999998</v>
      </c>
      <c r="O49" s="43"/>
      <c r="P49" s="43"/>
      <c r="Q49" s="6"/>
      <c r="R49" s="13"/>
      <c r="S49" s="13"/>
      <c r="T49" s="13"/>
      <c r="U49" s="13"/>
      <c r="V49" s="13"/>
      <c r="W49" s="43">
        <f>AVERAGE(L49:N49)</f>
        <v>16.223333333333333</v>
      </c>
      <c r="X49" s="43">
        <f>AVERAGE(L2:N2)</f>
        <v>21.606666666666666</v>
      </c>
      <c r="Y49" s="129">
        <v>1</v>
      </c>
      <c r="Z49" s="129">
        <v>1</v>
      </c>
      <c r="AA49" t="s">
        <v>232</v>
      </c>
    </row>
    <row r="50" spans="1:28" x14ac:dyDescent="0.25">
      <c r="A50" s="92">
        <v>143</v>
      </c>
      <c r="B50" s="92" t="s">
        <v>103</v>
      </c>
      <c r="C50" s="51"/>
      <c r="D50" s="13"/>
      <c r="E50" s="6"/>
      <c r="F50" s="6"/>
      <c r="G50" s="6"/>
      <c r="H50" s="6"/>
      <c r="I50" s="6"/>
      <c r="J50" s="6"/>
      <c r="K50" s="6"/>
      <c r="L50" s="43">
        <v>15.46</v>
      </c>
      <c r="M50" s="43">
        <v>15.96</v>
      </c>
      <c r="N50" s="43">
        <v>16.09</v>
      </c>
      <c r="O50" s="43"/>
      <c r="P50" s="43"/>
      <c r="Q50" s="6"/>
      <c r="R50" s="13"/>
      <c r="S50" s="13"/>
      <c r="T50" s="13"/>
      <c r="U50" s="13"/>
      <c r="V50" s="13"/>
      <c r="W50" s="43">
        <f>AVERAGE(L50:N50)</f>
        <v>15.836666666666668</v>
      </c>
      <c r="X50" s="43">
        <f>AVERAGE(L2:N2)</f>
        <v>21.606666666666666</v>
      </c>
      <c r="Y50" s="129">
        <v>1</v>
      </c>
      <c r="Z50" s="129">
        <v>1</v>
      </c>
      <c r="AA50" t="s">
        <v>232</v>
      </c>
    </row>
    <row r="51" spans="1:28" x14ac:dyDescent="0.25">
      <c r="A51" s="92">
        <v>144</v>
      </c>
      <c r="B51" s="92" t="s">
        <v>104</v>
      </c>
      <c r="C51" s="51"/>
      <c r="D51" s="13"/>
      <c r="E51" s="6"/>
      <c r="F51" s="6"/>
      <c r="G51" s="6"/>
      <c r="H51" s="6"/>
      <c r="I51" s="6"/>
      <c r="J51" s="6"/>
      <c r="K51" s="6"/>
      <c r="L51" s="43">
        <v>16.079999999999998</v>
      </c>
      <c r="M51" s="43"/>
      <c r="N51" s="43">
        <v>16</v>
      </c>
      <c r="O51" s="43">
        <v>16.329999999999998</v>
      </c>
      <c r="P51" s="43"/>
      <c r="Q51" s="6"/>
      <c r="R51" s="13"/>
      <c r="S51" s="13"/>
      <c r="T51" s="13"/>
      <c r="U51" s="13"/>
      <c r="V51" s="13"/>
      <c r="W51" s="43">
        <f>AVERAGE(L51,N51,O51)</f>
        <v>16.136666666666667</v>
      </c>
      <c r="X51" s="43">
        <f>AVERAGE(L2,N2:O2)</f>
        <v>21.49</v>
      </c>
      <c r="Y51" s="129">
        <v>1</v>
      </c>
      <c r="Z51" s="129">
        <v>1</v>
      </c>
      <c r="AA51" t="s">
        <v>232</v>
      </c>
    </row>
    <row r="52" spans="1:28" x14ac:dyDescent="0.25">
      <c r="A52" s="92">
        <v>145</v>
      </c>
      <c r="B52" s="92" t="s">
        <v>105</v>
      </c>
      <c r="C52" s="13"/>
      <c r="D52" s="1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3"/>
      <c r="S52" s="13"/>
      <c r="T52" s="76"/>
      <c r="U52" s="79">
        <v>13.7</v>
      </c>
      <c r="V52" s="86">
        <v>8.3800000000000008</v>
      </c>
      <c r="W52" s="6" t="s">
        <v>268</v>
      </c>
      <c r="X52" s="6"/>
      <c r="Y52" s="130">
        <v>1</v>
      </c>
      <c r="Z52" s="130">
        <v>3</v>
      </c>
      <c r="AA52" t="s">
        <v>246</v>
      </c>
      <c r="AB52" t="s">
        <v>242</v>
      </c>
    </row>
    <row r="53" spans="1:28" x14ac:dyDescent="0.25">
      <c r="A53" s="87"/>
      <c r="B53" s="87"/>
      <c r="R53" s="87"/>
      <c r="S53" s="87"/>
      <c r="T53" s="87"/>
    </row>
    <row r="54" spans="1:28" x14ac:dyDescent="0.25">
      <c r="A54" s="92">
        <v>146</v>
      </c>
      <c r="B54" s="92" t="s">
        <v>55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21.36</v>
      </c>
      <c r="P54" s="6">
        <v>20.81</v>
      </c>
      <c r="Q54" s="76">
        <v>20.48</v>
      </c>
      <c r="R54" s="76">
        <v>20.73</v>
      </c>
      <c r="S54" s="76"/>
      <c r="T54" s="13">
        <v>21.61</v>
      </c>
      <c r="U54" s="13"/>
      <c r="V54" s="13"/>
      <c r="W54" s="6">
        <f>AVERAGE(O54:P54,T54)</f>
        <v>21.26</v>
      </c>
      <c r="X54" s="43">
        <f>AVERAGE(O2,P3,T3)</f>
        <v>21.353333333333335</v>
      </c>
      <c r="Y54" s="129">
        <v>1</v>
      </c>
      <c r="Z54" s="129">
        <v>1</v>
      </c>
    </row>
    <row r="55" spans="1:28" x14ac:dyDescent="0.25">
      <c r="A55" s="92">
        <v>147</v>
      </c>
      <c r="B55" s="92" t="s">
        <v>56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19.43</v>
      </c>
      <c r="P55" s="6">
        <v>19.329999999999998</v>
      </c>
      <c r="Q55" s="6">
        <v>19.75</v>
      </c>
      <c r="R55" s="13"/>
      <c r="S55" s="13"/>
      <c r="T55" s="13"/>
      <c r="U55" s="13"/>
      <c r="V55" s="13"/>
      <c r="W55" s="43">
        <f>AVERAGE(O55:Q55)</f>
        <v>19.503333333333334</v>
      </c>
      <c r="X55" s="43">
        <f>AVERAGE(O2,P3,Q3)</f>
        <v>21.223333333333333</v>
      </c>
      <c r="Y55">
        <v>1</v>
      </c>
      <c r="Z55" s="129">
        <v>1</v>
      </c>
    </row>
    <row r="56" spans="1:28" x14ac:dyDescent="0.25">
      <c r="A56" s="92">
        <v>148</v>
      </c>
      <c r="B56" s="92" t="s">
        <v>57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43">
        <v>20.8</v>
      </c>
      <c r="P56" s="43">
        <v>20.32</v>
      </c>
      <c r="Q56" s="6">
        <v>20.78</v>
      </c>
      <c r="R56" s="13"/>
      <c r="S56" s="13"/>
      <c r="T56" s="13"/>
      <c r="U56" s="13"/>
      <c r="V56" s="13"/>
      <c r="W56" s="43">
        <f>AVERAGE(O56:Q56)</f>
        <v>20.633333333333336</v>
      </c>
      <c r="X56" s="43">
        <f>AVERAGE(O2,P3,Q3)</f>
        <v>21.223333333333333</v>
      </c>
      <c r="Y56">
        <v>1</v>
      </c>
      <c r="Z56" s="129">
        <v>1</v>
      </c>
    </row>
    <row r="57" spans="1:28" x14ac:dyDescent="0.25">
      <c r="A57" s="110">
        <v>149</v>
      </c>
      <c r="B57" s="110" t="s">
        <v>58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13"/>
      <c r="S57" s="13"/>
      <c r="T57" s="13"/>
      <c r="U57" s="13"/>
      <c r="V57" s="13"/>
      <c r="W57" s="122" t="s">
        <v>193</v>
      </c>
      <c r="X57" s="6"/>
      <c r="Z57" s="129">
        <v>1</v>
      </c>
    </row>
    <row r="58" spans="1:28" x14ac:dyDescent="0.25">
      <c r="A58" s="110">
        <v>150</v>
      </c>
      <c r="B58" s="110" t="s">
        <v>59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13"/>
      <c r="T58" s="13"/>
      <c r="U58" s="13"/>
      <c r="V58" s="13"/>
      <c r="W58" s="122" t="s">
        <v>193</v>
      </c>
      <c r="X58" s="6"/>
      <c r="Z58" s="129">
        <v>1</v>
      </c>
    </row>
    <row r="59" spans="1:28" x14ac:dyDescent="0.25">
      <c r="A59" s="110">
        <v>151</v>
      </c>
      <c r="B59" s="110" t="s">
        <v>60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13"/>
      <c r="T59" s="13"/>
      <c r="U59" s="13"/>
      <c r="V59" s="13"/>
      <c r="W59" s="122" t="s">
        <v>193</v>
      </c>
      <c r="X59" s="6"/>
      <c r="Z59" s="129">
        <v>1</v>
      </c>
    </row>
    <row r="60" spans="1:28" x14ac:dyDescent="0.25">
      <c r="A60" s="92">
        <v>152</v>
      </c>
      <c r="B60" s="92" t="s">
        <v>61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18.72</v>
      </c>
      <c r="P60" s="6">
        <v>18.07</v>
      </c>
      <c r="Q60" s="6">
        <v>16.78</v>
      </c>
      <c r="R60" s="6"/>
      <c r="S60" s="13"/>
      <c r="T60" s="13"/>
      <c r="U60" s="13"/>
      <c r="V60" s="13"/>
      <c r="W60" s="43">
        <f>AVERAGE(O60:Q60)</f>
        <v>17.856666666666666</v>
      </c>
      <c r="X60" s="43">
        <f>AVERAGE(O2,P3,Q3)</f>
        <v>21.223333333333333</v>
      </c>
      <c r="Y60">
        <v>1</v>
      </c>
      <c r="Z60" s="129">
        <v>1</v>
      </c>
    </row>
    <row r="61" spans="1:28" x14ac:dyDescent="0.25">
      <c r="A61" s="92">
        <v>153</v>
      </c>
      <c r="B61" s="92" t="s">
        <v>62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15.96</v>
      </c>
      <c r="P61" s="6">
        <v>14.97</v>
      </c>
      <c r="Q61" s="6">
        <v>14.72</v>
      </c>
      <c r="R61" s="6"/>
      <c r="S61" s="13"/>
      <c r="T61" s="13"/>
      <c r="U61" s="13"/>
      <c r="V61" s="13"/>
      <c r="W61" s="43">
        <f>AVERAGE(O61:Q61)</f>
        <v>15.216666666666667</v>
      </c>
      <c r="X61" s="43">
        <f>AVERAGE(O2,P3:Q3)</f>
        <v>21.223333333333333</v>
      </c>
      <c r="Y61">
        <v>1</v>
      </c>
      <c r="Z61" s="129">
        <v>1</v>
      </c>
    </row>
    <row r="62" spans="1:28" x14ac:dyDescent="0.25">
      <c r="A62" s="92">
        <v>154</v>
      </c>
      <c r="B62" s="92" t="s">
        <v>63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43">
        <v>20.100000000000001</v>
      </c>
      <c r="Q62" s="6">
        <v>19.22</v>
      </c>
      <c r="R62" s="76">
        <v>19.670000000000002</v>
      </c>
      <c r="S62" s="13">
        <v>19.71</v>
      </c>
      <c r="T62" s="13"/>
      <c r="U62" s="13"/>
      <c r="V62" s="13"/>
      <c r="W62" s="43">
        <f>AVERAGE(P62:Q62,S62)</f>
        <v>19.676666666666666</v>
      </c>
      <c r="X62" s="43">
        <f>AVERAGE(P3:Q3,S3)</f>
        <v>21.209999999999997</v>
      </c>
      <c r="Y62">
        <v>1</v>
      </c>
      <c r="Z62" s="129">
        <v>1</v>
      </c>
    </row>
    <row r="63" spans="1:28" x14ac:dyDescent="0.25">
      <c r="A63" s="92">
        <v>155</v>
      </c>
      <c r="B63" s="92" t="s">
        <v>64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13"/>
      <c r="T63" s="13"/>
      <c r="U63" s="13"/>
      <c r="V63" s="13"/>
      <c r="W63" s="6"/>
      <c r="X63" s="6"/>
      <c r="Z63" s="129">
        <v>2</v>
      </c>
    </row>
    <row r="64" spans="1:28" x14ac:dyDescent="0.25">
      <c r="A64" s="92">
        <v>156</v>
      </c>
      <c r="B64" s="92" t="s">
        <v>65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16.18</v>
      </c>
      <c r="P64" s="6">
        <v>16.77</v>
      </c>
      <c r="Q64" s="6">
        <v>15.94</v>
      </c>
      <c r="R64" s="6"/>
      <c r="S64" s="13"/>
      <c r="T64" s="13"/>
      <c r="U64" s="13"/>
      <c r="V64" s="13"/>
      <c r="W64" s="43">
        <f>AVERAGE(O64:Q64)</f>
        <v>16.296666666666667</v>
      </c>
      <c r="X64" s="43">
        <f>AVERAGE(O2,P3:Q3)</f>
        <v>21.223333333333333</v>
      </c>
      <c r="Y64">
        <v>1</v>
      </c>
      <c r="Z64" s="129">
        <v>1</v>
      </c>
    </row>
    <row r="65" spans="1:27" x14ac:dyDescent="0.25">
      <c r="A65" s="92">
        <v>157</v>
      </c>
      <c r="B65" s="92" t="s">
        <v>66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13.81</v>
      </c>
      <c r="Q65" s="6">
        <v>13.97</v>
      </c>
      <c r="R65" s="76">
        <v>14.04</v>
      </c>
      <c r="S65" s="13">
        <v>14.65</v>
      </c>
      <c r="T65" s="13"/>
      <c r="U65" s="13"/>
      <c r="V65" s="13"/>
      <c r="W65" s="43">
        <f>AVERAGE(P65:Q65,S65)</f>
        <v>14.143333333333333</v>
      </c>
      <c r="X65" s="43">
        <f>AVERAGE(P3:Q3,S3)</f>
        <v>21.209999999999997</v>
      </c>
      <c r="Y65">
        <v>1</v>
      </c>
      <c r="Z65" s="129">
        <v>1</v>
      </c>
    </row>
    <row r="66" spans="1:27" x14ac:dyDescent="0.25">
      <c r="A66" s="2"/>
      <c r="B66" s="2"/>
      <c r="S66" s="87"/>
      <c r="T66" s="87"/>
    </row>
    <row r="67" spans="1:27" x14ac:dyDescent="0.25">
      <c r="A67" s="92">
        <v>158</v>
      </c>
      <c r="B67" s="12" t="s">
        <v>67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>
        <v>20.94</v>
      </c>
      <c r="Q67" s="6">
        <v>19.78</v>
      </c>
      <c r="R67" s="76">
        <v>21.32</v>
      </c>
      <c r="S67" s="86">
        <v>21.2</v>
      </c>
      <c r="T67" s="86"/>
      <c r="U67" s="86"/>
      <c r="V67" s="86"/>
      <c r="W67" s="43">
        <f>AVERAGE(P67:Q67,S67)</f>
        <v>20.64</v>
      </c>
      <c r="X67" s="43">
        <f>AVERAGE(P3:Q3,S3)</f>
        <v>21.209999999999997</v>
      </c>
      <c r="Y67">
        <v>1</v>
      </c>
      <c r="Z67" s="129">
        <v>1</v>
      </c>
    </row>
    <row r="68" spans="1:27" x14ac:dyDescent="0.25">
      <c r="A68" s="92">
        <v>159</v>
      </c>
      <c r="B68" s="12" t="s">
        <v>68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6">
        <v>19.55</v>
      </c>
      <c r="S68" s="13">
        <v>19.96</v>
      </c>
      <c r="T68" s="13">
        <v>20.16</v>
      </c>
      <c r="U68" s="13">
        <v>19.27</v>
      </c>
      <c r="V68" s="13"/>
      <c r="W68" s="43">
        <f>AVERAGE(S68:U68)</f>
        <v>19.796666666666667</v>
      </c>
      <c r="X68" s="6">
        <f>AVERAGE(S3:U3)</f>
        <v>21.38</v>
      </c>
      <c r="Y68" s="137">
        <v>1</v>
      </c>
      <c r="Z68" s="129">
        <v>1</v>
      </c>
    </row>
    <row r="69" spans="1:27" x14ac:dyDescent="0.25">
      <c r="A69" s="92">
        <v>160</v>
      </c>
      <c r="B69" s="12" t="s">
        <v>69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17.260000000000002</v>
      </c>
      <c r="P69" s="76"/>
      <c r="Q69" s="6">
        <v>17.010000000000002</v>
      </c>
      <c r="R69" s="79">
        <v>16.600000000000001</v>
      </c>
      <c r="S69" s="86">
        <v>16.87</v>
      </c>
      <c r="T69" s="86"/>
      <c r="U69" s="86"/>
      <c r="V69" s="86"/>
      <c r="W69" s="43">
        <f>AVERAGE(O69,Q69,S69)</f>
        <v>17.046666666666667</v>
      </c>
      <c r="X69" s="43">
        <f>AVERAGE(O2,Q3,S3)</f>
        <v>21.193333333333332</v>
      </c>
      <c r="Y69">
        <v>1</v>
      </c>
      <c r="Z69" s="129">
        <v>1</v>
      </c>
    </row>
    <row r="70" spans="1:27" x14ac:dyDescent="0.25">
      <c r="A70" s="92">
        <v>161</v>
      </c>
      <c r="B70" s="92" t="s">
        <v>70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13"/>
      <c r="T70" s="13"/>
      <c r="U70" s="13"/>
      <c r="V70" s="13"/>
      <c r="W70" s="6" t="s">
        <v>194</v>
      </c>
      <c r="X70" s="6"/>
    </row>
    <row r="71" spans="1:27" x14ac:dyDescent="0.25">
      <c r="A71" s="110">
        <v>162</v>
      </c>
      <c r="B71" s="110" t="s">
        <v>71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13"/>
      <c r="T71" s="13"/>
      <c r="U71" s="13"/>
      <c r="V71" s="13"/>
      <c r="W71" s="122" t="s">
        <v>193</v>
      </c>
      <c r="X71" s="6"/>
      <c r="Z71" s="129">
        <v>1</v>
      </c>
    </row>
    <row r="72" spans="1:27" x14ac:dyDescent="0.25">
      <c r="A72" s="110">
        <v>163</v>
      </c>
      <c r="B72" s="110" t="s">
        <v>72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13"/>
      <c r="Q72" s="6"/>
      <c r="R72" s="6"/>
      <c r="S72" s="13"/>
      <c r="T72" s="13"/>
      <c r="U72" s="13"/>
      <c r="V72" s="13"/>
      <c r="W72" s="122" t="s">
        <v>193</v>
      </c>
      <c r="X72" s="6"/>
      <c r="Z72" s="129">
        <v>1</v>
      </c>
    </row>
    <row r="73" spans="1:27" x14ac:dyDescent="0.25">
      <c r="A73" s="92">
        <v>164</v>
      </c>
      <c r="B73" s="12" t="s">
        <v>73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76"/>
      <c r="P73" s="13">
        <v>9.1199999999999992</v>
      </c>
      <c r="Q73" s="6">
        <v>9.67</v>
      </c>
      <c r="R73" s="76">
        <v>10.210000000000001</v>
      </c>
      <c r="S73" s="13">
        <v>10.41</v>
      </c>
      <c r="T73" s="13"/>
      <c r="U73" s="13"/>
      <c r="V73" s="13"/>
      <c r="W73" s="43">
        <f>AVERAGE(P73:Q73,S73)</f>
        <v>9.7333333333333325</v>
      </c>
      <c r="X73" s="43">
        <f>AVERAGE(P3:Q3,S3)</f>
        <v>21.209999999999997</v>
      </c>
      <c r="Y73">
        <v>1</v>
      </c>
      <c r="Z73" s="129">
        <v>1</v>
      </c>
    </row>
    <row r="74" spans="1:27" x14ac:dyDescent="0.25">
      <c r="A74" s="92">
        <v>165</v>
      </c>
      <c r="B74" s="12" t="s">
        <v>74</v>
      </c>
      <c r="C74" s="6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39"/>
      <c r="P74" s="140">
        <v>7.68</v>
      </c>
      <c r="Q74" s="144">
        <v>6.35</v>
      </c>
      <c r="R74" s="139">
        <v>7.03</v>
      </c>
      <c r="S74" s="139"/>
      <c r="T74" s="139">
        <v>7.18</v>
      </c>
      <c r="U74" s="141">
        <v>6.7</v>
      </c>
      <c r="V74" s="86"/>
      <c r="W74" s="43" t="s">
        <v>249</v>
      </c>
      <c r="X74" s="43"/>
      <c r="Y74">
        <v>1</v>
      </c>
      <c r="Z74" s="129">
        <v>1</v>
      </c>
      <c r="AA74" t="s">
        <v>263</v>
      </c>
    </row>
    <row r="75" spans="1:27" x14ac:dyDescent="0.25">
      <c r="A75" s="92">
        <v>166</v>
      </c>
      <c r="B75" s="92" t="s">
        <v>75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13"/>
      <c r="Q75" s="6"/>
      <c r="R75" s="6"/>
      <c r="S75" s="13"/>
      <c r="T75" s="13"/>
      <c r="U75" s="13"/>
      <c r="V75" s="13"/>
      <c r="W75" s="6" t="s">
        <v>194</v>
      </c>
      <c r="X75" s="6"/>
    </row>
    <row r="76" spans="1:27" x14ac:dyDescent="0.25">
      <c r="A76" s="92">
        <v>167</v>
      </c>
      <c r="B76" s="12" t="s">
        <v>76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76">
        <v>11.89</v>
      </c>
      <c r="P76" s="13">
        <v>12.41</v>
      </c>
      <c r="Q76" s="6">
        <v>10.88</v>
      </c>
      <c r="R76" s="76">
        <v>11.88</v>
      </c>
      <c r="S76" s="13">
        <v>12.25</v>
      </c>
      <c r="T76" s="13"/>
      <c r="U76" s="13"/>
      <c r="V76" s="13"/>
      <c r="W76" s="43">
        <f>AVERAGE(P76:Q76,S76)</f>
        <v>11.846666666666666</v>
      </c>
      <c r="X76" s="43">
        <f>AVERAGE(P3:Q3,S3)</f>
        <v>21.209999999999997</v>
      </c>
      <c r="Y76">
        <v>1</v>
      </c>
      <c r="Z76" s="129">
        <v>1</v>
      </c>
    </row>
    <row r="77" spans="1:27" x14ac:dyDescent="0.25">
      <c r="A77" s="92">
        <v>168</v>
      </c>
      <c r="B77" s="12" t="s">
        <v>77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13"/>
      <c r="T77" s="13"/>
      <c r="U77" s="13"/>
      <c r="V77" s="13"/>
      <c r="W77" s="6" t="s">
        <v>269</v>
      </c>
      <c r="X77" s="6"/>
      <c r="Z77" s="129">
        <v>3</v>
      </c>
      <c r="AA77" t="s">
        <v>252</v>
      </c>
    </row>
    <row r="78" spans="1:27" x14ac:dyDescent="0.25">
      <c r="A78" s="92">
        <v>169</v>
      </c>
      <c r="B78" s="92" t="s">
        <v>78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13"/>
      <c r="T78" s="13"/>
      <c r="U78" s="13"/>
      <c r="V78" s="13"/>
      <c r="W78" s="6" t="s">
        <v>194</v>
      </c>
      <c r="X78" s="6"/>
    </row>
    <row r="80" spans="1:27" x14ac:dyDescent="0.25">
      <c r="A80" s="6">
        <v>170</v>
      </c>
      <c r="B80" s="6" t="s">
        <v>79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20.87</v>
      </c>
      <c r="T80" s="6">
        <v>20.95</v>
      </c>
      <c r="U80" s="86">
        <v>20.6</v>
      </c>
      <c r="V80" s="86"/>
      <c r="W80" s="43">
        <f>AVERAGE(S80:U80)</f>
        <v>20.806666666666668</v>
      </c>
      <c r="X80" s="6">
        <f>AVERAGE(S3:U3)</f>
        <v>21.38</v>
      </c>
      <c r="Y80">
        <v>1</v>
      </c>
      <c r="Z80">
        <v>1</v>
      </c>
    </row>
    <row r="81" spans="1:26" x14ac:dyDescent="0.25">
      <c r="A81" s="6">
        <v>171</v>
      </c>
      <c r="B81" s="6" t="s">
        <v>80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21.65</v>
      </c>
      <c r="T81" s="6">
        <v>20.239999999999998</v>
      </c>
      <c r="U81" s="13">
        <v>20.04</v>
      </c>
      <c r="V81" s="13"/>
      <c r="W81" s="43">
        <f>AVERAGE(S81:U81)</f>
        <v>20.643333333333334</v>
      </c>
      <c r="X81" s="6">
        <f>AVERAGE(S3:U3)</f>
        <v>21.38</v>
      </c>
      <c r="Y81">
        <v>1</v>
      </c>
      <c r="Z81">
        <v>1</v>
      </c>
    </row>
    <row r="82" spans="1:26" x14ac:dyDescent="0.25">
      <c r="A82" s="6">
        <v>172</v>
      </c>
      <c r="B82" s="6" t="s">
        <v>81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43">
        <v>19.899999999999999</v>
      </c>
      <c r="T82" s="43">
        <v>21.22</v>
      </c>
      <c r="U82" s="86">
        <v>18.62</v>
      </c>
      <c r="V82" s="86"/>
      <c r="W82" s="43">
        <f>AVERAGE(S82:U82)</f>
        <v>19.91333333333333</v>
      </c>
      <c r="X82" s="6">
        <f>AVERAGE(S3:U3)</f>
        <v>21.38</v>
      </c>
      <c r="Y82">
        <v>1</v>
      </c>
      <c r="Z82">
        <v>1</v>
      </c>
    </row>
    <row r="83" spans="1:26" x14ac:dyDescent="0.25">
      <c r="A83" s="122">
        <v>173</v>
      </c>
      <c r="B83" s="122" t="s">
        <v>82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3"/>
      <c r="V83" s="13"/>
      <c r="W83" s="122" t="s">
        <v>193</v>
      </c>
      <c r="X83" s="6"/>
      <c r="Z83">
        <v>1</v>
      </c>
    </row>
    <row r="84" spans="1:26" x14ac:dyDescent="0.25">
      <c r="A84" s="13">
        <v>174</v>
      </c>
      <c r="B84" s="13" t="s">
        <v>83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3"/>
      <c r="V84" s="13"/>
      <c r="W84" s="6" t="s">
        <v>194</v>
      </c>
      <c r="X84" s="6"/>
    </row>
    <row r="85" spans="1:26" x14ac:dyDescent="0.25">
      <c r="A85" s="122">
        <v>175</v>
      </c>
      <c r="B85" s="122" t="s">
        <v>84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13"/>
      <c r="V85" s="13"/>
      <c r="W85" s="122" t="s">
        <v>193</v>
      </c>
      <c r="X85" s="6"/>
      <c r="Z85">
        <v>1</v>
      </c>
    </row>
    <row r="86" spans="1:26" x14ac:dyDescent="0.25">
      <c r="A86" s="6">
        <v>176</v>
      </c>
      <c r="B86" s="6" t="s">
        <v>85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20.58</v>
      </c>
      <c r="T86" s="6">
        <v>21.36</v>
      </c>
      <c r="U86" s="13">
        <v>21.13</v>
      </c>
      <c r="V86" s="13"/>
      <c r="W86" s="43">
        <f>AVERAGE(S86:U86)</f>
        <v>21.02333333333333</v>
      </c>
      <c r="X86" s="6">
        <f>AVERAGE(S3:U3)</f>
        <v>21.38</v>
      </c>
      <c r="Y86">
        <v>1</v>
      </c>
      <c r="Z86">
        <v>1</v>
      </c>
    </row>
    <row r="87" spans="1:26" x14ac:dyDescent="0.25">
      <c r="A87" s="6">
        <v>177</v>
      </c>
      <c r="B87" s="6" t="s">
        <v>86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20.49</v>
      </c>
      <c r="U87" s="13">
        <v>20.64</v>
      </c>
      <c r="V87" s="13">
        <v>19.78</v>
      </c>
      <c r="W87" s="43">
        <f>AVERAGE(T87:V87)</f>
        <v>20.303333333333331</v>
      </c>
      <c r="X87" s="43">
        <f>AVERAGE(T3:V3)</f>
        <v>20.983333333333331</v>
      </c>
      <c r="Y87">
        <v>1</v>
      </c>
      <c r="Z87">
        <v>1</v>
      </c>
    </row>
    <row r="88" spans="1:26" x14ac:dyDescent="0.25">
      <c r="A88" s="6">
        <v>178</v>
      </c>
      <c r="B88" s="6" t="s">
        <v>87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20.25</v>
      </c>
      <c r="U88" s="13">
        <v>20.65</v>
      </c>
      <c r="V88" s="13">
        <v>19.190000000000001</v>
      </c>
      <c r="W88" s="43">
        <f>AVERAGE(T88:V88)</f>
        <v>20.03</v>
      </c>
      <c r="X88" s="43">
        <f>AVERAGE(T3:V3)</f>
        <v>20.983333333333331</v>
      </c>
      <c r="Y88">
        <v>1</v>
      </c>
      <c r="Z88">
        <v>1</v>
      </c>
    </row>
    <row r="89" spans="1:26" x14ac:dyDescent="0.25">
      <c r="A89" s="6">
        <v>179</v>
      </c>
      <c r="B89" s="6" t="s">
        <v>88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6"/>
      <c r="U89" s="13">
        <v>20.92</v>
      </c>
      <c r="V89" s="13">
        <v>19.66</v>
      </c>
      <c r="W89" s="43"/>
      <c r="X89" s="43"/>
      <c r="Y89">
        <v>1</v>
      </c>
      <c r="Z89">
        <v>1</v>
      </c>
    </row>
    <row r="90" spans="1:26" x14ac:dyDescent="0.25">
      <c r="A90" s="6">
        <v>180</v>
      </c>
      <c r="B90" s="6" t="s">
        <v>89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6"/>
      <c r="U90" s="86">
        <v>20.399999999999999</v>
      </c>
      <c r="V90" s="86">
        <v>20.010000000000002</v>
      </c>
      <c r="W90" s="43"/>
      <c r="X90" s="43"/>
      <c r="Y90">
        <v>1</v>
      </c>
      <c r="Z90" s="143">
        <v>1</v>
      </c>
    </row>
    <row r="91" spans="1:26" x14ac:dyDescent="0.25">
      <c r="A91" s="6">
        <v>181</v>
      </c>
      <c r="B91" s="6" t="s">
        <v>90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17.940000000000001</v>
      </c>
      <c r="U91" s="13">
        <v>17.73</v>
      </c>
      <c r="V91" s="13">
        <v>17.53</v>
      </c>
      <c r="W91" s="43">
        <f>AVERAGE(T91:V91)</f>
        <v>17.733333333333334</v>
      </c>
      <c r="X91" s="43">
        <f>AVERAGE(T3:V3)</f>
        <v>20.983333333333331</v>
      </c>
      <c r="Y91">
        <v>1</v>
      </c>
      <c r="Z91">
        <v>1</v>
      </c>
    </row>
  </sheetData>
  <printOptions gridLines="1"/>
  <pageMargins left="0.7" right="0.7" top="0.75" bottom="0.75" header="0.3" footer="0.3"/>
  <pageSetup scale="30" fitToHeight="0" orientation="landscape" horizontalDpi="0" verticalDpi="0" r:id="rId1"/>
  <ignoredErrors>
    <ignoredError sqref="W33:X34 W36:X36 Q35 X35 X22:X25 X27:X31 X6:X20 Q36 Q33:Q34" formulaRange="1"/>
    <ignoredError sqref="W35" formula="1" formulaRange="1"/>
    <ignoredError sqref="W29 W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Titers</vt:lpstr>
      <vt:lpstr>Construction Summary</vt:lpstr>
      <vt:lpstr>Observed Mutations</vt:lpstr>
      <vt:lpstr>Fitness Assays</vt:lpstr>
      <vt:lpstr>Summary</vt:lpstr>
    </vt:vector>
  </TitlesOfParts>
  <Manager/>
  <Company>University of Idaho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Altman, Emma (ealtman@uidaho.edu)</dc:creator>
  <cp:keywords/>
  <dc:description/>
  <cp:lastModifiedBy>Altman, Emma (ealtman@uidaho.edu)</cp:lastModifiedBy>
  <cp:revision/>
  <cp:lastPrinted>2020-10-27T15:17:30Z</cp:lastPrinted>
  <dcterms:created xsi:type="dcterms:W3CDTF">2020-09-01T20:16:54Z</dcterms:created>
  <dcterms:modified xsi:type="dcterms:W3CDTF">2020-10-27T20:12:36Z</dcterms:modified>
  <cp:category/>
  <cp:contentStatus/>
</cp:coreProperties>
</file>