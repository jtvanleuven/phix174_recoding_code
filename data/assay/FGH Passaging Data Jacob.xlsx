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heets/sheet1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andalsuidaho-my.sharepoint.com/personal/ealtman_uidaho_edu/Documents/"/>
    </mc:Choice>
  </mc:AlternateContent>
  <xr:revisionPtr revIDLastSave="5472" documentId="8_{54343471-FAC9-41F1-A1D7-FCF98CF48B9F}" xr6:coauthVersionLast="47" xr6:coauthVersionMax="47" xr10:uidLastSave="{A3EBB924-5A9A-477D-9367-92EAFE18970D}"/>
  <bookViews>
    <workbookView xWindow="-108" yWindow="-108" windowWidth="23256" windowHeight="12576" activeTab="4" xr2:uid="{29DDCCC5-60BF-4408-B893-D4C15612E557}"/>
  </bookViews>
  <sheets>
    <sheet name="Sheet1" sheetId="6" r:id="rId1"/>
    <sheet name="titers-fitness" sheetId="1" r:id="rId2"/>
    <sheet name="Passaging Prep" sheetId="5" r:id="rId3"/>
    <sheet name="Passaging Data" sheetId="2" r:id="rId4"/>
    <sheet name="Summary" sheetId="13" r:id="rId5"/>
    <sheet name="Total Vol. Fitness" sheetId="10" r:id="rId6"/>
    <sheet name="Total Small Plaque Fitness" sheetId="11" r:id="rId7"/>
    <sheet name="Total Large Plaque Fitness" sheetId="12" r:id="rId8"/>
    <sheet name="Large Plaque Fitness" sheetId="8" r:id="rId9"/>
    <sheet name="Passage Data Fitness Graph " sheetId="14" r:id="rId10"/>
  </sheets>
  <calcPr calcId="191028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8" i="5" l="1"/>
  <c r="B10" i="5"/>
  <c r="B12" i="5" s="1"/>
  <c r="I12" i="2"/>
  <c r="AD12" i="8"/>
  <c r="AC12" i="8"/>
  <c r="H12" i="8"/>
  <c r="I12" i="8"/>
  <c r="Q31" i="12"/>
  <c r="Q30" i="12"/>
  <c r="AD11" i="8"/>
  <c r="AC11" i="8"/>
  <c r="H11" i="8"/>
  <c r="I11" i="8"/>
  <c r="AD10" i="8"/>
  <c r="AC10" i="8"/>
  <c r="H10" i="8"/>
  <c r="I10" i="8"/>
  <c r="I33" i="12"/>
  <c r="AD9" i="8"/>
  <c r="AC9" i="8"/>
  <c r="H9" i="8"/>
  <c r="I9" i="8"/>
  <c r="O31" i="12"/>
  <c r="O30" i="12"/>
  <c r="AG31" i="10"/>
  <c r="AG30" i="10"/>
  <c r="AG33" i="10"/>
  <c r="AK31" i="10"/>
  <c r="AK30" i="10"/>
  <c r="AJ33" i="10"/>
  <c r="AJ31" i="10"/>
  <c r="AJ30" i="10"/>
  <c r="P31" i="12"/>
  <c r="P30" i="12"/>
  <c r="P33" i="12"/>
  <c r="J31" i="12"/>
  <c r="J30" i="12"/>
  <c r="I31" i="12"/>
  <c r="I30" i="12"/>
  <c r="AK33" i="10"/>
  <c r="AE48" i="2"/>
  <c r="AD48" i="2"/>
  <c r="H48" i="2"/>
  <c r="I48" i="2"/>
  <c r="B86" i="5"/>
  <c r="B88" i="5" s="1"/>
  <c r="B95" i="5" s="1"/>
  <c r="AD47" i="2"/>
  <c r="AE47" i="2"/>
  <c r="H47" i="2"/>
  <c r="I47" i="2"/>
  <c r="H31" i="12"/>
  <c r="L31" i="12"/>
  <c r="L33" i="12" s="1"/>
  <c r="K31" i="12"/>
  <c r="L30" i="12"/>
  <c r="K30" i="12"/>
  <c r="K33" i="12" s="1"/>
  <c r="J33" i="12"/>
  <c r="H30" i="12"/>
  <c r="O31" i="10"/>
  <c r="AD31" i="10"/>
  <c r="AD30" i="10"/>
  <c r="AC31" i="10"/>
  <c r="AC30" i="10"/>
  <c r="AA31" i="10"/>
  <c r="AA30" i="10"/>
  <c r="Z31" i="10"/>
  <c r="Z33" i="10" s="1"/>
  <c r="Z30" i="10"/>
  <c r="X31" i="10"/>
  <c r="X33" i="10" s="1"/>
  <c r="X30" i="10"/>
  <c r="AB33" i="10"/>
  <c r="Y33" i="10"/>
  <c r="W33" i="10"/>
  <c r="T31" i="10"/>
  <c r="U31" i="10"/>
  <c r="V31" i="10"/>
  <c r="W31" i="10"/>
  <c r="W30" i="10"/>
  <c r="S31" i="10"/>
  <c r="R31" i="10"/>
  <c r="S30" i="10"/>
  <c r="S33" i="10" s="1"/>
  <c r="Y31" i="10"/>
  <c r="Y30" i="10"/>
  <c r="N31" i="12"/>
  <c r="N33" i="12" s="1"/>
  <c r="N30" i="12"/>
  <c r="M31" i="12"/>
  <c r="M33" i="12" s="1"/>
  <c r="M30" i="12"/>
  <c r="AI30" i="10"/>
  <c r="AI33" i="10" s="1"/>
  <c r="AH30" i="10"/>
  <c r="AI31" i="10"/>
  <c r="AH33" i="10"/>
  <c r="AH31" i="10"/>
  <c r="AD46" i="2"/>
  <c r="H46" i="2"/>
  <c r="I46" i="2"/>
  <c r="AE46" i="2" s="1"/>
  <c r="AE45" i="2"/>
  <c r="AD45" i="2"/>
  <c r="R30" i="10"/>
  <c r="R33" i="10" s="1"/>
  <c r="T30" i="10"/>
  <c r="T33" i="10" s="1"/>
  <c r="U30" i="10"/>
  <c r="V30" i="10"/>
  <c r="H45" i="2"/>
  <c r="I45" i="2"/>
  <c r="AD19" i="2"/>
  <c r="AE19" i="2" s="1"/>
  <c r="M30" i="10"/>
  <c r="AD18" i="2"/>
  <c r="AD21" i="2"/>
  <c r="AD22" i="2"/>
  <c r="AD23" i="2"/>
  <c r="AD24" i="2"/>
  <c r="AD25" i="2"/>
  <c r="AD26" i="2"/>
  <c r="AD27" i="2"/>
  <c r="AD28" i="2"/>
  <c r="AD29" i="2"/>
  <c r="AD30" i="2"/>
  <c r="AD31" i="2"/>
  <c r="AD32" i="2"/>
  <c r="AD33" i="2"/>
  <c r="AD34" i="2"/>
  <c r="AD35" i="2"/>
  <c r="AD36" i="2"/>
  <c r="AD37" i="2"/>
  <c r="AD38" i="2"/>
  <c r="AE38" i="2" s="1"/>
  <c r="AD39" i="2"/>
  <c r="AE39" i="2" s="1"/>
  <c r="AD40" i="2"/>
  <c r="AE40" i="2" s="1"/>
  <c r="AD41" i="2"/>
  <c r="AD42" i="2"/>
  <c r="AD43" i="2"/>
  <c r="AD44" i="2"/>
  <c r="Q31" i="10"/>
  <c r="Q30" i="10"/>
  <c r="P31" i="10"/>
  <c r="P30" i="10"/>
  <c r="O30" i="10"/>
  <c r="N31" i="10"/>
  <c r="M31" i="10"/>
  <c r="G30" i="12"/>
  <c r="F30" i="12"/>
  <c r="D30" i="12"/>
  <c r="E30" i="12"/>
  <c r="C30" i="12"/>
  <c r="F31" i="12"/>
  <c r="N30" i="10"/>
  <c r="AD15" i="2"/>
  <c r="AE15" i="2" s="1"/>
  <c r="I15" i="2"/>
  <c r="H15" i="2"/>
  <c r="I30" i="10"/>
  <c r="H30" i="10"/>
  <c r="L30" i="10"/>
  <c r="J30" i="10"/>
  <c r="I31" i="10"/>
  <c r="F30" i="10"/>
  <c r="I11" i="2"/>
  <c r="E30" i="10"/>
  <c r="E31" i="10"/>
  <c r="D30" i="10"/>
  <c r="C30" i="10"/>
  <c r="G30" i="10"/>
  <c r="K30" i="10"/>
  <c r="AB30" i="10"/>
  <c r="AE30" i="10"/>
  <c r="AF30" i="10"/>
  <c r="H44" i="2"/>
  <c r="I44" i="2"/>
  <c r="AF31" i="10"/>
  <c r="AB31" i="10"/>
  <c r="AE31" i="10"/>
  <c r="B60" i="5"/>
  <c r="B34" i="5"/>
  <c r="B61" i="5"/>
  <c r="B63" i="5"/>
  <c r="H43" i="2"/>
  <c r="I43" i="2"/>
  <c r="H42" i="2"/>
  <c r="I42" i="2"/>
  <c r="D31" i="12"/>
  <c r="AC5" i="8"/>
  <c r="AC6" i="8"/>
  <c r="AD5" i="8"/>
  <c r="AC8" i="8"/>
  <c r="AD8" i="8" s="1"/>
  <c r="AC7" i="8"/>
  <c r="I5" i="8"/>
  <c r="I6" i="8"/>
  <c r="I7" i="8"/>
  <c r="AD7" i="8" s="1"/>
  <c r="I8" i="8"/>
  <c r="I4" i="8"/>
  <c r="H5" i="8"/>
  <c r="H6" i="8"/>
  <c r="H7" i="8"/>
  <c r="H8" i="8"/>
  <c r="H4" i="8"/>
  <c r="AC4" i="8"/>
  <c r="AD4" i="8" s="1"/>
  <c r="G31" i="12"/>
  <c r="C31" i="12"/>
  <c r="E31" i="12"/>
  <c r="H41" i="2"/>
  <c r="I41" i="2"/>
  <c r="H95" i="5"/>
  <c r="H86" i="5"/>
  <c r="H94" i="5"/>
  <c r="H93" i="5"/>
  <c r="H89" i="5"/>
  <c r="H88" i="5"/>
  <c r="H40" i="2"/>
  <c r="I40" i="2"/>
  <c r="H39" i="2"/>
  <c r="I39" i="2"/>
  <c r="H38" i="2"/>
  <c r="I38" i="2"/>
  <c r="H37" i="2"/>
  <c r="I37" i="2"/>
  <c r="J31" i="10"/>
  <c r="G29" i="11"/>
  <c r="H28" i="11" s="1"/>
  <c r="H29" i="11"/>
  <c r="I28" i="11" s="1"/>
  <c r="I29" i="11"/>
  <c r="J28" i="11" s="1"/>
  <c r="J31" i="11" s="1"/>
  <c r="J29" i="11"/>
  <c r="K29" i="11"/>
  <c r="K31" i="11" s="1"/>
  <c r="L29" i="11"/>
  <c r="M29" i="11"/>
  <c r="N29" i="11"/>
  <c r="G31" i="11"/>
  <c r="M31" i="11"/>
  <c r="G28" i="11"/>
  <c r="K28" i="11"/>
  <c r="M28" i="11"/>
  <c r="N28" i="11"/>
  <c r="N31" i="11" s="1"/>
  <c r="B11" i="5"/>
  <c r="B36" i="5"/>
  <c r="L31" i="10"/>
  <c r="K31" i="10"/>
  <c r="H31" i="10"/>
  <c r="D23" i="10"/>
  <c r="D31" i="10" s="1"/>
  <c r="G31" i="10"/>
  <c r="F23" i="10"/>
  <c r="F22" i="10"/>
  <c r="H27" i="2"/>
  <c r="I27" i="2"/>
  <c r="I33" i="2"/>
  <c r="H33" i="2"/>
  <c r="I32" i="2"/>
  <c r="H32" i="2"/>
  <c r="I31" i="2"/>
  <c r="H31" i="2"/>
  <c r="H36" i="2"/>
  <c r="I36" i="2"/>
  <c r="B15" i="5"/>
  <c r="B41" i="5" s="1"/>
  <c r="B67" i="5" s="1"/>
  <c r="B93" i="5" s="1"/>
  <c r="H35" i="2"/>
  <c r="I35" i="2"/>
  <c r="H34" i="2"/>
  <c r="I34" i="2"/>
  <c r="H30" i="2"/>
  <c r="I30" i="2"/>
  <c r="H29" i="2"/>
  <c r="I29" i="2"/>
  <c r="B68" i="5"/>
  <c r="H28" i="2"/>
  <c r="I28" i="2"/>
  <c r="H26" i="2"/>
  <c r="I26" i="2"/>
  <c r="H25" i="2"/>
  <c r="I25" i="2"/>
  <c r="H24" i="2"/>
  <c r="I24" i="2"/>
  <c r="B94" i="5"/>
  <c r="B42" i="5"/>
  <c r="B37" i="5"/>
  <c r="B16" i="5"/>
  <c r="H23" i="2"/>
  <c r="I23" i="2"/>
  <c r="H22" i="2"/>
  <c r="I22" i="2"/>
  <c r="H21" i="2"/>
  <c r="I21" i="2"/>
  <c r="AD20" i="2"/>
  <c r="I20" i="2"/>
  <c r="H20" i="2"/>
  <c r="I10" i="2"/>
  <c r="F29" i="11"/>
  <c r="E28" i="11"/>
  <c r="E29" i="11"/>
  <c r="F28" i="11" s="1"/>
  <c r="F31" i="11" s="1"/>
  <c r="H19" i="2"/>
  <c r="I19" i="2"/>
  <c r="C29" i="11"/>
  <c r="D29" i="11"/>
  <c r="C28" i="11"/>
  <c r="H18" i="2"/>
  <c r="I18" i="2"/>
  <c r="D28" i="11"/>
  <c r="C31" i="11"/>
  <c r="C31" i="10"/>
  <c r="AD17" i="2"/>
  <c r="H17" i="2"/>
  <c r="I17" i="2"/>
  <c r="AD16" i="2"/>
  <c r="H16" i="2"/>
  <c r="I16" i="2"/>
  <c r="H11" i="2"/>
  <c r="AD12" i="2"/>
  <c r="I14" i="2"/>
  <c r="AD14" i="2"/>
  <c r="H14" i="2"/>
  <c r="AD13" i="2"/>
  <c r="I13" i="2"/>
  <c r="H13" i="2"/>
  <c r="H12" i="2"/>
  <c r="AD11" i="2"/>
  <c r="AD10" i="2"/>
  <c r="H10" i="2"/>
  <c r="Q33" i="12" l="1"/>
  <c r="O33" i="12"/>
  <c r="H33" i="12"/>
  <c r="C33" i="12"/>
  <c r="U33" i="10"/>
  <c r="V33" i="10"/>
  <c r="AD33" i="10"/>
  <c r="AC33" i="10"/>
  <c r="AA33" i="10"/>
  <c r="F33" i="12"/>
  <c r="AE33" i="10"/>
  <c r="AF33" i="10"/>
  <c r="AE44" i="2"/>
  <c r="AE43" i="2"/>
  <c r="AE42" i="2"/>
  <c r="AE41" i="2"/>
  <c r="Q33" i="10"/>
  <c r="P33" i="10"/>
  <c r="N33" i="10"/>
  <c r="M33" i="10"/>
  <c r="E33" i="10"/>
  <c r="O33" i="10"/>
  <c r="B89" i="5"/>
  <c r="L33" i="10"/>
  <c r="B87" i="5"/>
  <c r="AD6" i="8"/>
  <c r="E33" i="12"/>
  <c r="G33" i="12"/>
  <c r="D33" i="12"/>
  <c r="I95" i="5"/>
  <c r="H90" i="5"/>
  <c r="H87" i="5"/>
  <c r="I87" i="5" s="1"/>
  <c r="AE10" i="2"/>
  <c r="AE16" i="2"/>
  <c r="AE27" i="2"/>
  <c r="AE37" i="2"/>
  <c r="AE25" i="2"/>
  <c r="AE24" i="2"/>
  <c r="AE29" i="2"/>
  <c r="I31" i="11"/>
  <c r="L28" i="11"/>
  <c r="L31" i="11" s="1"/>
  <c r="H31" i="11"/>
  <c r="B43" i="5"/>
  <c r="C43" i="5" s="1"/>
  <c r="G33" i="10"/>
  <c r="D33" i="10"/>
  <c r="F31" i="10"/>
  <c r="F33" i="10" s="1"/>
  <c r="H33" i="10"/>
  <c r="K33" i="10"/>
  <c r="J33" i="10"/>
  <c r="I33" i="10"/>
  <c r="AE18" i="2"/>
  <c r="AE28" i="2"/>
  <c r="AE34" i="2"/>
  <c r="AE12" i="2"/>
  <c r="AE22" i="2"/>
  <c r="AE23" i="2"/>
  <c r="AE30" i="2"/>
  <c r="AE36" i="2"/>
  <c r="AE20" i="2"/>
  <c r="AE21" i="2"/>
  <c r="AE11" i="2"/>
  <c r="AE31" i="2"/>
  <c r="AE17" i="2"/>
  <c r="AE35" i="2"/>
  <c r="AE14" i="2"/>
  <c r="AE26" i="2"/>
  <c r="AE13" i="2"/>
  <c r="AE33" i="2"/>
  <c r="B62" i="5"/>
  <c r="B64" i="5" s="1"/>
  <c r="B38" i="5"/>
  <c r="AE32" i="2"/>
  <c r="C61" i="5"/>
  <c r="B35" i="5"/>
  <c r="C35" i="5" s="1"/>
  <c r="E31" i="11"/>
  <c r="D31" i="11"/>
  <c r="C33" i="10"/>
  <c r="C87" i="5" l="1"/>
  <c r="B69" i="5"/>
  <c r="C69" i="5" s="1"/>
  <c r="B9" i="5"/>
  <c r="B90" i="5" l="1"/>
  <c r="C95" i="5"/>
  <c r="C9" i="5"/>
  <c r="B17" i="5" l="1"/>
  <c r="C17" i="5" s="1"/>
</calcChain>
</file>

<file path=xl/sharedStrings.xml><?xml version="1.0" encoding="utf-8"?>
<sst xmlns="http://schemas.openxmlformats.org/spreadsheetml/2006/main" count="693" uniqueCount="152">
  <si>
    <t>Number</t>
  </si>
  <si>
    <t>Construct</t>
  </si>
  <si>
    <t>Titer</t>
  </si>
  <si>
    <t>Approx. fitness</t>
  </si>
  <si>
    <t>R107</t>
  </si>
  <si>
    <t>F random 75% rep 1</t>
  </si>
  <si>
    <t>R122</t>
  </si>
  <si>
    <t>G random 75% rep 1</t>
  </si>
  <si>
    <t>R139</t>
  </si>
  <si>
    <t>H random 75% rep 3</t>
  </si>
  <si>
    <t>Rand-3 FG-1</t>
  </si>
  <si>
    <t>Rand-3 FH-1</t>
  </si>
  <si>
    <t>Rand-3 GH</t>
  </si>
  <si>
    <t>Rand-3 FGH</t>
  </si>
  <si>
    <t>Flask Passaging</t>
  </si>
  <si>
    <t>Time (min)</t>
  </si>
  <si>
    <r>
      <t>OD/A</t>
    </r>
    <r>
      <rPr>
        <vertAlign val="subscript"/>
        <sz val="11"/>
        <color theme="1"/>
        <rFont val="Calibri"/>
        <family val="2"/>
        <scheme val="minor"/>
      </rPr>
      <t xml:space="preserve">600 </t>
    </r>
    <r>
      <rPr>
        <sz val="11"/>
        <color theme="1"/>
        <rFont val="Calibri"/>
        <family val="2"/>
        <scheme val="minor"/>
      </rPr>
      <t>(abs unit)</t>
    </r>
  </si>
  <si>
    <t>Date</t>
  </si>
  <si>
    <t>Construct(s)</t>
  </si>
  <si>
    <t>R107.1</t>
  </si>
  <si>
    <t>Approx. fitness of construct</t>
  </si>
  <si>
    <t>Passage Number(s)</t>
  </si>
  <si>
    <t>Titer from previous passage</t>
  </si>
  <si>
    <t>Amt of previous passage to add (mL)</t>
  </si>
  <si>
    <t>Amt of previous passage to add (uL)</t>
  </si>
  <si>
    <t>Approx. amt. to plate of previous passage ("T0")</t>
  </si>
  <si>
    <t>Approx. amt. to plate of this passage (T40)</t>
  </si>
  <si>
    <r>
      <t>High temp (</t>
    </r>
    <r>
      <rPr>
        <sz val="11"/>
        <color theme="1"/>
        <rFont val="Calibri"/>
        <family val="2"/>
      </rPr>
      <t>°C)</t>
    </r>
  </si>
  <si>
    <r>
      <t>Low temp (</t>
    </r>
    <r>
      <rPr>
        <sz val="11"/>
        <color theme="1"/>
        <rFont val="Calibri"/>
        <family val="2"/>
      </rPr>
      <t>°C)</t>
    </r>
  </si>
  <si>
    <t>Thermometer location</t>
  </si>
  <si>
    <t>Passaging flask location</t>
  </si>
  <si>
    <t>fill out during assay</t>
  </si>
  <si>
    <t>fill out before assay</t>
  </si>
  <si>
    <t>Dilutions to Plate</t>
  </si>
  <si>
    <t>T0</t>
  </si>
  <si>
    <t>T40</t>
  </si>
  <si>
    <r>
      <t>One-Flask Passaging Assays @ 37</t>
    </r>
    <r>
      <rPr>
        <vertAlign val="superscript"/>
        <sz val="11"/>
        <color theme="1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C</t>
    </r>
  </si>
  <si>
    <r>
      <t>Grew 90 ul 50X C (Apr2021) in 10 ml phage LB + 2 mM CaCl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to O.D. ~0.300, then aliquoted 1.5 ml into flask w/ 8.5 mL phage LB + 2 mM CaCl2</t>
    </r>
  </si>
  <si>
    <r>
      <t>Added 10</t>
    </r>
    <r>
      <rPr>
        <vertAlign val="superscript"/>
        <sz val="11"/>
        <color theme="1"/>
        <rFont val="Calibri"/>
        <family val="2"/>
        <scheme val="minor"/>
      </rPr>
      <t xml:space="preserve">5 </t>
    </r>
    <r>
      <rPr>
        <sz val="11"/>
        <color theme="1"/>
        <rFont val="Calibri"/>
        <family val="2"/>
        <scheme val="minor"/>
      </rPr>
      <t>phage to each assay according to titers (unless noted for low titer phages, highlighted in yellow for 10^4)</t>
    </r>
  </si>
  <si>
    <t>At T=40', sampled ~3 mL, 1.25 mL into each of two tubes w/ 100 uL CHCl3; vortex 30", spin down max speed 5', remove 1 mL aqueous layer into eppendorf (fridge storage) &amp; screw top cap w/ 250 uL glycerol (freezer storage)</t>
  </si>
  <si>
    <t>freeze screw top cap w/ liquid N2, dilute from fridge storage tube to plate T=40'</t>
  </si>
  <si>
    <t>plate "T=0" from tube used to innoculate passage</t>
  </si>
  <si>
    <t>repeat for 5 passages</t>
  </si>
  <si>
    <t>sample #</t>
  </si>
  <si>
    <r>
      <t>for 10</t>
    </r>
    <r>
      <rPr>
        <b/>
        <vertAlign val="superscript"/>
        <sz val="11"/>
        <color theme="1"/>
        <rFont val="Calibri"/>
        <family val="2"/>
        <scheme val="minor"/>
      </rPr>
      <t xml:space="preserve">5  </t>
    </r>
    <r>
      <rPr>
        <b/>
        <sz val="11"/>
        <color theme="1"/>
        <rFont val="Calibri"/>
        <family val="2"/>
        <scheme val="minor"/>
      </rPr>
      <t>(mL)</t>
    </r>
  </si>
  <si>
    <r>
      <t>for 10</t>
    </r>
    <r>
      <rPr>
        <b/>
        <vertAlign val="superscript"/>
        <sz val="11"/>
        <color theme="1"/>
        <rFont val="Calibri"/>
        <family val="2"/>
        <scheme val="minor"/>
      </rPr>
      <t xml:space="preserve">5  </t>
    </r>
    <r>
      <rPr>
        <b/>
        <sz val="11"/>
        <color theme="1"/>
        <rFont val="Calibri"/>
        <family val="2"/>
        <scheme val="minor"/>
      </rPr>
      <t>(uL)</t>
    </r>
  </si>
  <si>
    <t>counts</t>
  </si>
  <si>
    <t>dil</t>
  </si>
  <si>
    <t>actual # of phage added to assay</t>
  </si>
  <si>
    <t>T0 titer</t>
  </si>
  <si>
    <t>T40 titer</t>
  </si>
  <si>
    <t>fitness</t>
  </si>
  <si>
    <t>comment</t>
  </si>
  <si>
    <t>Sanger 2x mut</t>
  </si>
  <si>
    <t>PhiX174 Mutant Construct R01 Randoms Flask Passaging 2021 JXS</t>
  </si>
  <si>
    <t>Mutants Constructed ERA/LAS 2020 &amp; 2021</t>
  </si>
  <si>
    <t>Construct Name</t>
  </si>
  <si>
    <t>Mutant Genes</t>
  </si>
  <si>
    <t>Rand-3 F</t>
  </si>
  <si>
    <t>Rand-3 G</t>
  </si>
  <si>
    <t>Rand-3 H</t>
  </si>
  <si>
    <t>R107.2</t>
  </si>
  <si>
    <t>R107.3</t>
  </si>
  <si>
    <t>still no mutants</t>
  </si>
  <si>
    <t>might be mutants but waiting until next passage</t>
  </si>
  <si>
    <t>R107.4</t>
  </si>
  <si>
    <t>R122.1</t>
  </si>
  <si>
    <t>Small Plaque Count T40</t>
  </si>
  <si>
    <t>Small Plaque Count T0</t>
  </si>
  <si>
    <t>Passage</t>
  </si>
  <si>
    <t>Sample</t>
  </si>
  <si>
    <t xml:space="preserve"> </t>
  </si>
  <si>
    <t>T40 Additive Titer</t>
  </si>
  <si>
    <t>T0 additive Titer</t>
  </si>
  <si>
    <t>Total Vol. Fitness</t>
  </si>
  <si>
    <t>R122.2</t>
  </si>
  <si>
    <t>*small refers to within the same range of plaque size compared to plaques on the plate before the first passage</t>
  </si>
  <si>
    <t>Comments for T0</t>
  </si>
  <si>
    <t>uncountable</t>
  </si>
  <si>
    <t>R139.1</t>
  </si>
  <si>
    <t>R122.3</t>
  </si>
  <si>
    <t>R122.4</t>
  </si>
  <si>
    <t>too many</t>
  </si>
  <si>
    <t>Passage Time (hrs)</t>
  </si>
  <si>
    <t>Titer of flask (T0)</t>
  </si>
  <si>
    <t>Fitness from last passage</t>
  </si>
  <si>
    <t>Time for passages with low titers (min)</t>
  </si>
  <si>
    <t>Time for passages with low titers (hours)</t>
  </si>
  <si>
    <t>Actual time (hours)</t>
  </si>
  <si>
    <t>R139.2</t>
  </si>
  <si>
    <t>might have plated same dilution twice</t>
  </si>
  <si>
    <t xml:space="preserve">mutants by 2nd passage </t>
  </si>
  <si>
    <t>R139.4</t>
  </si>
  <si>
    <t>fitness went up with mutant on 5E-6 plate</t>
  </si>
  <si>
    <t>increase in fitness, no obvious mutants yet. Need to compare to first passage</t>
  </si>
  <si>
    <t>Passage #</t>
  </si>
  <si>
    <t>Plate Picture</t>
  </si>
  <si>
    <t>Mutants (Y/N)</t>
  </si>
  <si>
    <t>Passage Data Fitness</t>
  </si>
  <si>
    <t>Notes on Mutants</t>
  </si>
  <si>
    <t>T0 Titer</t>
  </si>
  <si>
    <t>T40 Titer</t>
  </si>
  <si>
    <t>R107.5</t>
  </si>
  <si>
    <t>R122.5</t>
  </si>
  <si>
    <t>R139.3</t>
  </si>
  <si>
    <t>R139.5</t>
  </si>
  <si>
    <t>n/a</t>
  </si>
  <si>
    <t>Sample (T0)</t>
  </si>
  <si>
    <t>here</t>
  </si>
  <si>
    <t>No</t>
  </si>
  <si>
    <t>N/A</t>
  </si>
  <si>
    <t>Yes</t>
  </si>
  <si>
    <t>no mutants, see lab notebook (7/8) for explaination of red values</t>
  </si>
  <si>
    <t>Correct values for these three passages, explaination in lab notebook (7/2)</t>
  </si>
  <si>
    <t>Rand-3 GH-1</t>
  </si>
  <si>
    <t>no mutants</t>
  </si>
  <si>
    <t>Replate</t>
  </si>
  <si>
    <t>test</t>
  </si>
  <si>
    <t>Mutant plaques appear to have a 'fuzzy halo' rather than being larger in size</t>
  </si>
  <si>
    <t>Large Plaque Fitness (Best Plate)</t>
  </si>
  <si>
    <t>Large Plaque Fitness (Additive)</t>
  </si>
  <si>
    <t>Time</t>
  </si>
  <si>
    <t>incubated plates for 3 hours before setting them on desk, mutants were more visible</t>
  </si>
  <si>
    <t>same as passage before</t>
  </si>
  <si>
    <t>plates were left on desk for too long making mutants less visible</t>
  </si>
  <si>
    <t>uL added to passage</t>
  </si>
  <si>
    <t>Rand-3 FGH-1</t>
  </si>
  <si>
    <t>uncontable</t>
  </si>
  <si>
    <t>mutant on 5E-6 plate</t>
  </si>
  <si>
    <t>mL added to asssay</t>
  </si>
  <si>
    <t xml:space="preserve">  </t>
  </si>
  <si>
    <t>mutants</t>
  </si>
  <si>
    <t>mL added to passage</t>
  </si>
  <si>
    <t>wrong dilution</t>
  </si>
  <si>
    <t>F rand 75% rep 1</t>
  </si>
  <si>
    <t>G rand 75% rep 1</t>
  </si>
  <si>
    <t>H rand 75% rep 3</t>
  </si>
  <si>
    <t>unknown</t>
  </si>
  <si>
    <t>after the third passage, all plaques look the same suggesting that it is possible the mutant plaques overcame the original plaques</t>
  </si>
  <si>
    <t>Large plaque fitness for 203.3-203.5 is unknown because after 203.3, large plaques where indistinguishable from small plaques. It also could be possible that the plate had nearly 100% mutant plaques.</t>
  </si>
  <si>
    <t>Info in notes</t>
  </si>
  <si>
    <t>no mutants after 5 passages</t>
  </si>
  <si>
    <t>no mutants, still ran pcr on a 5th passage plaque to be sure there are no mutants</t>
  </si>
  <si>
    <t>single mutant plaque on 5E-6 plate picuted here,</t>
  </si>
  <si>
    <t>plaque from previous passage has been sampled and ran through pcr (7/26)</t>
  </si>
  <si>
    <t>mutants on T40 of 2nd passage</t>
  </si>
  <si>
    <t>mutants are constantly increasing in frequency</t>
  </si>
  <si>
    <t>still mutants present by 5th passage</t>
  </si>
  <si>
    <t>wrong dilu.</t>
  </si>
  <si>
    <t>To Put on Poster</t>
  </si>
  <si>
    <t>8i433444re5</t>
  </si>
  <si>
    <t>s2m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</si>
</sst>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E+00"/>
  </numFmts>
  <fonts count="1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6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72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DAAAD2"/>
        <bgColor indexed="64"/>
      </patternFill>
    </fill>
    <fill>
      <patternFill patternType="solid">
        <fgColor rgb="FFD86694"/>
        <bgColor indexed="64"/>
      </patternFill>
    </fill>
    <fill>
      <patternFill patternType="solid">
        <fgColor rgb="FFFF531D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207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11" fontId="2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left"/>
    </xf>
    <xf numFmtId="11" fontId="0" fillId="0" borderId="1" xfId="0" applyNumberFormat="1" applyBorder="1"/>
    <xf numFmtId="0" fontId="1" fillId="0" borderId="0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0" fillId="0" borderId="4" xfId="0" applyBorder="1"/>
    <xf numFmtId="0" fontId="0" fillId="0" borderId="0" xfId="0" applyBorder="1"/>
    <xf numFmtId="11" fontId="0" fillId="0" borderId="0" xfId="0" applyNumberFormat="1" applyBorder="1" applyAlignment="1">
      <alignment horizontal="center"/>
    </xf>
    <xf numFmtId="0" fontId="0" fillId="0" borderId="0" xfId="0" applyAlignment="1">
      <alignment horizontal="left"/>
    </xf>
    <xf numFmtId="0" fontId="0" fillId="2" borderId="0" xfId="0" applyFill="1"/>
    <xf numFmtId="0" fontId="2" fillId="0" borderId="3" xfId="0" applyFont="1" applyBorder="1" applyAlignment="1">
      <alignment horizontal="center" wrapText="1"/>
    </xf>
    <xf numFmtId="11" fontId="2" fillId="0" borderId="3" xfId="0" applyNumberFormat="1" applyFont="1" applyBorder="1" applyAlignment="1">
      <alignment horizontal="center" wrapText="1"/>
    </xf>
    <xf numFmtId="0" fontId="0" fillId="3" borderId="0" xfId="0" applyFill="1"/>
    <xf numFmtId="0" fontId="0" fillId="4" borderId="0" xfId="0" applyFill="1"/>
    <xf numFmtId="14" fontId="0" fillId="2" borderId="1" xfId="0" applyNumberFormat="1" applyFill="1" applyBorder="1"/>
    <xf numFmtId="2" fontId="0" fillId="0" borderId="1" xfId="0" applyNumberFormat="1" applyBorder="1" applyAlignment="1">
      <alignment horizontal="left"/>
    </xf>
    <xf numFmtId="0" fontId="0" fillId="2" borderId="1" xfId="0" applyFill="1" applyBorder="1"/>
    <xf numFmtId="11" fontId="0" fillId="2" borderId="1" xfId="0" applyNumberFormat="1" applyFill="1" applyBorder="1"/>
    <xf numFmtId="0" fontId="0" fillId="3" borderId="1" xfId="0" applyFill="1" applyBorder="1"/>
    <xf numFmtId="0" fontId="1" fillId="0" borderId="1" xfId="0" applyFont="1" applyBorder="1" applyAlignment="1">
      <alignment horizontal="left"/>
    </xf>
    <xf numFmtId="0" fontId="0" fillId="0" borderId="0" xfId="0" applyAlignment="1">
      <alignment horizontal="right"/>
    </xf>
    <xf numFmtId="0" fontId="2" fillId="0" borderId="3" xfId="0" applyFont="1" applyBorder="1" applyAlignment="1">
      <alignment horizontal="right"/>
    </xf>
    <xf numFmtId="2" fontId="0" fillId="2" borderId="1" xfId="0" applyNumberFormat="1" applyFill="1" applyBorder="1"/>
    <xf numFmtId="0" fontId="0" fillId="0" borderId="6" xfId="0" applyBorder="1"/>
    <xf numFmtId="0" fontId="0" fillId="0" borderId="7" xfId="0" applyBorder="1"/>
    <xf numFmtId="11" fontId="0" fillId="0" borderId="0" xfId="0" applyNumberFormat="1"/>
    <xf numFmtId="11" fontId="0" fillId="0" borderId="0" xfId="0" applyNumberFormat="1" applyBorder="1"/>
    <xf numFmtId="0" fontId="0" fillId="0" borderId="8" xfId="0" applyBorder="1" applyAlignment="1">
      <alignment horizontal="right"/>
    </xf>
    <xf numFmtId="11" fontId="0" fillId="0" borderId="8" xfId="0" applyNumberFormat="1" applyBorder="1"/>
    <xf numFmtId="14" fontId="0" fillId="0" borderId="1" xfId="0" applyNumberFormat="1" applyBorder="1"/>
    <xf numFmtId="0" fontId="0" fillId="0" borderId="1" xfId="0" applyBorder="1" applyAlignment="1">
      <alignment horizontal="right"/>
    </xf>
    <xf numFmtId="11" fontId="0" fillId="0" borderId="9" xfId="0" applyNumberFormat="1" applyBorder="1"/>
    <xf numFmtId="0" fontId="0" fillId="0" borderId="1" xfId="0" applyFill="1" applyBorder="1"/>
    <xf numFmtId="2" fontId="0" fillId="0" borderId="1" xfId="0" applyNumberFormat="1" applyBorder="1"/>
    <xf numFmtId="0" fontId="2" fillId="0" borderId="3" xfId="0" applyFont="1" applyBorder="1"/>
    <xf numFmtId="11" fontId="2" fillId="0" borderId="3" xfId="0" applyNumberFormat="1" applyFont="1" applyBorder="1" applyAlignment="1">
      <alignment horizontal="center"/>
    </xf>
    <xf numFmtId="11" fontId="2" fillId="0" borderId="10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1" xfId="0" applyBorder="1"/>
    <xf numFmtId="0" fontId="8" fillId="0" borderId="1" xfId="0" applyFont="1" applyBorder="1"/>
    <xf numFmtId="0" fontId="0" fillId="0" borderId="0" xfId="0" applyAlignment="1"/>
    <xf numFmtId="14" fontId="0" fillId="0" borderId="1" xfId="0" applyNumberFormat="1" applyBorder="1" applyAlignment="1"/>
    <xf numFmtId="0" fontId="0" fillId="0" borderId="12" xfId="0" applyBorder="1"/>
    <xf numFmtId="0" fontId="0" fillId="0" borderId="13" xfId="0" applyBorder="1"/>
    <xf numFmtId="0" fontId="0" fillId="0" borderId="0" xfId="0" applyBorder="1" applyAlignment="1">
      <alignment vertical="center"/>
    </xf>
    <xf numFmtId="11" fontId="0" fillId="0" borderId="1" xfId="0" applyNumberFormat="1" applyFill="1" applyBorder="1"/>
    <xf numFmtId="0" fontId="8" fillId="0" borderId="1" xfId="0" applyFont="1" applyFill="1" applyBorder="1"/>
    <xf numFmtId="14" fontId="0" fillId="0" borderId="0" xfId="0" applyNumberFormat="1" applyAlignment="1"/>
    <xf numFmtId="11" fontId="2" fillId="5" borderId="1" xfId="0" applyNumberFormat="1" applyFont="1" applyFill="1" applyBorder="1" applyAlignment="1">
      <alignment horizontal="center"/>
    </xf>
    <xf numFmtId="0" fontId="0" fillId="0" borderId="0" xfId="0" applyNumberFormat="1"/>
    <xf numFmtId="0" fontId="0" fillId="0" borderId="0" xfId="0" applyFill="1" applyBorder="1"/>
    <xf numFmtId="14" fontId="0" fillId="0" borderId="0" xfId="0" applyNumberFormat="1" applyFill="1" applyBorder="1"/>
    <xf numFmtId="0" fontId="0" fillId="0" borderId="0" xfId="0" applyFill="1" applyBorder="1" applyAlignment="1">
      <alignment horizontal="left"/>
    </xf>
    <xf numFmtId="2" fontId="0" fillId="2" borderId="1" xfId="0" applyNumberFormat="1" applyFill="1" applyBorder="1" applyAlignment="1">
      <alignment horizontal="left"/>
    </xf>
    <xf numFmtId="2" fontId="0" fillId="0" borderId="0" xfId="0" applyNumberFormat="1"/>
    <xf numFmtId="0" fontId="0" fillId="0" borderId="1" xfId="0" applyNumberFormat="1" applyBorder="1"/>
    <xf numFmtId="0" fontId="9" fillId="0" borderId="1" xfId="0" applyFont="1" applyFill="1" applyBorder="1"/>
    <xf numFmtId="14" fontId="0" fillId="0" borderId="0" xfId="0" applyNumberFormat="1"/>
    <xf numFmtId="0" fontId="0" fillId="0" borderId="1" xfId="0" applyNumberFormat="1" applyFill="1" applyBorder="1"/>
    <xf numFmtId="14" fontId="2" fillId="0" borderId="1" xfId="0" applyNumberFormat="1" applyFont="1" applyBorder="1"/>
    <xf numFmtId="14" fontId="0" fillId="0" borderId="1" xfId="0" applyNumberFormat="1" applyFont="1" applyBorder="1"/>
    <xf numFmtId="0" fontId="0" fillId="0" borderId="1" xfId="0" applyFont="1" applyBorder="1" applyAlignment="1">
      <alignment horizontal="right"/>
    </xf>
    <xf numFmtId="0" fontId="0" fillId="0" borderId="1" xfId="0" applyFont="1" applyBorder="1"/>
    <xf numFmtId="11" fontId="0" fillId="0" borderId="1" xfId="0" applyNumberFormat="1" applyFont="1" applyBorder="1"/>
    <xf numFmtId="0" fontId="0" fillId="0" borderId="1" xfId="0" applyNumberFormat="1" applyFont="1" applyBorder="1"/>
    <xf numFmtId="0" fontId="0" fillId="0" borderId="1" xfId="0" applyFont="1" applyFill="1" applyBorder="1"/>
    <xf numFmtId="0" fontId="0" fillId="2" borderId="1" xfId="0" applyFont="1" applyFill="1" applyBorder="1"/>
    <xf numFmtId="0" fontId="0" fillId="0" borderId="5" xfId="0" applyFont="1" applyBorder="1"/>
    <xf numFmtId="0" fontId="0" fillId="0" borderId="0" xfId="0" applyFont="1"/>
    <xf numFmtId="0" fontId="0" fillId="0" borderId="1" xfId="0" applyNumberFormat="1" applyFont="1" applyFill="1" applyBorder="1"/>
    <xf numFmtId="11" fontId="0" fillId="0" borderId="1" xfId="0" applyNumberFormat="1" applyFont="1" applyFill="1" applyBorder="1"/>
    <xf numFmtId="14" fontId="0" fillId="0" borderId="13" xfId="0" applyNumberFormat="1" applyBorder="1"/>
    <xf numFmtId="14" fontId="0" fillId="0" borderId="12" xfId="0" applyNumberFormat="1" applyBorder="1"/>
    <xf numFmtId="0" fontId="0" fillId="0" borderId="13" xfId="0" applyBorder="1" applyAlignment="1">
      <alignment horizontal="left"/>
    </xf>
    <xf numFmtId="0" fontId="0" fillId="0" borderId="12" xfId="0" applyBorder="1" applyAlignment="1">
      <alignment horizontal="left"/>
    </xf>
    <xf numFmtId="11" fontId="0" fillId="0" borderId="2" xfId="0" applyNumberFormat="1" applyBorder="1"/>
    <xf numFmtId="2" fontId="0" fillId="0" borderId="2" xfId="0" applyNumberFormat="1" applyBorder="1"/>
    <xf numFmtId="0" fontId="0" fillId="0" borderId="0" xfId="0" applyAlignment="1">
      <alignment horizontal="center"/>
    </xf>
    <xf numFmtId="14" fontId="0" fillId="0" borderId="1" xfId="0" applyNumberFormat="1" applyFont="1" applyFill="1" applyBorder="1"/>
    <xf numFmtId="0" fontId="0" fillId="0" borderId="1" xfId="0" applyFont="1" applyFill="1" applyBorder="1" applyAlignment="1">
      <alignment horizontal="right"/>
    </xf>
    <xf numFmtId="0" fontId="0" fillId="0" borderId="5" xfId="0" applyFont="1" applyFill="1" applyBorder="1"/>
    <xf numFmtId="0" fontId="0" fillId="0" borderId="0" xfId="0" applyFont="1" applyFill="1"/>
    <xf numFmtId="0" fontId="10" fillId="0" borderId="0" xfId="1" applyAlignment="1">
      <alignment horizontal="center"/>
    </xf>
    <xf numFmtId="2" fontId="0" fillId="0" borderId="0" xfId="0" applyNumberFormat="1" applyAlignment="1">
      <alignment horizontal="center"/>
    </xf>
    <xf numFmtId="0" fontId="11" fillId="0" borderId="0" xfId="0" applyFont="1"/>
    <xf numFmtId="11" fontId="8" fillId="0" borderId="1" xfId="0" applyNumberFormat="1" applyFont="1" applyBorder="1"/>
    <xf numFmtId="0" fontId="8" fillId="0" borderId="1" xfId="0" applyFont="1" applyBorder="1" applyAlignment="1">
      <alignment horizontal="right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2" fontId="0" fillId="0" borderId="5" xfId="0" applyNumberFormat="1" applyFont="1" applyBorder="1"/>
    <xf numFmtId="0" fontId="9" fillId="2" borderId="1" xfId="0" applyFont="1" applyFill="1" applyBorder="1"/>
    <xf numFmtId="14" fontId="0" fillId="0" borderId="1" xfId="0" applyNumberFormat="1" applyBorder="1" applyAlignment="1">
      <alignment horizontal="left"/>
    </xf>
    <xf numFmtId="49" fontId="0" fillId="0" borderId="1" xfId="0" applyNumberFormat="1" applyBorder="1" applyAlignment="1">
      <alignment horizontal="center"/>
    </xf>
    <xf numFmtId="0" fontId="0" fillId="0" borderId="1" xfId="0" applyNumberFormat="1" applyBorder="1" applyAlignment="1">
      <alignment horizontal="center"/>
    </xf>
    <xf numFmtId="0" fontId="2" fillId="0" borderId="1" xfId="0" applyFont="1" applyBorder="1" applyAlignment="1">
      <alignment horizontal="right"/>
    </xf>
    <xf numFmtId="0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11" fontId="2" fillId="0" borderId="1" xfId="0" applyNumberFormat="1" applyFont="1" applyBorder="1" applyAlignment="1">
      <alignment horizontal="center" wrapText="1"/>
    </xf>
    <xf numFmtId="11" fontId="2" fillId="5" borderId="1" xfId="0" applyNumberFormat="1" applyFont="1" applyFill="1" applyBorder="1" applyAlignment="1">
      <alignment horizontal="center" wrapText="1"/>
    </xf>
    <xf numFmtId="11" fontId="0" fillId="0" borderId="1" xfId="0" applyNumberFormat="1" applyBorder="1" applyAlignment="1">
      <alignment horizontal="left"/>
    </xf>
    <xf numFmtId="0" fontId="0" fillId="0" borderId="1" xfId="0" applyFill="1" applyBorder="1" applyAlignment="1">
      <alignment horizontal="right"/>
    </xf>
    <xf numFmtId="0" fontId="0" fillId="4" borderId="1" xfId="0" applyFill="1" applyBorder="1"/>
    <xf numFmtId="11" fontId="0" fillId="4" borderId="1" xfId="0" applyNumberFormat="1" applyFill="1" applyBorder="1"/>
    <xf numFmtId="0" fontId="0" fillId="4" borderId="1" xfId="0" applyNumberFormat="1" applyFill="1" applyBorder="1"/>
    <xf numFmtId="0" fontId="0" fillId="4" borderId="1" xfId="0" applyFill="1" applyBorder="1" applyAlignment="1">
      <alignment horizontal="right"/>
    </xf>
    <xf numFmtId="0" fontId="0" fillId="2" borderId="1" xfId="0" applyNumberFormat="1" applyFill="1" applyBorder="1"/>
    <xf numFmtId="0" fontId="0" fillId="0" borderId="0" xfId="0" applyBorder="1" applyAlignment="1">
      <alignment horizontal="center" vertical="center"/>
    </xf>
    <xf numFmtId="11" fontId="0" fillId="0" borderId="5" xfId="0" applyNumberFormat="1" applyBorder="1"/>
    <xf numFmtId="0" fontId="0" fillId="0" borderId="5" xfId="0" applyBorder="1"/>
    <xf numFmtId="2" fontId="0" fillId="0" borderId="1" xfId="0" applyNumberFormat="1" applyBorder="1" applyAlignment="1">
      <alignment horizontal="center"/>
    </xf>
    <xf numFmtId="11" fontId="9" fillId="0" borderId="1" xfId="0" applyNumberFormat="1" applyFont="1" applyBorder="1"/>
    <xf numFmtId="2" fontId="9" fillId="0" borderId="1" xfId="0" applyNumberFormat="1" applyFont="1" applyBorder="1" applyAlignment="1">
      <alignment horizontal="center"/>
    </xf>
    <xf numFmtId="14" fontId="0" fillId="0" borderId="5" xfId="0" applyNumberFormat="1" applyBorder="1"/>
    <xf numFmtId="2" fontId="0" fillId="0" borderId="5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3" xfId="0" applyBorder="1"/>
    <xf numFmtId="14" fontId="0" fillId="0" borderId="3" xfId="0" applyNumberFormat="1" applyBorder="1"/>
    <xf numFmtId="2" fontId="0" fillId="0" borderId="3" xfId="0" applyNumberFormat="1" applyBorder="1" applyAlignment="1">
      <alignment horizontal="center"/>
    </xf>
    <xf numFmtId="11" fontId="0" fillId="0" borderId="3" xfId="0" applyNumberFormat="1" applyBorder="1"/>
    <xf numFmtId="0" fontId="0" fillId="0" borderId="3" xfId="0" applyBorder="1" applyAlignment="1">
      <alignment horizontal="center"/>
    </xf>
    <xf numFmtId="0" fontId="0" fillId="0" borderId="2" xfId="0" applyBorder="1"/>
    <xf numFmtId="0" fontId="0" fillId="0" borderId="15" xfId="0" applyBorder="1"/>
    <xf numFmtId="14" fontId="0" fillId="0" borderId="15" xfId="0" applyNumberFormat="1" applyBorder="1"/>
    <xf numFmtId="2" fontId="0" fillId="0" borderId="15" xfId="0" applyNumberFormat="1" applyBorder="1" applyAlignment="1">
      <alignment horizontal="center"/>
    </xf>
    <xf numFmtId="11" fontId="0" fillId="0" borderId="15" xfId="0" applyNumberFormat="1" applyBorder="1"/>
    <xf numFmtId="0" fontId="0" fillId="0" borderId="15" xfId="0" applyBorder="1" applyAlignment="1">
      <alignment horizontal="center"/>
    </xf>
    <xf numFmtId="164" fontId="0" fillId="0" borderId="1" xfId="0" applyNumberFormat="1" applyBorder="1"/>
    <xf numFmtId="0" fontId="0" fillId="7" borderId="1" xfId="0" applyFill="1" applyBorder="1"/>
    <xf numFmtId="0" fontId="0" fillId="10" borderId="0" xfId="0" applyFill="1"/>
    <xf numFmtId="14" fontId="0" fillId="0" borderId="2" xfId="0" applyNumberFormat="1" applyBorder="1" applyAlignment="1"/>
    <xf numFmtId="0" fontId="0" fillId="3" borderId="2" xfId="0" applyFill="1" applyBorder="1"/>
    <xf numFmtId="0" fontId="0" fillId="0" borderId="2" xfId="0" applyBorder="1" applyAlignment="1">
      <alignment horizontal="left"/>
    </xf>
    <xf numFmtId="0" fontId="0" fillId="0" borderId="16" xfId="0" applyBorder="1"/>
    <xf numFmtId="0" fontId="0" fillId="0" borderId="17" xfId="0" applyBorder="1"/>
    <xf numFmtId="2" fontId="0" fillId="0" borderId="3" xfId="0" applyNumberFormat="1" applyBorder="1"/>
    <xf numFmtId="2" fontId="9" fillId="0" borderId="3" xfId="0" applyNumberFormat="1" applyFont="1" applyBorder="1"/>
    <xf numFmtId="11" fontId="0" fillId="0" borderId="12" xfId="0" applyNumberFormat="1" applyBorder="1"/>
    <xf numFmtId="0" fontId="0" fillId="0" borderId="2" xfId="0" applyFill="1" applyBorder="1" applyAlignment="1">
      <alignment horizontal="right"/>
    </xf>
    <xf numFmtId="0" fontId="0" fillId="0" borderId="2" xfId="0" applyFill="1" applyBorder="1"/>
    <xf numFmtId="0" fontId="0" fillId="10" borderId="1" xfId="0" applyFill="1" applyBorder="1"/>
    <xf numFmtId="0" fontId="0" fillId="0" borderId="9" xfId="0" applyBorder="1"/>
    <xf numFmtId="0" fontId="0" fillId="6" borderId="1" xfId="0" applyFill="1" applyBorder="1"/>
    <xf numFmtId="2" fontId="0" fillId="0" borderId="11" xfId="0" applyNumberFormat="1" applyBorder="1"/>
    <xf numFmtId="0" fontId="0" fillId="9" borderId="1" xfId="0" applyFill="1" applyBorder="1"/>
    <xf numFmtId="0" fontId="0" fillId="8" borderId="1" xfId="0" applyFill="1" applyBorder="1"/>
    <xf numFmtId="0" fontId="0" fillId="7" borderId="18" xfId="0" applyFill="1" applyBorder="1"/>
    <xf numFmtId="0" fontId="0" fillId="7" borderId="17" xfId="0" applyFill="1" applyBorder="1"/>
    <xf numFmtId="0" fontId="0" fillId="11" borderId="17" xfId="0" applyFill="1" applyBorder="1"/>
    <xf numFmtId="0" fontId="0" fillId="2" borderId="19" xfId="0" applyFill="1" applyBorder="1"/>
    <xf numFmtId="0" fontId="9" fillId="0" borderId="1" xfId="0" applyFont="1" applyBorder="1"/>
    <xf numFmtId="0" fontId="9" fillId="0" borderId="1" xfId="0" applyFont="1" applyBorder="1" applyAlignment="1">
      <alignment horizontal="right"/>
    </xf>
    <xf numFmtId="14" fontId="9" fillId="0" borderId="1" xfId="0" applyNumberFormat="1" applyFont="1" applyBorder="1"/>
    <xf numFmtId="2" fontId="0" fillId="12" borderId="1" xfId="0" applyNumberFormat="1" applyFill="1" applyBorder="1" applyAlignment="1">
      <alignment horizontal="center"/>
    </xf>
    <xf numFmtId="2" fontId="0" fillId="12" borderId="5" xfId="0" applyNumberFormat="1" applyFill="1" applyBorder="1" applyAlignment="1">
      <alignment horizontal="center"/>
    </xf>
    <xf numFmtId="0" fontId="8" fillId="13" borderId="1" xfId="0" applyFont="1" applyFill="1" applyBorder="1"/>
    <xf numFmtId="2" fontId="0" fillId="13" borderId="1" xfId="0" applyNumberFormat="1" applyFill="1" applyBorder="1"/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5" xfId="0" applyBorder="1" applyAlignment="1">
      <alignment horizontal="left"/>
    </xf>
    <xf numFmtId="0" fontId="10" fillId="0" borderId="15" xfId="1" applyFill="1" applyBorder="1" applyAlignment="1">
      <alignment horizontal="left"/>
    </xf>
    <xf numFmtId="0" fontId="0" fillId="0" borderId="1" xfId="0" applyBorder="1" applyAlignment="1">
      <alignment horizontal="center"/>
    </xf>
    <xf numFmtId="0" fontId="0" fillId="13" borderId="1" xfId="0" applyNumberFormat="1" applyFill="1" applyBorder="1"/>
    <xf numFmtId="0" fontId="9" fillId="10" borderId="17" xfId="0" applyFont="1" applyFill="1" applyBorder="1"/>
    <xf numFmtId="0" fontId="0" fillId="6" borderId="19" xfId="0" applyFill="1" applyBorder="1"/>
    <xf numFmtId="0" fontId="0" fillId="9" borderId="19" xfId="0" applyFill="1" applyBorder="1"/>
    <xf numFmtId="0" fontId="0" fillId="8" borderId="19" xfId="0" applyFill="1" applyBorder="1"/>
    <xf numFmtId="0" fontId="0" fillId="0" borderId="14" xfId="0" applyFill="1" applyBorder="1"/>
    <xf numFmtId="11" fontId="0" fillId="0" borderId="14" xfId="0" applyNumberFormat="1" applyFill="1" applyBorder="1"/>
    <xf numFmtId="0" fontId="2" fillId="5" borderId="1" xfId="0" applyFont="1" applyFill="1" applyBorder="1"/>
    <xf numFmtId="14" fontId="2" fillId="5" borderId="1" xfId="0" applyNumberFormat="1" applyFont="1" applyFill="1" applyBorder="1"/>
    <xf numFmtId="2" fontId="2" fillId="5" borderId="1" xfId="0" applyNumberFormat="1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11" fontId="2" fillId="5" borderId="1" xfId="0" applyNumberFormat="1" applyFont="1" applyFill="1" applyBorder="1"/>
    <xf numFmtId="0" fontId="2" fillId="5" borderId="12" xfId="0" applyFont="1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2" fontId="0" fillId="4" borderId="3" xfId="0" applyNumberFormat="1" applyFill="1" applyBorder="1" applyAlignment="1">
      <alignment horizontal="center"/>
    </xf>
    <xf numFmtId="2" fontId="0" fillId="4" borderId="1" xfId="0" applyNumberFormat="1" applyFill="1" applyBorder="1" applyAlignment="1">
      <alignment horizontal="center"/>
    </xf>
    <xf numFmtId="0" fontId="10" fillId="4" borderId="0" xfId="1" applyFill="1" applyAlignment="1">
      <alignment horizontal="center"/>
    </xf>
    <xf numFmtId="0" fontId="0" fillId="4" borderId="3" xfId="0" applyFill="1" applyBorder="1"/>
    <xf numFmtId="0" fontId="0" fillId="4" borderId="1" xfId="0" applyFill="1" applyBorder="1" applyAlignment="1">
      <alignment horizontal="left"/>
    </xf>
    <xf numFmtId="0" fontId="0" fillId="2" borderId="0" xfId="0" applyFill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left" vertical="center"/>
    </xf>
    <xf numFmtId="14" fontId="0" fillId="0" borderId="2" xfId="0" applyNumberFormat="1" applyBorder="1" applyAlignment="1">
      <alignment horizontal="left"/>
    </xf>
    <xf numFmtId="14" fontId="0" fillId="0" borderId="15" xfId="0" applyNumberFormat="1" applyBorder="1" applyAlignment="1">
      <alignment horizontal="left"/>
    </xf>
    <xf numFmtId="14" fontId="0" fillId="0" borderId="12" xfId="0" applyNumberFormat="1" applyBorder="1" applyAlignment="1">
      <alignment horizontal="left"/>
    </xf>
    <xf numFmtId="0" fontId="0" fillId="0" borderId="20" xfId="0" applyBorder="1" applyAlignment="1">
      <alignment vertical="top" wrapText="1"/>
    </xf>
    <xf numFmtId="0" fontId="0" fillId="0" borderId="0" xfId="0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0" fillId="0" borderId="0" xfId="0" applyFill="1" applyBorder="1" applyAlignment="1">
      <alignment horizontal="left" wrapText="1"/>
    </xf>
    <xf numFmtId="0" fontId="0" fillId="0" borderId="4" xfId="0" applyFill="1" applyBorder="1" applyAlignment="1">
      <alignment horizontal="left" wrapText="1"/>
    </xf>
    <xf numFmtId="0" fontId="0" fillId="4" borderId="0" xfId="0" applyFill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0" xfId="0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F531D"/>
      <color rgb="FFDAAAD2"/>
      <color rgb="FFD86694"/>
      <color rgb="FFFF9725"/>
      <color rgb="FFFFFF00"/>
      <color rgb="FFFF481D"/>
      <color rgb="FFFC8420"/>
      <color rgb="FFD866AF"/>
      <color rgb="FFFF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hartsheet" Target="chartsheets/sheet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5"/>
          <c:order val="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Summary!$D$2:$D$6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Summary!$E$2:$E$6</c:f>
              <c:numCache>
                <c:formatCode>0.00</c:formatCode>
                <c:ptCount val="5"/>
                <c:pt idx="0">
                  <c:v>13.197100000000001</c:v>
                </c:pt>
                <c:pt idx="1">
                  <c:v>14.554779175694236</c:v>
                </c:pt>
                <c:pt idx="2">
                  <c:v>14.575208366974408</c:v>
                </c:pt>
                <c:pt idx="3">
                  <c:v>15.06092592556417</c:v>
                </c:pt>
                <c:pt idx="4">
                  <c:v>14.553022469715929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 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0256-431E-BC8D-C8E1FA6D5D5E}"/>
            </c:ext>
          </c:extLst>
        </c:ser>
        <c:ser>
          <c:idx val="6"/>
          <c:order val="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trendline>
            <c:spPr>
              <a:ln w="50800" cap="rnd">
                <a:solidFill>
                  <a:schemeClr val="accent1">
                    <a:lumMod val="60000"/>
                  </a:schemeClr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Summary!$D$8:$D$12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Summary!$E$8:$E$12</c:f>
              <c:numCache>
                <c:formatCode>0.00</c:formatCode>
                <c:ptCount val="5"/>
                <c:pt idx="0">
                  <c:v>11.574890375654801</c:v>
                </c:pt>
                <c:pt idx="1">
                  <c:v>12.639359147924335</c:v>
                </c:pt>
                <c:pt idx="2">
                  <c:v>11.637131477334473</c:v>
                </c:pt>
                <c:pt idx="3">
                  <c:v>13.202989747290138</c:v>
                </c:pt>
                <c:pt idx="4">
                  <c:v>13.068315728928642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 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0256-431E-BC8D-C8E1FA6D5D5E}"/>
            </c:ext>
          </c:extLst>
        </c:ser>
        <c:ser>
          <c:idx val="7"/>
          <c:order val="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60000"/>
                  </a:schemeClr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Summary!$D$14:$D$18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Summary!$E$14:$E$18</c:f>
              <c:numCache>
                <c:formatCode>0.00</c:formatCode>
                <c:ptCount val="5"/>
                <c:pt idx="0">
                  <c:v>16.130934643470255</c:v>
                </c:pt>
                <c:pt idx="1">
                  <c:v>16.666007292533013</c:v>
                </c:pt>
                <c:pt idx="2">
                  <c:v>17.102350471131533</c:v>
                </c:pt>
                <c:pt idx="3">
                  <c:v>16.403803767166846</c:v>
                </c:pt>
                <c:pt idx="4">
                  <c:v>16.928759708063048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 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7-0256-431E-BC8D-C8E1FA6D5D5E}"/>
            </c:ext>
          </c:extLst>
        </c:ser>
        <c:ser>
          <c:idx val="4"/>
          <c:order val="7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5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50800" cap="rnd">
                <a:solidFill>
                  <a:schemeClr val="accent5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Summary!$D$20:$D$24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Summary!$E$20:$E$24</c:f>
              <c:numCache>
                <c:formatCode>0.00</c:formatCode>
                <c:ptCount val="5"/>
                <c:pt idx="0">
                  <c:v>5.5871871385824896</c:v>
                </c:pt>
                <c:pt idx="1">
                  <c:v>6.8407331408142076</c:v>
                </c:pt>
                <c:pt idx="2">
                  <c:v>9.8188394875173373</c:v>
                </c:pt>
                <c:pt idx="3">
                  <c:v>9.9651456415112527</c:v>
                </c:pt>
                <c:pt idx="4">
                  <c:v>9.3192847581221727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 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D-0256-431E-BC8D-C8E1FA6D5D5E}"/>
            </c:ext>
          </c:extLst>
        </c:ser>
        <c:ser>
          <c:idx val="9"/>
          <c:order val="9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>
                    <a:lumMod val="60000"/>
                  </a:schemeClr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4">
                    <a:lumMod val="60000"/>
                  </a:schemeClr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Summary!$D$26:$D$30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Summary!$E$26:$E$30</c:f>
              <c:numCache>
                <c:formatCode>0.00</c:formatCode>
                <c:ptCount val="5"/>
                <c:pt idx="0">
                  <c:v>9.3987436919381935</c:v>
                </c:pt>
                <c:pt idx="1">
                  <c:v>9.7033268414598144</c:v>
                </c:pt>
                <c:pt idx="2">
                  <c:v>10.398095871971812</c:v>
                </c:pt>
                <c:pt idx="3">
                  <c:v>10.697848945880837</c:v>
                </c:pt>
                <c:pt idx="4">
                  <c:v>8.2770623775073222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 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F-0256-431E-BC8D-C8E1FA6D5D5E}"/>
            </c:ext>
          </c:extLst>
        </c:ser>
        <c:ser>
          <c:idx val="11"/>
          <c:order val="1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>
                    <a:lumMod val="60000"/>
                  </a:schemeClr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Summary!$D$32:$D$36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Summary!$E$32:$E$36</c:f>
              <c:numCache>
                <c:formatCode>0.00</c:formatCode>
                <c:ptCount val="5"/>
                <c:pt idx="0">
                  <c:v>8.6674590890781467</c:v>
                </c:pt>
                <c:pt idx="1">
                  <c:v>9.4497418444115571</c:v>
                </c:pt>
                <c:pt idx="2">
                  <c:v>9.9499999999999993</c:v>
                </c:pt>
                <c:pt idx="3">
                  <c:v>9.5264992391365659</c:v>
                </c:pt>
                <c:pt idx="4">
                  <c:v>8.7571121672779828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 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1-0256-431E-BC8D-C8E1FA6D5D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6789696"/>
        <c:axId val="1586788448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0"/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Summary!$D$2:$D$6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(Summary!$F$2:$F$6,Summary!$E$2:$E$6)</c15:sqref>
                        </c15:formulaRef>
                      </c:ext>
                    </c:extLst>
                    <c:numCache>
                      <c:formatCode>0.00</c:formatCode>
                      <c:ptCount val="10"/>
                      <c:pt idx="0">
                        <c:v>13.43948826002206</c:v>
                      </c:pt>
                      <c:pt idx="1">
                        <c:v>15.388955414366837</c:v>
                      </c:pt>
                      <c:pt idx="2">
                        <c:v>14.463994200337885</c:v>
                      </c:pt>
                      <c:pt idx="3">
                        <c:v>15.072033786746118</c:v>
                      </c:pt>
                      <c:pt idx="4">
                        <c:v>14.356302604776452</c:v>
                      </c:pt>
                      <c:pt idx="5">
                        <c:v>13.197100000000001</c:v>
                      </c:pt>
                      <c:pt idx="6">
                        <c:v>14.554779175694236</c:v>
                      </c:pt>
                      <c:pt idx="7">
                        <c:v>14.575208366974408</c:v>
                      </c:pt>
                      <c:pt idx="8">
                        <c:v>15.06092592556417</c:v>
                      </c:pt>
                      <c:pt idx="9">
                        <c:v>14.553022469715929</c:v>
                      </c:pt>
                    </c:numCache>
                  </c:numRef>
                </c:yVal>
                <c:smooth val="0"/>
                <c:extLst>
                  <c:ext uri="{02D57815-91ED-43cb-92C2-25804820EDAC}">
                    <c15:filteredSeriesTitle>
                      <c15:tx>
                        <c:strRef>
                          <c:extLst>
                            <c:ext uri="{02D57815-91ED-43cb-92C2-25804820EDAC}">
                              <c15:formulaRef>
                                <c15:sqref> </c15:sqref>
                              </c15:formulaRef>
                            </c:ext>
                          </c:extLst>
                        </c:strRef>
                      </c15:tx>
                    </c15:filteredSeriesTitle>
                  </c:ext>
                  <c:ext xmlns:c16="http://schemas.microsoft.com/office/drawing/2014/chart" uri="{C3380CC4-5D6E-409C-BE32-E72D297353CC}">
                    <c16:uniqueId val="{00000000-0256-431E-BC8D-C8E1FA6D5D5E}"/>
                  </c:ext>
                </c:extLst>
              </c15:ser>
            </c15:filteredScatterSeries>
            <c15:filteredScatterSeries>
              <c15:ser>
                <c:idx val="2"/>
                <c:order val="1"/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Summary!$D$8:$D$12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(Summary!$F$8:$F$12,Summary!$E$8:$E$12)</c15:sqref>
                        </c15:formulaRef>
                      </c:ext>
                    </c:extLst>
                    <c:numCache>
                      <c:formatCode>0.00</c:formatCode>
                      <c:ptCount val="10"/>
                      <c:pt idx="0">
                        <c:v>11.693641625573736</c:v>
                      </c:pt>
                      <c:pt idx="1">
                        <c:v>12.76931410011699</c:v>
                      </c:pt>
                      <c:pt idx="2">
                        <c:v>12.087254623354184</c:v>
                      </c:pt>
                      <c:pt idx="3">
                        <c:v>13.272947481649759</c:v>
                      </c:pt>
                      <c:pt idx="4">
                        <c:v>12.981950598418177</c:v>
                      </c:pt>
                      <c:pt idx="5">
                        <c:v>11.574890375654801</c:v>
                      </c:pt>
                      <c:pt idx="6">
                        <c:v>12.639359147924335</c:v>
                      </c:pt>
                      <c:pt idx="7">
                        <c:v>11.637131477334473</c:v>
                      </c:pt>
                      <c:pt idx="8">
                        <c:v>13.202989747290138</c:v>
                      </c:pt>
                      <c:pt idx="9">
                        <c:v>13.068315728928642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5="http://schemas.microsoft.com/office/drawing/2012/chart" uri="{02D57815-91ED-43cb-92C2-25804820EDAC}">
                    <c15:filteredSeriesTitle>
                      <c15:tx>
                        <c:strRef>
                          <c:extLst>
                            <c:ext uri="{02D57815-91ED-43cb-92C2-25804820EDAC}">
                              <c15:formulaRef>
                                <c15:sqref> </c15:sqref>
                              </c15:formulaRef>
                            </c:ext>
                          </c:extLst>
                        </c:strRef>
                      </c15:tx>
                    </c15:filteredSeriesTitle>
                  </c:ext>
                  <c:ext xmlns:c16="http://schemas.microsoft.com/office/drawing/2014/chart" uri="{C3380CC4-5D6E-409C-BE32-E72D297353CC}">
                    <c16:uniqueId val="{00000001-0256-431E-BC8D-C8E1FA6D5D5E}"/>
                  </c:ext>
                </c:extLst>
              </c15:ser>
            </c15:filteredScatterSeries>
            <c15:filteredScatterSeries>
              <c15:ser>
                <c:idx val="3"/>
                <c:order val="2"/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Summary!$D$14:$D$18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(Summary!$F$14:$F$18,Summary!$E$14:$E$18)</c15:sqref>
                        </c15:formulaRef>
                      </c:ext>
                    </c:extLst>
                    <c:numCache>
                      <c:formatCode>0.00</c:formatCode>
                      <c:ptCount val="10"/>
                      <c:pt idx="0">
                        <c:v>16.501112605904261</c:v>
                      </c:pt>
                      <c:pt idx="1">
                        <c:v>16.934887358469858</c:v>
                      </c:pt>
                      <c:pt idx="2">
                        <c:v>17.532911016943771</c:v>
                      </c:pt>
                      <c:pt idx="3">
                        <c:v>16.504359063866861</c:v>
                      </c:pt>
                      <c:pt idx="4">
                        <c:v>16.971821350262775</c:v>
                      </c:pt>
                      <c:pt idx="5">
                        <c:v>16.130934643470255</c:v>
                      </c:pt>
                      <c:pt idx="6">
                        <c:v>16.666007292533013</c:v>
                      </c:pt>
                      <c:pt idx="7">
                        <c:v>17.102350471131533</c:v>
                      </c:pt>
                      <c:pt idx="8">
                        <c:v>16.403803767166846</c:v>
                      </c:pt>
                      <c:pt idx="9">
                        <c:v>16.928759708063048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5="http://schemas.microsoft.com/office/drawing/2012/chart" uri="{02D57815-91ED-43cb-92C2-25804820EDAC}">
                    <c15:filteredSeriesTitle>
                      <c15:tx>
                        <c:strRef>
                          <c:extLst>
                            <c:ext uri="{02D57815-91ED-43cb-92C2-25804820EDAC}">
                              <c15:formulaRef>
                                <c15:sqref> </c15:sqref>
                              </c15:formulaRef>
                            </c:ext>
                          </c:extLst>
                        </c:strRef>
                      </c15:tx>
                    </c15:filteredSeriesTitle>
                  </c:ext>
                  <c:ext xmlns:c16="http://schemas.microsoft.com/office/drawing/2014/chart" uri="{C3380CC4-5D6E-409C-BE32-E72D297353CC}">
                    <c16:uniqueId val="{00000002-0256-431E-BC8D-C8E1FA6D5D5E}"/>
                  </c:ext>
                </c:extLst>
              </c15:ser>
            </c15:filteredScatterSeries>
            <c15:filteredScatterSeries>
              <c15:ser>
                <c:idx val="0"/>
                <c:order val="6"/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Summary!$D$20:$D$24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Summary!$F$20:$F$24</c15:sqref>
                        </c15:formulaRef>
                      </c:ext>
                    </c:extLst>
                    <c:numCache>
                      <c:formatCode>0.00</c:formatCode>
                      <c:ptCount val="5"/>
                      <c:pt idx="0">
                        <c:v>6.4120300800700356</c:v>
                      </c:pt>
                      <c:pt idx="1">
                        <c:v>6.8713249695228678</c:v>
                      </c:pt>
                      <c:pt idx="2">
                        <c:v>7.230108825707755</c:v>
                      </c:pt>
                      <c:pt idx="3">
                        <c:v>10.17094530072797</c:v>
                      </c:pt>
                      <c:pt idx="4">
                        <c:v>11.033128498737966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5="http://schemas.microsoft.com/office/drawing/2012/chart" uri="{02D57815-91ED-43cb-92C2-25804820EDAC}">
                    <c15:filteredSeriesTitle>
                      <c15:tx>
                        <c:strRef>
                          <c:extLst>
                            <c:ext uri="{02D57815-91ED-43cb-92C2-25804820EDAC}">
                              <c15:formulaRef>
                                <c15:sqref> </c15:sqref>
                              </c15:formulaRef>
                            </c:ext>
                          </c:extLst>
                        </c:strRef>
                      </c15:tx>
                    </c15:filteredSeriesTitle>
                  </c:ext>
                  <c:ext xmlns:c16="http://schemas.microsoft.com/office/drawing/2014/chart" uri="{C3380CC4-5D6E-409C-BE32-E72D297353CC}">
                    <c16:uniqueId val="{0000000C-0256-431E-BC8D-C8E1FA6D5D5E}"/>
                  </c:ext>
                </c:extLst>
              </c15:ser>
            </c15:filteredScatterSeries>
            <c15:filteredScatterSeries>
              <c15:ser>
                <c:idx val="8"/>
                <c:order val="8"/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>
                        <a:lumMod val="60000"/>
                      </a:schemeClr>
                    </a:solidFill>
                    <a:ln w="9525">
                      <a:solidFill>
                        <a:schemeClr val="accent3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Summary!$D$26:$D$30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Summary!$F$26:$F$30</c15:sqref>
                        </c15:formulaRef>
                      </c:ext>
                    </c:extLst>
                    <c:numCache>
                      <c:formatCode>0.00</c:formatCode>
                      <c:ptCount val="5"/>
                      <c:pt idx="0">
                        <c:v>8.9877890240140719</c:v>
                      </c:pt>
                      <c:pt idx="1">
                        <c:v>9.6532265224160234</c:v>
                      </c:pt>
                      <c:pt idx="2">
                        <c:v>10.259511276091489</c:v>
                      </c:pt>
                      <c:pt idx="3">
                        <c:v>10.673071814170402</c:v>
                      </c:pt>
                      <c:pt idx="4">
                        <c:v>9.0189775670650274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5="http://schemas.microsoft.com/office/drawing/2012/chart" uri="{02D57815-91ED-43cb-92C2-25804820EDAC}">
                    <c15:filteredSeriesTitle>
                      <c15:tx>
                        <c:strRef>
                          <c:extLst>
                            <c:ext uri="{02D57815-91ED-43cb-92C2-25804820EDAC}">
                              <c15:formulaRef>
                                <c15:sqref> </c15:sqref>
                              </c15:formulaRef>
                            </c:ext>
                          </c:extLst>
                        </c:strRef>
                      </c15:tx>
                    </c15:filteredSeriesTitle>
                  </c:ext>
                  <c:ext xmlns:c16="http://schemas.microsoft.com/office/drawing/2014/chart" uri="{C3380CC4-5D6E-409C-BE32-E72D297353CC}">
                    <c16:uniqueId val="{0000000E-0256-431E-BC8D-C8E1FA6D5D5E}"/>
                  </c:ext>
                </c:extLst>
              </c15:ser>
            </c15:filteredScatterSeries>
            <c15:filteredScatterSeries>
              <c15:ser>
                <c:idx val="10"/>
                <c:order val="10"/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>
                        <a:lumMod val="60000"/>
                      </a:schemeClr>
                    </a:solidFill>
                    <a:ln w="9525">
                      <a:solidFill>
                        <a:schemeClr val="accent5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Summary!$D$32:$D$36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Summary!$F$32:$F$36</c15:sqref>
                        </c15:formulaRef>
                      </c:ext>
                    </c:extLst>
                    <c:numCache>
                      <c:formatCode>0.00</c:formatCode>
                      <c:ptCount val="5"/>
                      <c:pt idx="0">
                        <c:v>8.7161744950120195</c:v>
                      </c:pt>
                      <c:pt idx="1">
                        <c:v>9.3019867897650368</c:v>
                      </c:pt>
                      <c:pt idx="2">
                        <c:v>10.02405830695656</c:v>
                      </c:pt>
                      <c:pt idx="3">
                        <c:v>9.6234796206638187</c:v>
                      </c:pt>
                      <c:pt idx="4">
                        <c:v>8.7615373663255642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5="http://schemas.microsoft.com/office/drawing/2012/chart" uri="{02D57815-91ED-43cb-92C2-25804820EDAC}">
                    <c15:filteredSeriesTitle>
                      <c15:tx>
                        <c:strRef>
                          <c:extLst>
                            <c:ext uri="{02D57815-91ED-43cb-92C2-25804820EDAC}">
                              <c15:formulaRef>
                                <c15:sqref> </c15:sqref>
                              </c15:formulaRef>
                            </c:ext>
                          </c:extLst>
                        </c:strRef>
                      </c15:tx>
                    </c15:filteredSeriesTitle>
                  </c:ext>
                  <c:ext xmlns:c16="http://schemas.microsoft.com/office/drawing/2014/chart" uri="{C3380CC4-5D6E-409C-BE32-E72D297353CC}">
                    <c16:uniqueId val="{00000010-0256-431E-BC8D-C8E1FA6D5D5E}"/>
                  </c:ext>
                </c:extLst>
              </c15:ser>
            </c15:filteredScatterSeries>
          </c:ext>
        </c:extLst>
      </c:scatterChart>
      <c:valAx>
        <c:axId val="1586789696"/>
        <c:scaling>
          <c:orientation val="minMax"/>
          <c:max val="5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Passage</a:t>
                </a:r>
                <a:r>
                  <a:rPr lang="en-US" baseline="0"/>
                  <a:t> Number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6788448"/>
        <c:crosses val="autoZero"/>
        <c:crossBetween val="midCat"/>
        <c:majorUnit val="1"/>
      </c:valAx>
      <c:valAx>
        <c:axId val="1586788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 Fitness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6789696"/>
        <c:crosses val="autoZero"/>
        <c:crossBetween val="midCat"/>
        <c:majorUnit val="2"/>
      </c:valAx>
      <c:spPr>
        <a:noFill/>
        <a:ln>
          <a:noFill/>
        </a:ln>
        <a:effectLst/>
      </c:spPr>
    </c:plotArea>
    <c:legend>
      <c:legendPos val="r"/>
      <c:legendEntry>
        <c:idx val="6"/>
        <c:delete val="1"/>
      </c:legendEntry>
      <c:legendEntry>
        <c:idx val="8"/>
        <c:delete val="1"/>
      </c:legendEntry>
      <c:legendEntry>
        <c:idx val="1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48FE85F9-2AB9-4A2F-8D79-057FA42AB0E2}">
  <sheetPr/>
  <sheetViews>
    <sheetView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6320" cy="627888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0E3810F-568E-4653-A8A4-5A897FD34B1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3" Type="http://schemas.openxmlformats.org/officeDocument/2006/relationships/hyperlink" Target="file:///C:\Users\xavie\OneDrive\Documents\Wichman-Miller%20Lab\Plate%20Pictures\R139-R139.5\R139.3%20T0.JPG" TargetMode="External"/><Relationship Id="rId18" Type="http://schemas.openxmlformats.org/officeDocument/2006/relationships/hyperlink" Target="file:///C:\Users\xavie\OneDrive\Documents\Wichman-Miller%20Lab\Plate%20Pictures\203-203.5\203.3%20T0.JPG" TargetMode="External"/><Relationship Id="rId26" Type="http://schemas.openxmlformats.org/officeDocument/2006/relationships/hyperlink" Target="file:///C:\Users\xavie\OneDrive\Documents\Wichman-Miller%20Lab\Plate%20Pictures\223-223.5\223.1%20T0.JPG" TargetMode="External"/><Relationship Id="rId21" Type="http://schemas.openxmlformats.org/officeDocument/2006/relationships/hyperlink" Target="file:///C:\Users\xavie\OneDrive\Documents\Wichman-Miller%20Lab\Plate%20Pictures\206-206.5\206.1%20T0.JPG" TargetMode="External"/><Relationship Id="rId34" Type="http://schemas.openxmlformats.org/officeDocument/2006/relationships/hyperlink" Target="file:///C:\Users\xavie\OneDrive\Documents\Wichman-Miller%20Lab\Plate%20Pictures\224-224.5\224.3%20T0.JPG" TargetMode="External"/><Relationship Id="rId7" Type="http://schemas.openxmlformats.org/officeDocument/2006/relationships/hyperlink" Target="file:///C:\Users\xavie\OneDrive\Documents\Plate%20Pictures\R122.2%20T40.JPG" TargetMode="External"/><Relationship Id="rId12" Type="http://schemas.openxmlformats.org/officeDocument/2006/relationships/hyperlink" Target="file:///C:\Users\xavie\OneDrive\Documents\Wichman-Miller%20Lab\Plate%20Pictures\R122-R122.5\R122.5%20T40.JPG" TargetMode="External"/><Relationship Id="rId17" Type="http://schemas.openxmlformats.org/officeDocument/2006/relationships/hyperlink" Target="file:///C:\Users\xavie\OneDrive\Documents\Wichman-Miller%20Lab\Plate%20Pictures\203-203.5\203.2%20T0.JPG" TargetMode="External"/><Relationship Id="rId25" Type="http://schemas.openxmlformats.org/officeDocument/2006/relationships/hyperlink" Target="file:///C:\Users\xavie\OneDrive\Documents\Wichman-Miller%20Lab\Plate%20Pictures\206-206.5\206.5%20T40.JPG" TargetMode="External"/><Relationship Id="rId33" Type="http://schemas.openxmlformats.org/officeDocument/2006/relationships/hyperlink" Target="file:///C:\Users\xavie\OneDrive\Documents\Wichman-Miller%20Lab\Plate%20Pictures\224-224.5\224.2%20T0.JPG" TargetMode="External"/><Relationship Id="rId2" Type="http://schemas.openxmlformats.org/officeDocument/2006/relationships/hyperlink" Target="file:///C:\Users\xavie\OneDrive\Documents\Wichman-Miller%20Lab\Plate%20Pictures\R107-R107.5\R107.2%20T40.JPG" TargetMode="External"/><Relationship Id="rId16" Type="http://schemas.openxmlformats.org/officeDocument/2006/relationships/hyperlink" Target="file:///C:\Users\xavie\OneDrive\Documents\Wichman-Miller%20Lab\Plate%20Pictures\203-203.5\203.1%20T0.JPG" TargetMode="External"/><Relationship Id="rId20" Type="http://schemas.openxmlformats.org/officeDocument/2006/relationships/hyperlink" Target="file:///C:\Users\xavie\OneDrive\Documents\Wichman-Miller%20Lab\Plate%20Pictures\203-203.5\203.5%20T40.JPG" TargetMode="External"/><Relationship Id="rId29" Type="http://schemas.openxmlformats.org/officeDocument/2006/relationships/hyperlink" Target="file:///C:\Users\xavie\OneDrive\Documents\Wichman-Miller%20Lab\Plate%20Pictures\223-223.5\223.4%20T0.JPG" TargetMode="External"/><Relationship Id="rId1" Type="http://schemas.openxmlformats.org/officeDocument/2006/relationships/hyperlink" Target="file:///C:\Users\xavie\OneDrive\Documents\Wichman-Miller%20Lab\Plate%20Pictures\R107-R107.5\R107.1%20T0.JPG" TargetMode="External"/><Relationship Id="rId6" Type="http://schemas.openxmlformats.org/officeDocument/2006/relationships/hyperlink" Target="file:///C:\Users\xavie\OneDrive\Documents\Plate%20Pictures\R122.1%20T40.JPG" TargetMode="External"/><Relationship Id="rId11" Type="http://schemas.openxmlformats.org/officeDocument/2006/relationships/hyperlink" Target="file:///C:\Users\xavie\OneDrive\Documents\Plate%20Pictures\R139.2%20T40.JPG" TargetMode="External"/><Relationship Id="rId24" Type="http://schemas.openxmlformats.org/officeDocument/2006/relationships/hyperlink" Target="file:///C:\Users\xavie\OneDrive\Documents\Wichman-Miller%20Lab\Plate%20Pictures\206-206.5\206.4%20T0.JPG" TargetMode="External"/><Relationship Id="rId32" Type="http://schemas.openxmlformats.org/officeDocument/2006/relationships/hyperlink" Target="file:///C:\Users\xavie\OneDrive\Documents\Wichman-Miller%20Lab\Plate%20Pictures\224-224.5\224.1%20T0.JPG" TargetMode="External"/><Relationship Id="rId37" Type="http://schemas.openxmlformats.org/officeDocument/2006/relationships/printerSettings" Target="../printerSettings/printerSettings5.bin"/><Relationship Id="rId5" Type="http://schemas.openxmlformats.org/officeDocument/2006/relationships/hyperlink" Target="file:///C:\Users\xavie\OneDrive\Documents\Plate%20Pictures\R107.5%20T40.JPG" TargetMode="External"/><Relationship Id="rId15" Type="http://schemas.openxmlformats.org/officeDocument/2006/relationships/hyperlink" Target="file:///C:\Users\xavie\OneDrive\Documents\Wichman-Miller%20Lab\Plate%20Pictures\R139-R139.5\R139.5%20T40.JPG" TargetMode="External"/><Relationship Id="rId23" Type="http://schemas.openxmlformats.org/officeDocument/2006/relationships/hyperlink" Target="file:///C:\Users\xavie\OneDrive\Documents\Wichman-Miller%20Lab\Plate%20Pictures\206-206.5\206.3%20T0.JPG" TargetMode="External"/><Relationship Id="rId28" Type="http://schemas.openxmlformats.org/officeDocument/2006/relationships/hyperlink" Target="file:///C:\Users\xavie\OneDrive\Documents\Wichman-Miller%20Lab\Plate%20Pictures\223-223.5\223.3%20T0.JPG" TargetMode="External"/><Relationship Id="rId36" Type="http://schemas.openxmlformats.org/officeDocument/2006/relationships/hyperlink" Target="file:///C:\Users\xavie\OneDrive\Documents\Wichman-Miller%20Lab\Plate%20Pictures\224-224.5\224.5%20T40.JPG" TargetMode="External"/><Relationship Id="rId10" Type="http://schemas.openxmlformats.org/officeDocument/2006/relationships/hyperlink" Target="file:///C:\Users\xavie\OneDrive\Documents\Plate%20Pictures\R139.1%20T40.JPG" TargetMode="External"/><Relationship Id="rId19" Type="http://schemas.openxmlformats.org/officeDocument/2006/relationships/hyperlink" Target="file:///C:\Users\xavie\OneDrive\Documents\Wichman-Miller%20Lab\Plate%20Pictures\203-203.5\203.4%20T0.JPG" TargetMode="External"/><Relationship Id="rId31" Type="http://schemas.openxmlformats.org/officeDocument/2006/relationships/hyperlink" Target="file:///C:\Users\xavie\OneDrive\Documents\Wichman-Miller%20Lab\Plate%20Pictures\223-223.5\223.4%20T40%20with%20mutant.JPG" TargetMode="External"/><Relationship Id="rId4" Type="http://schemas.openxmlformats.org/officeDocument/2006/relationships/hyperlink" Target="file:///C:\Users\xavie\OneDrive\Documents\Plate%20Pictures\R107.4%20T40.JPG" TargetMode="External"/><Relationship Id="rId9" Type="http://schemas.openxmlformats.org/officeDocument/2006/relationships/hyperlink" Target="file:///C:\Users\xavie\OneDrive\Documents\Plate%20Pictures\R122.4%20T40.JPG" TargetMode="External"/><Relationship Id="rId14" Type="http://schemas.openxmlformats.org/officeDocument/2006/relationships/hyperlink" Target="file:///C:\Users\xavie\OneDrive\Documents\Wichman-Miller%20Lab\Plate%20Pictures\R139-R139.5\R139.4%20T40.JPG" TargetMode="External"/><Relationship Id="rId22" Type="http://schemas.openxmlformats.org/officeDocument/2006/relationships/hyperlink" Target="file:///C:\Users\xavie\OneDrive\Documents\Wichman-Miller%20Lab\Plate%20Pictures\206-206.5\206.2%20T0.JPG" TargetMode="External"/><Relationship Id="rId27" Type="http://schemas.openxmlformats.org/officeDocument/2006/relationships/hyperlink" Target="file:///C:\Users\xavie\OneDrive\Documents\Wichman-Miller%20Lab\Plate%20Pictures\223-223.5\223.2%20T0.JPG" TargetMode="External"/><Relationship Id="rId30" Type="http://schemas.openxmlformats.org/officeDocument/2006/relationships/hyperlink" Target="file:///C:\Users\xavie\OneDrive\Documents\Wichman-Miller%20Lab\Plate%20Pictures\223-223.5\223.5%20T0.JPG" TargetMode="External"/><Relationship Id="rId35" Type="http://schemas.openxmlformats.org/officeDocument/2006/relationships/hyperlink" Target="file:///C:\Users\xavie\OneDrive\Documents\Wichman-Miller%20Lab\Plate%20Pictures\224-224.5\224.4%20T0.JPG" TargetMode="External"/><Relationship Id="rId8" Type="http://schemas.openxmlformats.org/officeDocument/2006/relationships/hyperlink" Target="file:///C:\Users\xavie\OneDrive\Documents\Plate%20Pictures\R122.3%20T0.JPG" TargetMode="External"/><Relationship Id="rId3" Type="http://schemas.openxmlformats.org/officeDocument/2006/relationships/hyperlink" Target="file:///C:\Users\xavie\OneDrive\Documents\Plate%20Pictures\R107.3%20T40.JPG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606CA-93E3-48A8-AFE6-42F51A912376}">
  <sheetPr>
    <pageSetUpPr fitToPage="1"/>
  </sheetPr>
  <dimension ref="A1:F16"/>
  <sheetViews>
    <sheetView workbookViewId="0">
      <selection activeCell="B3" sqref="B3:F10"/>
    </sheetView>
  </sheetViews>
  <sheetFormatPr defaultRowHeight="14.4" x14ac:dyDescent="0.3"/>
  <cols>
    <col min="3" max="3" width="15.33203125" bestFit="1" customWidth="1"/>
    <col min="4" max="6" width="20" bestFit="1" customWidth="1"/>
  </cols>
  <sheetData>
    <row r="1" spans="1:6" x14ac:dyDescent="0.3">
      <c r="A1" t="s">
        <v>54</v>
      </c>
    </row>
    <row r="2" spans="1:6" x14ac:dyDescent="0.3">
      <c r="A2" t="s">
        <v>55</v>
      </c>
    </row>
    <row r="3" spans="1:6" x14ac:dyDescent="0.3">
      <c r="B3" s="1" t="s">
        <v>0</v>
      </c>
      <c r="C3" s="1" t="s">
        <v>56</v>
      </c>
      <c r="D3" s="1" t="s">
        <v>57</v>
      </c>
      <c r="E3" s="1"/>
      <c r="F3" s="1"/>
    </row>
    <row r="4" spans="1:6" x14ac:dyDescent="0.3">
      <c r="B4" s="5" t="s">
        <v>4</v>
      </c>
      <c r="C4" s="5" t="s">
        <v>58</v>
      </c>
      <c r="D4" s="5" t="s">
        <v>5</v>
      </c>
      <c r="E4" s="1"/>
      <c r="F4" s="1"/>
    </row>
    <row r="5" spans="1:6" ht="15.6" x14ac:dyDescent="0.3">
      <c r="B5" s="5" t="s">
        <v>6</v>
      </c>
      <c r="C5" s="23" t="s">
        <v>59</v>
      </c>
      <c r="D5" s="23" t="s">
        <v>7</v>
      </c>
      <c r="E5" s="1"/>
      <c r="F5" s="1"/>
    </row>
    <row r="6" spans="1:6" ht="15.6" x14ac:dyDescent="0.3">
      <c r="B6" s="5" t="s">
        <v>8</v>
      </c>
      <c r="C6" s="23" t="s">
        <v>60</v>
      </c>
      <c r="D6" s="23" t="s">
        <v>9</v>
      </c>
      <c r="E6" s="1"/>
      <c r="F6" s="1"/>
    </row>
    <row r="7" spans="1:6" ht="15.6" x14ac:dyDescent="0.3">
      <c r="B7" s="5">
        <v>203</v>
      </c>
      <c r="C7" s="23" t="s">
        <v>10</v>
      </c>
      <c r="D7" s="5" t="s">
        <v>5</v>
      </c>
      <c r="E7" s="23" t="s">
        <v>7</v>
      </c>
      <c r="F7" s="1"/>
    </row>
    <row r="8" spans="1:6" ht="15.6" x14ac:dyDescent="0.3">
      <c r="B8" s="5">
        <v>206</v>
      </c>
      <c r="C8" s="23" t="s">
        <v>11</v>
      </c>
      <c r="D8" s="5" t="s">
        <v>5</v>
      </c>
      <c r="E8" s="23" t="s">
        <v>9</v>
      </c>
      <c r="F8" s="1"/>
    </row>
    <row r="9" spans="1:6" ht="15.6" x14ac:dyDescent="0.3">
      <c r="B9" s="5"/>
      <c r="C9" s="23" t="s">
        <v>12</v>
      </c>
      <c r="D9" s="23" t="s">
        <v>7</v>
      </c>
      <c r="E9" s="23" t="s">
        <v>9</v>
      </c>
      <c r="F9" s="1"/>
    </row>
    <row r="10" spans="1:6" ht="15.6" x14ac:dyDescent="0.3">
      <c r="B10" s="5"/>
      <c r="C10" s="23" t="s">
        <v>13</v>
      </c>
      <c r="D10" s="5" t="s">
        <v>5</v>
      </c>
      <c r="E10" s="23" t="s">
        <v>7</v>
      </c>
      <c r="F10" s="23" t="s">
        <v>9</v>
      </c>
    </row>
    <row r="16" spans="1:6" x14ac:dyDescent="0.3">
      <c r="D16" t="s">
        <v>71</v>
      </c>
    </row>
  </sheetData>
  <pageMargins left="0.7" right="0.7" top="0.75" bottom="0.75" header="0.3" footer="0.3"/>
  <pageSetup scale="9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AAA28-AC0A-42F6-8B4B-A4B4685409D1}">
  <sheetPr>
    <pageSetUpPr fitToPage="1"/>
  </sheetPr>
  <dimension ref="A1:J23"/>
  <sheetViews>
    <sheetView workbookViewId="0">
      <selection activeCell="D2" sqref="D2:D8"/>
    </sheetView>
  </sheetViews>
  <sheetFormatPr defaultRowHeight="14.4" x14ac:dyDescent="0.3"/>
  <cols>
    <col min="2" max="2" width="20" bestFit="1" customWidth="1"/>
    <col min="3" max="3" width="8.6640625" style="2" customWidth="1"/>
    <col min="4" max="4" width="14.5546875" style="2" bestFit="1" customWidth="1"/>
    <col min="5" max="6" width="8.6640625" style="2" customWidth="1"/>
    <col min="7" max="7" width="15.6640625" style="2" customWidth="1"/>
    <col min="8" max="9" width="8.33203125" style="2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3"/>
      <c r="F1" s="3"/>
      <c r="G1" s="3"/>
      <c r="H1" s="3"/>
      <c r="I1" s="3"/>
      <c r="J1" s="10"/>
    </row>
    <row r="2" spans="1:10" x14ac:dyDescent="0.3">
      <c r="A2" s="5" t="s">
        <v>4</v>
      </c>
      <c r="B2" s="5" t="s">
        <v>5</v>
      </c>
      <c r="C2" s="104">
        <v>9200000</v>
      </c>
      <c r="D2" s="19">
        <v>15.26</v>
      </c>
      <c r="E2" s="11"/>
      <c r="F2" s="11"/>
      <c r="G2" s="3"/>
      <c r="H2" s="3"/>
      <c r="I2" s="3"/>
      <c r="J2" s="10"/>
    </row>
    <row r="3" spans="1:10" ht="15.6" x14ac:dyDescent="0.3">
      <c r="A3" s="5" t="s">
        <v>6</v>
      </c>
      <c r="B3" s="23" t="s">
        <v>7</v>
      </c>
      <c r="C3" s="104">
        <v>10750000</v>
      </c>
      <c r="D3" s="5">
        <v>14.39</v>
      </c>
      <c r="E3" s="3"/>
      <c r="F3" s="3"/>
      <c r="G3" s="11"/>
      <c r="H3" s="11"/>
      <c r="I3" s="11"/>
      <c r="J3" s="10"/>
    </row>
    <row r="4" spans="1:10" ht="15.6" x14ac:dyDescent="0.3">
      <c r="A4" s="5" t="s">
        <v>8</v>
      </c>
      <c r="B4" s="23" t="s">
        <v>9</v>
      </c>
      <c r="C4" s="104">
        <v>5200000</v>
      </c>
      <c r="D4" s="5">
        <v>18.11</v>
      </c>
      <c r="E4" s="3"/>
      <c r="F4" s="3"/>
      <c r="G4" s="11"/>
      <c r="H4" s="11"/>
      <c r="I4" s="11"/>
      <c r="J4" s="10"/>
    </row>
    <row r="5" spans="1:10" ht="15.6" x14ac:dyDescent="0.3">
      <c r="A5" s="5">
        <v>203</v>
      </c>
      <c r="B5" s="23" t="s">
        <v>10</v>
      </c>
      <c r="C5" s="104">
        <v>660000</v>
      </c>
      <c r="D5" s="5">
        <v>5.43</v>
      </c>
      <c r="E5" s="3"/>
      <c r="F5" s="3"/>
      <c r="G5" s="11"/>
      <c r="H5" s="11"/>
      <c r="I5" s="11"/>
      <c r="J5" s="10"/>
    </row>
    <row r="6" spans="1:10" ht="15.6" x14ac:dyDescent="0.3">
      <c r="A6" s="5">
        <v>206</v>
      </c>
      <c r="B6" s="23" t="s">
        <v>11</v>
      </c>
      <c r="C6" s="104">
        <v>22500000</v>
      </c>
      <c r="D6" s="5">
        <v>10.44</v>
      </c>
      <c r="E6" s="3"/>
      <c r="F6" s="3"/>
      <c r="G6" s="11"/>
      <c r="H6" s="11"/>
      <c r="I6" s="11"/>
      <c r="J6" s="10"/>
    </row>
    <row r="7" spans="1:10" ht="15.6" x14ac:dyDescent="0.3">
      <c r="A7" s="5">
        <v>223</v>
      </c>
      <c r="B7" s="23" t="s">
        <v>12</v>
      </c>
      <c r="C7" s="104">
        <v>3400000</v>
      </c>
      <c r="D7" s="5">
        <v>9.8800000000000008</v>
      </c>
      <c r="E7" s="3"/>
      <c r="F7" s="3"/>
      <c r="G7" s="11"/>
      <c r="H7" s="11"/>
      <c r="I7" s="11"/>
      <c r="J7" s="10"/>
    </row>
    <row r="8" spans="1:10" ht="15.6" x14ac:dyDescent="0.3">
      <c r="A8" s="5">
        <v>224</v>
      </c>
      <c r="B8" s="23" t="s">
        <v>13</v>
      </c>
      <c r="C8" s="6">
        <v>30400</v>
      </c>
      <c r="D8" s="5">
        <v>2.04</v>
      </c>
      <c r="E8" s="3"/>
      <c r="F8" s="3"/>
      <c r="G8" s="11"/>
      <c r="H8" s="11"/>
      <c r="I8" s="11"/>
      <c r="J8" s="10"/>
    </row>
    <row r="9" spans="1:10" ht="15.6" x14ac:dyDescent="0.3">
      <c r="A9" s="3"/>
      <c r="B9" s="7"/>
      <c r="C9" s="3"/>
      <c r="D9" s="3"/>
      <c r="E9" s="3"/>
      <c r="F9" s="3"/>
      <c r="G9" s="11"/>
      <c r="H9" s="11"/>
      <c r="I9" s="11"/>
      <c r="J9" s="10"/>
    </row>
    <row r="10" spans="1:10" ht="15.6" x14ac:dyDescent="0.3">
      <c r="A10" s="3"/>
      <c r="B10" s="7"/>
      <c r="C10" s="3"/>
      <c r="D10" s="3"/>
      <c r="E10" s="3"/>
      <c r="F10" s="3"/>
      <c r="G10" s="11"/>
      <c r="H10" s="11"/>
      <c r="I10" s="11"/>
      <c r="J10" s="10"/>
    </row>
    <row r="11" spans="1:10" ht="15.6" x14ac:dyDescent="0.3">
      <c r="A11" s="3"/>
      <c r="B11" s="7"/>
      <c r="C11" s="3"/>
      <c r="D11" s="3"/>
      <c r="E11" s="3"/>
      <c r="F11" s="3"/>
      <c r="G11" s="11"/>
      <c r="H11" s="11"/>
      <c r="I11" s="11"/>
      <c r="J11" s="10"/>
    </row>
    <row r="12" spans="1:10" ht="15.6" x14ac:dyDescent="0.3">
      <c r="A12" s="3"/>
      <c r="B12" s="7"/>
      <c r="C12" s="3"/>
      <c r="D12" s="3"/>
      <c r="E12" s="3"/>
      <c r="F12" s="3"/>
      <c r="G12" s="11"/>
      <c r="H12" s="11"/>
      <c r="I12" s="11"/>
      <c r="J12" s="10"/>
    </row>
    <row r="13" spans="1:10" ht="15.6" x14ac:dyDescent="0.3">
      <c r="A13" s="3"/>
      <c r="B13" s="7"/>
      <c r="C13" s="3"/>
      <c r="D13" s="3"/>
      <c r="E13" s="3"/>
      <c r="F13" s="3"/>
      <c r="G13" s="11"/>
      <c r="H13" s="11"/>
      <c r="I13" s="11"/>
      <c r="J13" s="10"/>
    </row>
    <row r="14" spans="1:10" ht="15.6" x14ac:dyDescent="0.3">
      <c r="A14" s="3"/>
      <c r="B14" s="7"/>
      <c r="C14" s="3"/>
      <c r="D14" s="3"/>
      <c r="E14" s="3"/>
      <c r="F14" s="3"/>
      <c r="G14" s="11"/>
      <c r="H14" s="11"/>
      <c r="I14" s="11"/>
      <c r="J14" s="10"/>
    </row>
    <row r="15" spans="1:10" ht="15.6" x14ac:dyDescent="0.3">
      <c r="A15" s="3"/>
      <c r="B15" s="7"/>
      <c r="C15" s="3"/>
      <c r="D15" s="3"/>
      <c r="E15" s="3"/>
      <c r="F15" s="3"/>
      <c r="G15" s="11"/>
      <c r="H15" s="11"/>
      <c r="I15" s="11"/>
      <c r="J15" s="10"/>
    </row>
    <row r="16" spans="1:10" ht="15.6" x14ac:dyDescent="0.3">
      <c r="A16" s="3"/>
      <c r="B16" s="7"/>
      <c r="C16" s="3"/>
      <c r="D16" s="3"/>
      <c r="E16" s="3"/>
      <c r="F16" s="3"/>
      <c r="G16" s="11"/>
      <c r="H16" s="11"/>
      <c r="I16" s="11"/>
      <c r="J16" s="10"/>
    </row>
    <row r="17" spans="1:10" ht="15.6" x14ac:dyDescent="0.3">
      <c r="A17" s="3"/>
      <c r="B17" s="7"/>
      <c r="C17" s="3"/>
      <c r="D17" s="3"/>
      <c r="E17" s="3"/>
      <c r="F17" s="3"/>
      <c r="G17" s="11"/>
      <c r="H17" s="11"/>
      <c r="I17" s="11"/>
      <c r="J17" s="10"/>
    </row>
    <row r="18" spans="1:10" ht="15.6" x14ac:dyDescent="0.3">
      <c r="A18" s="3"/>
      <c r="B18" s="7"/>
      <c r="C18" s="3"/>
      <c r="D18" s="3"/>
      <c r="E18" s="3"/>
      <c r="F18" s="3"/>
      <c r="G18" s="11"/>
      <c r="H18" s="11"/>
      <c r="I18" s="11"/>
      <c r="J18" s="10"/>
    </row>
    <row r="19" spans="1:10" ht="15.6" x14ac:dyDescent="0.3">
      <c r="A19" s="3"/>
      <c r="B19" s="7"/>
      <c r="C19" s="3"/>
      <c r="D19" s="3"/>
      <c r="E19" s="3"/>
      <c r="F19" s="3"/>
      <c r="G19" s="11"/>
      <c r="H19" s="11"/>
      <c r="I19" s="11"/>
      <c r="J19" s="10"/>
    </row>
    <row r="20" spans="1:10" ht="15.6" x14ac:dyDescent="0.3">
      <c r="A20" s="3"/>
      <c r="B20" s="7"/>
      <c r="C20" s="3"/>
      <c r="D20" s="3"/>
      <c r="E20" s="3"/>
      <c r="F20" s="3"/>
      <c r="G20" s="11"/>
      <c r="H20" s="11"/>
      <c r="I20" s="11"/>
      <c r="J20" s="10"/>
    </row>
    <row r="21" spans="1:10" ht="15.6" x14ac:dyDescent="0.3">
      <c r="A21" s="3"/>
      <c r="B21" s="7"/>
      <c r="C21" s="3"/>
      <c r="D21" s="3"/>
      <c r="E21" s="3"/>
      <c r="F21" s="3"/>
      <c r="G21" s="11"/>
      <c r="H21" s="11"/>
      <c r="I21" s="11"/>
      <c r="J21" s="10"/>
    </row>
    <row r="22" spans="1:10" ht="15.6" x14ac:dyDescent="0.3">
      <c r="A22" s="3"/>
      <c r="B22" s="7"/>
      <c r="C22" s="3"/>
      <c r="D22" s="3"/>
      <c r="E22" s="3"/>
      <c r="F22" s="3"/>
      <c r="G22" s="11"/>
      <c r="H22" s="11"/>
      <c r="I22" s="11"/>
      <c r="J22" s="10"/>
    </row>
    <row r="23" spans="1:10" x14ac:dyDescent="0.3">
      <c r="A23" s="10"/>
      <c r="B23" s="10"/>
      <c r="C23" s="3"/>
      <c r="D23" s="3"/>
      <c r="E23" s="3"/>
      <c r="F23" s="3"/>
      <c r="G23" s="3"/>
      <c r="H23" s="3"/>
      <c r="I23" s="3"/>
      <c r="J23" s="1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5D305-6B17-410D-BE34-BBBA6C42DA63}">
  <dimension ref="A1:K102"/>
  <sheetViews>
    <sheetView workbookViewId="0">
      <selection activeCell="B5" sqref="B5"/>
    </sheetView>
  </sheetViews>
  <sheetFormatPr defaultRowHeight="14.4" x14ac:dyDescent="0.3"/>
  <cols>
    <col min="1" max="1" width="40.6640625" bestFit="1" customWidth="1"/>
    <col min="2" max="2" width="13.6640625" bestFit="1" customWidth="1"/>
    <col min="4" max="4" width="10.6640625" bestFit="1" customWidth="1"/>
    <col min="5" max="5" width="15.109375" customWidth="1"/>
    <col min="7" max="7" width="40.6640625" bestFit="1" customWidth="1"/>
    <col min="8" max="8" width="8.5546875" bestFit="1" customWidth="1"/>
  </cols>
  <sheetData>
    <row r="1" spans="1:7" ht="15.6" x14ac:dyDescent="0.35">
      <c r="A1" s="1" t="s">
        <v>14</v>
      </c>
      <c r="B1" s="1"/>
      <c r="D1" s="17" t="s">
        <v>15</v>
      </c>
      <c r="E1" s="17" t="s">
        <v>16</v>
      </c>
    </row>
    <row r="2" spans="1:7" x14ac:dyDescent="0.3">
      <c r="A2" s="1" t="s">
        <v>17</v>
      </c>
      <c r="B2" s="18" t="s">
        <v>117</v>
      </c>
      <c r="D2" s="27"/>
      <c r="E2" s="28"/>
    </row>
    <row r="3" spans="1:7" x14ac:dyDescent="0.3">
      <c r="A3" s="1" t="s">
        <v>18</v>
      </c>
      <c r="B3" s="5" t="s">
        <v>151</v>
      </c>
      <c r="D3" s="27"/>
      <c r="E3" s="28"/>
    </row>
    <row r="4" spans="1:7" x14ac:dyDescent="0.3">
      <c r="A4" s="1" t="s">
        <v>20</v>
      </c>
      <c r="B4" s="19">
        <v>20</v>
      </c>
      <c r="D4" s="27"/>
      <c r="E4" s="28"/>
    </row>
    <row r="5" spans="1:7" x14ac:dyDescent="0.3">
      <c r="A5" s="1" t="s">
        <v>85</v>
      </c>
      <c r="B5" s="58"/>
      <c r="D5" s="27"/>
      <c r="E5" s="28"/>
    </row>
    <row r="6" spans="1:7" x14ac:dyDescent="0.3">
      <c r="A6" s="1" t="s">
        <v>21</v>
      </c>
      <c r="B6" s="20">
        <v>4</v>
      </c>
      <c r="D6" s="27"/>
      <c r="E6" s="28"/>
    </row>
    <row r="7" spans="1:7" x14ac:dyDescent="0.3">
      <c r="A7" s="1" t="s">
        <v>22</v>
      </c>
      <c r="B7" s="21">
        <v>3600000</v>
      </c>
      <c r="D7" s="27"/>
      <c r="E7" s="28"/>
    </row>
    <row r="8" spans="1:7" x14ac:dyDescent="0.3">
      <c r="A8" s="1" t="s">
        <v>23</v>
      </c>
      <c r="B8" s="6">
        <f>(100000)/B7</f>
        <v>2.7777777777777776E-2</v>
      </c>
      <c r="D8" s="27"/>
      <c r="E8" s="28"/>
    </row>
    <row r="9" spans="1:7" x14ac:dyDescent="0.3">
      <c r="A9" s="1" t="s">
        <v>24</v>
      </c>
      <c r="B9" s="26">
        <f>B8*1000</f>
        <v>27.777777777777775</v>
      </c>
      <c r="C9" t="str">
        <f>IF(B9&gt;= 300, "Change value","*")</f>
        <v>*</v>
      </c>
      <c r="D9" s="27"/>
      <c r="E9" s="28"/>
    </row>
    <row r="10" spans="1:7" x14ac:dyDescent="0.3">
      <c r="A10" s="1" t="s">
        <v>84</v>
      </c>
      <c r="B10" s="21">
        <f>(B8*B7)/10</f>
        <v>10000</v>
      </c>
      <c r="D10" s="27"/>
      <c r="E10" s="28"/>
    </row>
    <row r="11" spans="1:7" x14ac:dyDescent="0.3">
      <c r="A11" s="1" t="s">
        <v>25</v>
      </c>
      <c r="B11" s="6">
        <f>(100)/B7</f>
        <v>2.7777777777777779E-5</v>
      </c>
      <c r="D11" s="27"/>
      <c r="E11" s="28"/>
    </row>
    <row r="12" spans="1:7" x14ac:dyDescent="0.3">
      <c r="A12" s="1" t="s">
        <v>26</v>
      </c>
      <c r="B12" s="6">
        <f>100/EXP((B5*B18*LN(2))+LN(B10))</f>
        <v>9.9999999999999915E-3</v>
      </c>
      <c r="D12" s="27"/>
      <c r="E12" s="28"/>
    </row>
    <row r="13" spans="1:7" x14ac:dyDescent="0.3">
      <c r="A13" s="1" t="s">
        <v>27</v>
      </c>
      <c r="B13" s="22"/>
      <c r="D13" s="27"/>
      <c r="E13" s="28"/>
      <c r="G13" s="29"/>
    </row>
    <row r="14" spans="1:7" x14ac:dyDescent="0.3">
      <c r="A14" s="1" t="s">
        <v>28</v>
      </c>
      <c r="B14" s="22"/>
      <c r="D14" s="27"/>
      <c r="E14" s="28"/>
    </row>
    <row r="15" spans="1:7" x14ac:dyDescent="0.3">
      <c r="A15" s="1" t="s">
        <v>29</v>
      </c>
      <c r="B15" s="20">
        <f ca="1">RANDBETWEEN(1,16)</f>
        <v>4</v>
      </c>
      <c r="D15" s="27"/>
      <c r="E15" s="28"/>
    </row>
    <row r="16" spans="1:7" x14ac:dyDescent="0.3">
      <c r="A16" s="1" t="s">
        <v>30</v>
      </c>
      <c r="B16" s="20">
        <f ca="1">RANDBETWEEN(1,16)</f>
        <v>10</v>
      </c>
      <c r="D16" s="27"/>
      <c r="E16" s="28"/>
    </row>
    <row r="17" spans="1:8" x14ac:dyDescent="0.3">
      <c r="A17" s="55" t="s">
        <v>86</v>
      </c>
      <c r="B17" s="59" t="e">
        <f>((LN((10000000)/B10)/LN(2))/B5)</f>
        <v>#DIV/0!</v>
      </c>
      <c r="C17" t="e">
        <f>IF(B17&lt;=0.833,"Reg 40min Passage","Time for passage")</f>
        <v>#DIV/0!</v>
      </c>
    </row>
    <row r="18" spans="1:8" x14ac:dyDescent="0.3">
      <c r="A18" s="55" t="s">
        <v>88</v>
      </c>
      <c r="B18">
        <v>0.67</v>
      </c>
    </row>
    <row r="19" spans="1:8" x14ac:dyDescent="0.3">
      <c r="A19" s="16" t="s">
        <v>31</v>
      </c>
    </row>
    <row r="20" spans="1:8" ht="21" x14ac:dyDescent="0.4">
      <c r="A20" s="13" t="s">
        <v>32</v>
      </c>
      <c r="C20" s="89" t="s">
        <v>116</v>
      </c>
    </row>
    <row r="22" spans="1:8" x14ac:dyDescent="0.3">
      <c r="A22" s="186" t="s">
        <v>33</v>
      </c>
      <c r="B22" s="186"/>
      <c r="C22" s="186"/>
      <c r="D22" s="186"/>
      <c r="E22" s="186"/>
      <c r="F22" s="30"/>
      <c r="G22" s="10"/>
    </row>
    <row r="23" spans="1:8" ht="15" thickBot="1" x14ac:dyDescent="0.35">
      <c r="A23" s="31" t="s">
        <v>34</v>
      </c>
      <c r="B23" s="35">
        <v>1.0000000000000001E-5</v>
      </c>
      <c r="C23" s="32">
        <v>5.0000000000000004E-6</v>
      </c>
      <c r="D23" s="32">
        <v>9.9999999999999995E-7</v>
      </c>
      <c r="E23" s="32"/>
      <c r="F23" s="30"/>
      <c r="G23" s="10"/>
    </row>
    <row r="24" spans="1:8" x14ac:dyDescent="0.3">
      <c r="A24" s="24" t="s">
        <v>35</v>
      </c>
      <c r="B24" s="29">
        <v>5.0000000000000002E-5</v>
      </c>
      <c r="C24" s="29">
        <v>1.0000000000000001E-5</v>
      </c>
      <c r="D24" s="29">
        <v>5.0000000000000004E-6</v>
      </c>
      <c r="E24" s="29">
        <v>9.9999999999999995E-7</v>
      </c>
      <c r="F24" s="30"/>
      <c r="G24" s="10"/>
    </row>
    <row r="25" spans="1:8" x14ac:dyDescent="0.3">
      <c r="F25" s="30"/>
      <c r="G25" s="10"/>
    </row>
    <row r="26" spans="1:8" x14ac:dyDescent="0.3">
      <c r="A26" s="55"/>
      <c r="B26" s="55"/>
      <c r="C26" s="55"/>
      <c r="D26" s="55"/>
      <c r="E26" s="55"/>
      <c r="F26" s="30"/>
      <c r="G26" s="10"/>
    </row>
    <row r="27" spans="1:8" ht="15.6" x14ac:dyDescent="0.35">
      <c r="A27" s="1" t="s">
        <v>14</v>
      </c>
      <c r="B27" s="1"/>
      <c r="D27" s="17" t="s">
        <v>15</v>
      </c>
      <c r="E27" s="17" t="s">
        <v>16</v>
      </c>
      <c r="F27" s="29"/>
      <c r="H27" s="30"/>
    </row>
    <row r="28" spans="1:8" x14ac:dyDescent="0.3">
      <c r="A28" s="1" t="s">
        <v>17</v>
      </c>
      <c r="B28" s="18">
        <v>44384</v>
      </c>
      <c r="D28" s="27"/>
      <c r="E28" s="28"/>
    </row>
    <row r="29" spans="1:8" x14ac:dyDescent="0.3">
      <c r="A29" s="1" t="s">
        <v>18</v>
      </c>
      <c r="B29" s="5">
        <v>203.4</v>
      </c>
      <c r="D29" s="27"/>
      <c r="E29" s="28"/>
    </row>
    <row r="30" spans="1:8" x14ac:dyDescent="0.3">
      <c r="A30" s="1" t="s">
        <v>20</v>
      </c>
      <c r="B30" s="19">
        <v>5.43</v>
      </c>
      <c r="D30" s="27"/>
      <c r="E30" s="28"/>
    </row>
    <row r="31" spans="1:8" x14ac:dyDescent="0.3">
      <c r="A31" s="1" t="s">
        <v>85</v>
      </c>
      <c r="B31" s="58">
        <v>9.9651456415112527</v>
      </c>
      <c r="D31" s="27"/>
      <c r="E31" s="28"/>
    </row>
    <row r="32" spans="1:8" x14ac:dyDescent="0.3">
      <c r="A32" s="1" t="s">
        <v>21</v>
      </c>
      <c r="B32" s="20">
        <v>5</v>
      </c>
      <c r="D32" s="27"/>
      <c r="E32" s="28"/>
    </row>
    <row r="33" spans="1:5" x14ac:dyDescent="0.3">
      <c r="A33" s="1" t="s">
        <v>22</v>
      </c>
      <c r="B33" s="21">
        <v>347000000</v>
      </c>
      <c r="D33" s="27"/>
      <c r="E33" s="28"/>
    </row>
    <row r="34" spans="1:5" x14ac:dyDescent="0.3">
      <c r="A34" s="1" t="s">
        <v>23</v>
      </c>
      <c r="B34" s="6">
        <f>(100000)/B33</f>
        <v>2.8818443804034583E-4</v>
      </c>
      <c r="D34" s="27"/>
      <c r="E34" s="28"/>
    </row>
    <row r="35" spans="1:5" x14ac:dyDescent="0.3">
      <c r="A35" s="1" t="s">
        <v>24</v>
      </c>
      <c r="B35" s="26">
        <f>B34*1000</f>
        <v>0.28818443804034583</v>
      </c>
      <c r="C35" t="str">
        <f>IF(B35&gt;= 300, "Change value","*")</f>
        <v>*</v>
      </c>
      <c r="D35" s="27"/>
      <c r="E35" s="28"/>
    </row>
    <row r="36" spans="1:5" x14ac:dyDescent="0.3">
      <c r="A36" s="1" t="s">
        <v>84</v>
      </c>
      <c r="B36" s="26">
        <f>(B34*B33)/10</f>
        <v>10000</v>
      </c>
      <c r="D36" s="27"/>
      <c r="E36" s="28"/>
    </row>
    <row r="37" spans="1:5" x14ac:dyDescent="0.3">
      <c r="A37" s="1" t="s">
        <v>25</v>
      </c>
      <c r="B37" s="6">
        <f>(100)/B33</f>
        <v>2.881844380403458E-7</v>
      </c>
      <c r="D37" s="27"/>
      <c r="E37" s="28"/>
    </row>
    <row r="38" spans="1:5" x14ac:dyDescent="0.3">
      <c r="A38" s="1" t="s">
        <v>26</v>
      </c>
      <c r="B38" s="6">
        <f>100/EXP((B31*B44*LN(2))+LN(B36))</f>
        <v>1.0004427716938466E-5</v>
      </c>
      <c r="D38" s="27"/>
      <c r="E38" s="28"/>
    </row>
    <row r="39" spans="1:5" x14ac:dyDescent="0.3">
      <c r="A39" s="1" t="s">
        <v>27</v>
      </c>
      <c r="B39" s="22"/>
      <c r="D39" s="27"/>
      <c r="E39" s="28"/>
    </row>
    <row r="40" spans="1:5" x14ac:dyDescent="0.3">
      <c r="A40" s="1" t="s">
        <v>28</v>
      </c>
      <c r="B40" s="22"/>
      <c r="D40" s="27"/>
      <c r="E40" s="28"/>
    </row>
    <row r="41" spans="1:5" x14ac:dyDescent="0.3">
      <c r="A41" s="1" t="s">
        <v>29</v>
      </c>
      <c r="B41" s="20">
        <f ca="1">B15</f>
        <v>4</v>
      </c>
      <c r="D41" s="27"/>
      <c r="E41" s="28"/>
    </row>
    <row r="42" spans="1:5" x14ac:dyDescent="0.3">
      <c r="A42" s="1" t="s">
        <v>30</v>
      </c>
      <c r="B42" s="20">
        <f ca="1">RANDBETWEEN(1,16)</f>
        <v>16</v>
      </c>
      <c r="D42" s="27"/>
      <c r="E42" s="28"/>
    </row>
    <row r="43" spans="1:5" x14ac:dyDescent="0.3">
      <c r="A43" s="55" t="s">
        <v>87</v>
      </c>
      <c r="B43" s="59">
        <f>((LN((10000000)/B36)/LN(2))/B31)</f>
        <v>1.0000640876886109</v>
      </c>
      <c r="C43" t="str">
        <f>IF(B43&lt;=0.833,"Reg 40min Passage","Time for passage")</f>
        <v>Time for passage</v>
      </c>
    </row>
    <row r="44" spans="1:5" x14ac:dyDescent="0.3">
      <c r="A44" s="55" t="s">
        <v>88</v>
      </c>
      <c r="B44">
        <v>1</v>
      </c>
    </row>
    <row r="45" spans="1:5" x14ac:dyDescent="0.3">
      <c r="A45" s="16" t="s">
        <v>31</v>
      </c>
    </row>
    <row r="46" spans="1:5" x14ac:dyDescent="0.3">
      <c r="A46" s="13" t="s">
        <v>32</v>
      </c>
    </row>
    <row r="48" spans="1:5" x14ac:dyDescent="0.3">
      <c r="A48" s="186" t="s">
        <v>33</v>
      </c>
      <c r="B48" s="186"/>
      <c r="C48" s="186"/>
      <c r="D48" s="186"/>
      <c r="E48" s="186"/>
    </row>
    <row r="49" spans="1:5" ht="15" thickBot="1" x14ac:dyDescent="0.35">
      <c r="A49" s="31" t="s">
        <v>34</v>
      </c>
      <c r="B49" s="35">
        <v>4.9999999999999998E-7</v>
      </c>
      <c r="C49" s="32">
        <v>9.9999999999999995E-8</v>
      </c>
      <c r="D49" s="32">
        <v>4.9999999999999998E-8</v>
      </c>
      <c r="E49" s="32"/>
    </row>
    <row r="50" spans="1:5" x14ac:dyDescent="0.3">
      <c r="A50" s="24" t="s">
        <v>35</v>
      </c>
      <c r="B50" s="29">
        <v>5.0000000000000002E-5</v>
      </c>
      <c r="C50" s="29">
        <v>1.0000000000000001E-5</v>
      </c>
      <c r="D50" s="29">
        <v>5.0000000000000004E-6</v>
      </c>
      <c r="E50" s="29">
        <v>9.9999999999999995E-7</v>
      </c>
    </row>
    <row r="51" spans="1:5" x14ac:dyDescent="0.3">
      <c r="A51" s="55"/>
      <c r="B51" s="56"/>
      <c r="C51" s="55"/>
      <c r="D51" s="55"/>
      <c r="E51" s="55"/>
    </row>
    <row r="52" spans="1:5" x14ac:dyDescent="0.3">
      <c r="A52" s="55"/>
      <c r="B52" s="57"/>
      <c r="C52" s="55"/>
      <c r="D52" s="55"/>
      <c r="E52" s="55"/>
    </row>
    <row r="53" spans="1:5" ht="15.6" x14ac:dyDescent="0.35">
      <c r="A53" s="1" t="s">
        <v>14</v>
      </c>
      <c r="B53" s="1"/>
      <c r="D53" s="17" t="s">
        <v>15</v>
      </c>
      <c r="E53" s="17" t="s">
        <v>16</v>
      </c>
    </row>
    <row r="54" spans="1:5" x14ac:dyDescent="0.3">
      <c r="A54" s="1" t="s">
        <v>17</v>
      </c>
      <c r="B54" s="18">
        <v>44390</v>
      </c>
      <c r="D54" s="27"/>
      <c r="E54" s="28"/>
    </row>
    <row r="55" spans="1:5" x14ac:dyDescent="0.3">
      <c r="A55" s="1" t="s">
        <v>18</v>
      </c>
      <c r="B55" s="5">
        <v>223.4</v>
      </c>
      <c r="D55" s="27"/>
      <c r="E55" s="28"/>
    </row>
    <row r="56" spans="1:5" x14ac:dyDescent="0.3">
      <c r="A56" s="1" t="s">
        <v>20</v>
      </c>
      <c r="B56" s="5">
        <v>9.8800000000000008</v>
      </c>
      <c r="D56" s="27"/>
      <c r="E56" s="28"/>
    </row>
    <row r="57" spans="1:5" x14ac:dyDescent="0.3">
      <c r="A57" s="1" t="s">
        <v>85</v>
      </c>
      <c r="B57" s="58">
        <v>9.5264992391365659</v>
      </c>
      <c r="D57" s="27"/>
      <c r="E57" s="28"/>
    </row>
    <row r="58" spans="1:5" x14ac:dyDescent="0.3">
      <c r="A58" s="1" t="s">
        <v>21</v>
      </c>
      <c r="B58" s="20">
        <v>5</v>
      </c>
      <c r="D58" s="27"/>
      <c r="E58" s="28"/>
    </row>
    <row r="59" spans="1:5" x14ac:dyDescent="0.3">
      <c r="A59" s="1" t="s">
        <v>22</v>
      </c>
      <c r="B59" s="21">
        <v>5900000</v>
      </c>
      <c r="D59" s="27"/>
      <c r="E59" s="28"/>
    </row>
    <row r="60" spans="1:5" x14ac:dyDescent="0.3">
      <c r="A60" s="1" t="s">
        <v>23</v>
      </c>
      <c r="B60" s="6">
        <f>100000/B59</f>
        <v>1.6949152542372881E-2</v>
      </c>
      <c r="D60" s="27"/>
      <c r="E60" s="28"/>
    </row>
    <row r="61" spans="1:5" x14ac:dyDescent="0.3">
      <c r="A61" s="1" t="s">
        <v>24</v>
      </c>
      <c r="B61" s="26">
        <f>B60*1000</f>
        <v>16.949152542372882</v>
      </c>
      <c r="C61" t="str">
        <f>IF(B61&gt;= 300, "CHANGE VALUE","*")</f>
        <v>*</v>
      </c>
      <c r="D61" s="27"/>
      <c r="E61" s="28"/>
    </row>
    <row r="62" spans="1:5" x14ac:dyDescent="0.3">
      <c r="A62" s="1" t="s">
        <v>84</v>
      </c>
      <c r="B62" s="26">
        <f>(B60*B59)/10</f>
        <v>10000</v>
      </c>
      <c r="D62" s="27"/>
      <c r="E62" s="28"/>
    </row>
    <row r="63" spans="1:5" x14ac:dyDescent="0.3">
      <c r="A63" s="1" t="s">
        <v>25</v>
      </c>
      <c r="B63" s="6">
        <f>(100)/B59</f>
        <v>1.6949152542372881E-5</v>
      </c>
      <c r="D63" s="27"/>
      <c r="E63" s="28"/>
    </row>
    <row r="64" spans="1:5" x14ac:dyDescent="0.3">
      <c r="A64" s="1" t="s">
        <v>26</v>
      </c>
      <c r="B64" s="6">
        <f>100/EXP((B57*B70*LN(2))+LN(B62))</f>
        <v>1.35593220338983E-5</v>
      </c>
      <c r="D64" s="27"/>
      <c r="E64" s="28"/>
    </row>
    <row r="65" spans="1:11" x14ac:dyDescent="0.3">
      <c r="A65" s="1" t="s">
        <v>27</v>
      </c>
      <c r="B65" s="22"/>
      <c r="D65" s="27"/>
      <c r="E65" s="28"/>
    </row>
    <row r="66" spans="1:11" x14ac:dyDescent="0.3">
      <c r="A66" s="1" t="s">
        <v>28</v>
      </c>
      <c r="B66" s="22"/>
      <c r="D66" s="27"/>
      <c r="E66" s="28"/>
    </row>
    <row r="67" spans="1:11" x14ac:dyDescent="0.3">
      <c r="A67" s="1" t="s">
        <v>29</v>
      </c>
      <c r="B67" s="20">
        <f ca="1">B41</f>
        <v>4</v>
      </c>
      <c r="D67" s="27"/>
      <c r="E67" s="28"/>
    </row>
    <row r="68" spans="1:11" x14ac:dyDescent="0.3">
      <c r="A68" s="1" t="s">
        <v>30</v>
      </c>
      <c r="B68" s="20">
        <f ca="1">RANDBETWEEN(1,16)</f>
        <v>7</v>
      </c>
      <c r="D68" s="27"/>
      <c r="E68" s="28"/>
    </row>
    <row r="69" spans="1:11" x14ac:dyDescent="0.3">
      <c r="A69" s="55" t="s">
        <v>87</v>
      </c>
      <c r="B69" s="54">
        <f>((LN((10000000)/B62)/LN(2))/B57)</f>
        <v>1.0461119068504052</v>
      </c>
      <c r="C69" s="45" t="str">
        <f>IF(B69&lt;=0.833,"Reg 40min Passage","Time for passage (round to nearest 15min)")</f>
        <v>Time for passage (round to nearest 15min)</v>
      </c>
      <c r="D69" s="45"/>
      <c r="E69" s="45"/>
      <c r="F69" s="45"/>
    </row>
    <row r="70" spans="1:11" x14ac:dyDescent="0.3">
      <c r="A70" s="55" t="s">
        <v>88</v>
      </c>
      <c r="B70">
        <v>1</v>
      </c>
    </row>
    <row r="71" spans="1:11" x14ac:dyDescent="0.3">
      <c r="A71" s="16" t="s">
        <v>31</v>
      </c>
    </row>
    <row r="72" spans="1:11" x14ac:dyDescent="0.3">
      <c r="A72" s="13" t="s">
        <v>32</v>
      </c>
    </row>
    <row r="74" spans="1:11" x14ac:dyDescent="0.3">
      <c r="A74" s="186" t="s">
        <v>33</v>
      </c>
      <c r="B74" s="186"/>
      <c r="C74" s="186"/>
      <c r="D74" s="186"/>
      <c r="E74" s="186"/>
    </row>
    <row r="75" spans="1:11" ht="15" thickBot="1" x14ac:dyDescent="0.35">
      <c r="A75" s="31" t="s">
        <v>34</v>
      </c>
      <c r="B75" s="35">
        <v>5.0000000000000002E-5</v>
      </c>
      <c r="C75" s="32">
        <v>1.0000000000000001E-5</v>
      </c>
      <c r="D75" s="32">
        <v>5.0000000000000004E-6</v>
      </c>
      <c r="E75" s="32"/>
    </row>
    <row r="76" spans="1:11" x14ac:dyDescent="0.3">
      <c r="A76" s="24" t="s">
        <v>35</v>
      </c>
      <c r="B76" s="29">
        <v>5.0000000000000002E-5</v>
      </c>
      <c r="C76" s="29">
        <v>1.0000000000000001E-5</v>
      </c>
      <c r="D76" s="29">
        <v>5.0000000000000004E-6</v>
      </c>
      <c r="E76" s="29">
        <v>9.9999999999999995E-7</v>
      </c>
      <c r="G76" t="s">
        <v>71</v>
      </c>
    </row>
    <row r="79" spans="1:11" ht="15.6" x14ac:dyDescent="0.35">
      <c r="A79" s="1" t="s">
        <v>14</v>
      </c>
      <c r="B79" s="1"/>
      <c r="D79" s="17" t="s">
        <v>15</v>
      </c>
      <c r="E79" s="17" t="s">
        <v>16</v>
      </c>
      <c r="G79" s="1" t="s">
        <v>14</v>
      </c>
      <c r="H79" s="1"/>
      <c r="J79" s="17" t="s">
        <v>15</v>
      </c>
      <c r="K79" s="17" t="s">
        <v>16</v>
      </c>
    </row>
    <row r="80" spans="1:11" x14ac:dyDescent="0.3">
      <c r="A80" s="1" t="s">
        <v>17</v>
      </c>
      <c r="B80" s="18">
        <v>44397</v>
      </c>
      <c r="D80" s="27"/>
      <c r="E80" s="28"/>
      <c r="G80" s="1" t="s">
        <v>17</v>
      </c>
      <c r="H80" s="18" t="s">
        <v>117</v>
      </c>
      <c r="J80" s="27"/>
      <c r="K80" s="28"/>
    </row>
    <row r="81" spans="1:11" x14ac:dyDescent="0.3">
      <c r="A81" s="1" t="s">
        <v>18</v>
      </c>
      <c r="B81" s="5">
        <v>224.4</v>
      </c>
      <c r="D81" s="27"/>
      <c r="E81" s="28"/>
      <c r="G81" s="1" t="s">
        <v>18</v>
      </c>
      <c r="H81" s="5">
        <v>224</v>
      </c>
      <c r="J81" s="27"/>
      <c r="K81" s="28"/>
    </row>
    <row r="82" spans="1:11" x14ac:dyDescent="0.3">
      <c r="A82" s="1" t="s">
        <v>20</v>
      </c>
      <c r="B82" s="19">
        <v>2.04</v>
      </c>
      <c r="D82" s="27"/>
      <c r="E82" s="28"/>
      <c r="G82" s="1" t="s">
        <v>20</v>
      </c>
      <c r="H82" s="19">
        <v>2.04</v>
      </c>
      <c r="J82" s="27"/>
      <c r="K82" s="28"/>
    </row>
    <row r="83" spans="1:11" x14ac:dyDescent="0.3">
      <c r="A83" s="1" t="s">
        <v>85</v>
      </c>
      <c r="B83" s="58">
        <v>4.3339999999999996</v>
      </c>
      <c r="D83" s="27"/>
      <c r="E83" s="28"/>
      <c r="G83" s="1" t="s">
        <v>85</v>
      </c>
      <c r="H83" s="58">
        <v>2.04</v>
      </c>
      <c r="J83" s="27"/>
      <c r="K83" s="28"/>
    </row>
    <row r="84" spans="1:11" x14ac:dyDescent="0.3">
      <c r="A84" s="1" t="s">
        <v>21</v>
      </c>
      <c r="B84" s="20">
        <v>5</v>
      </c>
      <c r="D84" s="27"/>
      <c r="E84" s="28"/>
      <c r="G84" s="1" t="s">
        <v>21</v>
      </c>
      <c r="H84" s="20">
        <v>1</v>
      </c>
      <c r="J84" s="27"/>
      <c r="K84" s="28"/>
    </row>
    <row r="85" spans="1:11" x14ac:dyDescent="0.3">
      <c r="A85" s="1" t="s">
        <v>22</v>
      </c>
      <c r="B85" s="21">
        <v>920000</v>
      </c>
      <c r="D85" s="27"/>
      <c r="E85" s="28"/>
      <c r="G85" s="1" t="s">
        <v>22</v>
      </c>
      <c r="H85" s="21">
        <v>500000</v>
      </c>
      <c r="J85" s="27"/>
      <c r="K85" s="28"/>
    </row>
    <row r="86" spans="1:11" x14ac:dyDescent="0.3">
      <c r="A86" s="1" t="s">
        <v>23</v>
      </c>
      <c r="B86" s="131">
        <f>(100000)/B85</f>
        <v>0.10869565217391304</v>
      </c>
      <c r="D86" s="27"/>
      <c r="E86" s="28"/>
      <c r="G86" s="1" t="s">
        <v>23</v>
      </c>
      <c r="H86" s="6">
        <f>(100000)/H85</f>
        <v>0.2</v>
      </c>
      <c r="J86" s="27"/>
      <c r="K86" s="28"/>
    </row>
    <row r="87" spans="1:11" x14ac:dyDescent="0.3">
      <c r="A87" s="1" t="s">
        <v>24</v>
      </c>
      <c r="B87" s="26">
        <f>B86*1000</f>
        <v>108.69565217391305</v>
      </c>
      <c r="C87" t="str">
        <f>IF(B87&gt;= 300, "CHANGE VALUE","*")</f>
        <v>*</v>
      </c>
      <c r="D87" s="27"/>
      <c r="E87" s="28"/>
      <c r="G87" s="1" t="s">
        <v>24</v>
      </c>
      <c r="H87" s="26">
        <f>H86*1000</f>
        <v>200</v>
      </c>
      <c r="I87" t="str">
        <f>IF(H87&gt;= 300, "CHANGE VALUE","*")</f>
        <v>*</v>
      </c>
      <c r="J87" s="27"/>
      <c r="K87" s="28"/>
    </row>
    <row r="88" spans="1:11" x14ac:dyDescent="0.3">
      <c r="A88" s="1" t="s">
        <v>84</v>
      </c>
      <c r="B88" s="110">
        <f>(B86*B85)/10</f>
        <v>10000</v>
      </c>
      <c r="D88" s="27"/>
      <c r="E88" s="28"/>
      <c r="G88" s="1" t="s">
        <v>84</v>
      </c>
      <c r="H88" s="21">
        <f>(H86*H85)/10</f>
        <v>10000</v>
      </c>
      <c r="J88" s="27"/>
      <c r="K88" s="28"/>
    </row>
    <row r="89" spans="1:11" x14ac:dyDescent="0.3">
      <c r="A89" s="1" t="s">
        <v>25</v>
      </c>
      <c r="B89" s="6">
        <f>(100)/B85</f>
        <v>1.0869565217391305E-4</v>
      </c>
      <c r="D89" s="27"/>
      <c r="E89" s="28"/>
      <c r="G89" s="1" t="s">
        <v>25</v>
      </c>
      <c r="H89" s="6">
        <f>(100)/H85</f>
        <v>2.0000000000000001E-4</v>
      </c>
      <c r="J89" s="27"/>
      <c r="K89" s="28"/>
    </row>
    <row r="90" spans="1:11" x14ac:dyDescent="0.3">
      <c r="A90" s="1" t="s">
        <v>26</v>
      </c>
      <c r="B90" s="6">
        <f>100/EXP((B83*B96*LN(2))+LN(B88))</f>
        <v>1.1601282365425978E-5</v>
      </c>
      <c r="D90" s="27"/>
      <c r="E90" s="28"/>
      <c r="G90" s="1" t="s">
        <v>26</v>
      </c>
      <c r="H90" s="6">
        <f>100/EXP((H83*H96*LN(2))+LN(H88))</f>
        <v>2.0672492977600735E-6</v>
      </c>
      <c r="J90" s="27"/>
      <c r="K90" s="28"/>
    </row>
    <row r="91" spans="1:11" x14ac:dyDescent="0.3">
      <c r="A91" s="1" t="s">
        <v>27</v>
      </c>
      <c r="B91" s="22"/>
      <c r="D91" s="27"/>
      <c r="E91" s="28"/>
      <c r="G91" s="1" t="s">
        <v>27</v>
      </c>
      <c r="H91" s="22"/>
      <c r="J91" s="27"/>
      <c r="K91" s="28"/>
    </row>
    <row r="92" spans="1:11" x14ac:dyDescent="0.3">
      <c r="A92" s="1" t="s">
        <v>28</v>
      </c>
      <c r="B92" s="22"/>
      <c r="D92" s="27"/>
      <c r="E92" s="28"/>
      <c r="G92" s="1" t="s">
        <v>28</v>
      </c>
      <c r="H92" s="22"/>
      <c r="J92" s="27"/>
      <c r="K92" s="28"/>
    </row>
    <row r="93" spans="1:11" x14ac:dyDescent="0.3">
      <c r="A93" s="1" t="s">
        <v>29</v>
      </c>
      <c r="B93" s="20">
        <f ca="1">B67</f>
        <v>4</v>
      </c>
      <c r="D93" s="27"/>
      <c r="E93" s="28"/>
      <c r="G93" s="1" t="s">
        <v>29</v>
      </c>
      <c r="H93" s="20">
        <f>H67</f>
        <v>0</v>
      </c>
      <c r="J93" s="27"/>
      <c r="K93" s="28"/>
    </row>
    <row r="94" spans="1:11" x14ac:dyDescent="0.3">
      <c r="A94" s="1" t="s">
        <v>30</v>
      </c>
      <c r="B94" s="20">
        <f ca="1">RANDBETWEEN(1,16)</f>
        <v>13</v>
      </c>
      <c r="D94" s="27"/>
      <c r="E94" s="28"/>
      <c r="G94" s="1" t="s">
        <v>30</v>
      </c>
      <c r="H94" s="20">
        <f ca="1">RANDBETWEEN(1,16)</f>
        <v>10</v>
      </c>
      <c r="J94" s="27"/>
      <c r="K94" s="28"/>
    </row>
    <row r="95" spans="1:11" x14ac:dyDescent="0.3">
      <c r="A95" s="55" t="s">
        <v>87</v>
      </c>
      <c r="B95" s="59">
        <f>((LN((10000000)/B88)/LN(2))/B83)</f>
        <v>2.2994426129815615</v>
      </c>
      <c r="C95" s="45" t="str">
        <f>IF(B95&lt;=0.833,"Reg 40min Passage","Time for passage (round to nearest 15min)")</f>
        <v>Time for passage (round to nearest 15min)</v>
      </c>
      <c r="D95" s="45"/>
      <c r="E95" s="45"/>
      <c r="G95" s="55" t="s">
        <v>87</v>
      </c>
      <c r="H95" s="59">
        <f>((LN((10000000)/H88)/LN(2))/H83)</f>
        <v>4.8851883748343559</v>
      </c>
      <c r="I95" s="45" t="str">
        <f>IF(H95&lt;=0.833,"Reg 40min Passage","Time for passage (round to nearest 15min)")</f>
        <v>Time for passage (round to nearest 15min)</v>
      </c>
      <c r="J95" s="45"/>
      <c r="K95" s="45"/>
    </row>
    <row r="96" spans="1:11" x14ac:dyDescent="0.3">
      <c r="A96" s="55" t="s">
        <v>88</v>
      </c>
      <c r="B96">
        <v>2.25</v>
      </c>
      <c r="G96" s="55" t="s">
        <v>88</v>
      </c>
      <c r="H96">
        <v>6</v>
      </c>
    </row>
    <row r="97" spans="1:7" x14ac:dyDescent="0.3">
      <c r="A97" s="16" t="s">
        <v>31</v>
      </c>
      <c r="G97" s="16" t="s">
        <v>31</v>
      </c>
    </row>
    <row r="98" spans="1:7" x14ac:dyDescent="0.3">
      <c r="A98" s="13" t="s">
        <v>32</v>
      </c>
      <c r="G98" s="13" t="s">
        <v>32</v>
      </c>
    </row>
    <row r="100" spans="1:7" x14ac:dyDescent="0.3">
      <c r="A100" s="186" t="s">
        <v>33</v>
      </c>
      <c r="B100" s="186"/>
      <c r="C100" s="186"/>
      <c r="D100" s="186"/>
      <c r="E100" s="186"/>
    </row>
    <row r="101" spans="1:7" ht="15" thickBot="1" x14ac:dyDescent="0.35">
      <c r="A101" s="31" t="s">
        <v>34</v>
      </c>
      <c r="B101" s="35">
        <v>5.0000000000000001E-4</v>
      </c>
      <c r="C101" s="35">
        <v>1E-4</v>
      </c>
      <c r="D101" s="35">
        <v>5.0000000000000002E-5</v>
      </c>
      <c r="E101" s="32"/>
      <c r="F101" s="145"/>
    </row>
    <row r="102" spans="1:7" x14ac:dyDescent="0.3">
      <c r="A102" s="24" t="s">
        <v>35</v>
      </c>
      <c r="B102" s="29">
        <v>5.0000000000000002E-5</v>
      </c>
      <c r="C102" s="29">
        <v>1.0000000000000001E-5</v>
      </c>
      <c r="D102" s="29">
        <v>5.0000000000000004E-6</v>
      </c>
      <c r="E102" s="29">
        <v>9.9999999999999995E-7</v>
      </c>
      <c r="F102" s="29"/>
    </row>
  </sheetData>
  <mergeCells count="4">
    <mergeCell ref="A74:E74"/>
    <mergeCell ref="A100:E100"/>
    <mergeCell ref="A22:E22"/>
    <mergeCell ref="A48:E48"/>
  </mergeCells>
  <pageMargins left="0.7" right="0.7" top="0.75" bottom="0.75" header="0.3" footer="0.3"/>
  <pageSetup scale="90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9AB22-1F7F-47B5-B107-B8BBF98FC1CC}">
  <sheetPr>
    <pageSetUpPr fitToPage="1"/>
  </sheetPr>
  <dimension ref="A1:AF48"/>
  <sheetViews>
    <sheetView zoomScale="87" zoomScaleNormal="100" workbookViewId="0">
      <selection activeCell="H38" sqref="H38"/>
    </sheetView>
  </sheetViews>
  <sheetFormatPr defaultRowHeight="14.4" x14ac:dyDescent="0.3"/>
  <cols>
    <col min="1" max="1" width="10.109375" style="62" bestFit="1" customWidth="1"/>
    <col min="2" max="2" width="8.88671875" style="24" bestFit="1" customWidth="1"/>
    <col min="3" max="3" width="18.5546875" bestFit="1" customWidth="1"/>
    <col min="4" max="4" width="11.33203125" customWidth="1"/>
    <col min="5" max="5" width="12.109375" style="54" bestFit="1" customWidth="1"/>
    <col min="6" max="6" width="6.88671875" customWidth="1"/>
    <col min="7" max="7" width="8.6640625" customWidth="1"/>
    <col min="8" max="8" width="8.88671875" customWidth="1"/>
    <col min="9" max="9" width="8.88671875" bestFit="1" customWidth="1"/>
    <col min="10" max="11" width="8.33203125" hidden="1" customWidth="1"/>
    <col min="12" max="13" width="8.33203125" customWidth="1"/>
    <col min="14" max="15" width="9.109375" customWidth="1"/>
    <col min="16" max="16" width="9.109375" hidden="1" customWidth="1"/>
    <col min="17" max="17" width="9.109375" customWidth="1"/>
    <col min="18" max="20" width="9.109375" hidden="1" customWidth="1"/>
    <col min="21" max="21" width="9.109375" customWidth="1"/>
    <col min="22" max="22" width="9.109375" hidden="1" customWidth="1"/>
    <col min="23" max="23" width="9.109375" customWidth="1"/>
    <col min="24" max="24" width="9.109375" hidden="1" customWidth="1"/>
    <col min="25" max="25" width="9.109375" customWidth="1"/>
    <col min="26" max="26" width="9.109375" hidden="1" customWidth="1"/>
    <col min="27" max="28" width="9.109375" customWidth="1"/>
    <col min="29" max="29" width="16.6640625" bestFit="1" customWidth="1"/>
    <col min="30" max="30" width="8.88671875" bestFit="1" customWidth="1"/>
    <col min="31" max="31" width="8.5546875" bestFit="1" customWidth="1"/>
    <col min="32" max="32" width="66.5546875" bestFit="1" customWidth="1"/>
  </cols>
  <sheetData>
    <row r="1" spans="1:32" ht="16.2" x14ac:dyDescent="0.3">
      <c r="A1" s="96" t="s">
        <v>36</v>
      </c>
      <c r="B1" s="34"/>
      <c r="C1" s="1"/>
      <c r="D1" s="1"/>
      <c r="E1" s="60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ht="15.6" x14ac:dyDescent="0.35">
      <c r="A2" s="189" t="s">
        <v>37</v>
      </c>
      <c r="B2" s="190"/>
      <c r="C2" s="190"/>
      <c r="D2" s="190"/>
      <c r="E2" s="190"/>
      <c r="F2" s="190"/>
      <c r="G2" s="190"/>
      <c r="H2" s="190"/>
      <c r="I2" s="190"/>
      <c r="J2" s="190"/>
      <c r="K2" s="190"/>
      <c r="L2" s="190"/>
      <c r="M2" s="190"/>
      <c r="N2" s="190"/>
      <c r="O2" s="190"/>
      <c r="P2" s="190"/>
      <c r="Q2" s="190"/>
      <c r="R2" s="190"/>
      <c r="S2" s="190"/>
      <c r="T2" s="190"/>
      <c r="U2" s="19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ht="16.2" x14ac:dyDescent="0.3">
      <c r="A3" s="189" t="s">
        <v>38</v>
      </c>
      <c r="B3" s="190"/>
      <c r="C3" s="190"/>
      <c r="D3" s="190"/>
      <c r="E3" s="190"/>
      <c r="F3" s="190"/>
      <c r="G3" s="190"/>
      <c r="H3" s="190"/>
      <c r="I3" s="190"/>
      <c r="J3" s="190"/>
      <c r="K3" s="190"/>
      <c r="L3" s="190"/>
      <c r="M3" s="190"/>
      <c r="N3" s="190"/>
      <c r="O3" s="190"/>
      <c r="P3" s="190"/>
      <c r="Q3" s="190"/>
      <c r="R3" s="190"/>
      <c r="S3" s="190"/>
      <c r="T3" s="190"/>
      <c r="U3" s="190"/>
      <c r="V3" s="190"/>
      <c r="W3" s="190"/>
      <c r="X3" s="190"/>
      <c r="Y3" s="190"/>
      <c r="Z3" s="191"/>
      <c r="AA3" s="1"/>
      <c r="AB3" s="1"/>
      <c r="AC3" s="1"/>
      <c r="AD3" s="6"/>
      <c r="AE3" s="1"/>
      <c r="AF3" s="1"/>
    </row>
    <row r="4" spans="1:32" x14ac:dyDescent="0.3">
      <c r="A4" s="189" t="s">
        <v>39</v>
      </c>
      <c r="B4" s="190"/>
      <c r="C4" s="190"/>
      <c r="D4" s="190"/>
      <c r="E4" s="190"/>
      <c r="F4" s="190"/>
      <c r="G4" s="190"/>
      <c r="H4" s="190"/>
      <c r="I4" s="190"/>
      <c r="J4" s="190"/>
      <c r="K4" s="190"/>
      <c r="L4" s="190"/>
      <c r="M4" s="190"/>
      <c r="N4" s="190"/>
      <c r="O4" s="190"/>
      <c r="P4" s="190"/>
      <c r="Q4" s="190"/>
      <c r="R4" s="190"/>
      <c r="S4" s="190"/>
      <c r="T4" s="190"/>
      <c r="U4" s="190"/>
      <c r="V4" s="190"/>
      <c r="W4" s="190"/>
      <c r="X4" s="190"/>
      <c r="Y4" s="190"/>
      <c r="Z4" s="191"/>
      <c r="AA4" s="1"/>
      <c r="AB4" s="1"/>
      <c r="AC4" s="1"/>
      <c r="AD4" s="1"/>
      <c r="AE4" s="1"/>
      <c r="AF4" s="1"/>
    </row>
    <row r="5" spans="1:32" x14ac:dyDescent="0.3">
      <c r="A5" s="189" t="s">
        <v>40</v>
      </c>
      <c r="B5" s="190"/>
      <c r="C5" s="190"/>
      <c r="D5" s="190"/>
      <c r="E5" s="190"/>
      <c r="F5" s="190"/>
      <c r="G5" s="190"/>
      <c r="H5" s="190"/>
      <c r="I5" s="190"/>
      <c r="J5" s="190"/>
      <c r="K5" s="190"/>
      <c r="L5" s="190"/>
      <c r="M5" s="190"/>
      <c r="N5" s="190"/>
      <c r="O5" s="190"/>
      <c r="P5" s="190"/>
      <c r="Q5" s="190"/>
      <c r="R5" s="190"/>
      <c r="S5" s="190"/>
      <c r="T5" s="190"/>
      <c r="U5" s="190"/>
      <c r="V5" s="190"/>
      <c r="W5" s="190"/>
      <c r="X5" s="190"/>
      <c r="Y5" s="190"/>
      <c r="Z5" s="191"/>
      <c r="AA5" s="1"/>
      <c r="AB5" s="1"/>
      <c r="AC5" s="1"/>
      <c r="AD5" s="1"/>
      <c r="AE5" s="1"/>
      <c r="AF5" s="1"/>
    </row>
    <row r="6" spans="1:32" x14ac:dyDescent="0.3">
      <c r="A6" s="189" t="s">
        <v>41</v>
      </c>
      <c r="B6" s="190"/>
      <c r="C6" s="190"/>
      <c r="D6" s="190"/>
      <c r="E6" s="190"/>
      <c r="F6" s="190"/>
      <c r="G6" s="190"/>
      <c r="H6" s="190"/>
      <c r="I6" s="190"/>
      <c r="J6" s="190"/>
      <c r="K6" s="190"/>
      <c r="L6" s="190"/>
      <c r="M6" s="190"/>
      <c r="N6" s="190"/>
      <c r="O6" s="190"/>
      <c r="P6" s="190"/>
      <c r="Q6" s="190"/>
      <c r="R6" s="190"/>
      <c r="S6" s="190"/>
      <c r="T6" s="190"/>
      <c r="U6" s="190"/>
      <c r="V6" s="190"/>
      <c r="W6" s="190"/>
      <c r="X6" s="190"/>
      <c r="Y6" s="190"/>
      <c r="Z6" s="191"/>
      <c r="AA6" s="1"/>
      <c r="AB6" s="1"/>
      <c r="AC6" s="1"/>
      <c r="AD6" s="1"/>
      <c r="AE6" s="1"/>
      <c r="AF6" s="1"/>
    </row>
    <row r="7" spans="1:32" x14ac:dyDescent="0.3">
      <c r="A7" s="96" t="s">
        <v>42</v>
      </c>
      <c r="B7" s="34"/>
      <c r="C7" s="1"/>
      <c r="D7" s="1"/>
      <c r="E7" s="60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</row>
    <row r="8" spans="1:32" x14ac:dyDescent="0.3">
      <c r="A8" s="33"/>
      <c r="B8" s="34"/>
      <c r="C8" s="1"/>
      <c r="D8" s="97"/>
      <c r="E8" s="98"/>
      <c r="F8" s="187" t="s">
        <v>34</v>
      </c>
      <c r="G8" s="187"/>
      <c r="H8" s="187"/>
      <c r="I8" s="187"/>
      <c r="J8" s="187" t="s">
        <v>35</v>
      </c>
      <c r="K8" s="187"/>
      <c r="L8" s="187"/>
      <c r="M8" s="187"/>
      <c r="N8" s="187"/>
      <c r="O8" s="187"/>
      <c r="P8" s="187"/>
      <c r="Q8" s="187"/>
      <c r="R8" s="187"/>
      <c r="S8" s="187"/>
      <c r="T8" s="187"/>
      <c r="U8" s="187"/>
      <c r="V8" s="187"/>
      <c r="W8" s="187"/>
      <c r="X8" s="187"/>
      <c r="Y8" s="187"/>
      <c r="Z8" s="187"/>
      <c r="AA8" s="187"/>
      <c r="AB8" s="187"/>
      <c r="AC8" s="187"/>
      <c r="AD8" s="187"/>
      <c r="AE8" s="92"/>
      <c r="AF8" s="1"/>
    </row>
    <row r="9" spans="1:32" ht="57.6" x14ac:dyDescent="0.3">
      <c r="A9" s="64" t="s">
        <v>17</v>
      </c>
      <c r="B9" s="99" t="s">
        <v>43</v>
      </c>
      <c r="C9" s="92" t="s">
        <v>1</v>
      </c>
      <c r="D9" s="92" t="s">
        <v>44</v>
      </c>
      <c r="E9" s="100" t="s">
        <v>45</v>
      </c>
      <c r="F9" s="92" t="s">
        <v>46</v>
      </c>
      <c r="G9" s="92" t="s">
        <v>47</v>
      </c>
      <c r="H9" s="101" t="s">
        <v>48</v>
      </c>
      <c r="I9" s="101" t="s">
        <v>49</v>
      </c>
      <c r="J9" s="102">
        <v>0.01</v>
      </c>
      <c r="K9" s="102">
        <v>5.0000000000000001E-3</v>
      </c>
      <c r="L9" s="103">
        <v>1E-3</v>
      </c>
      <c r="M9" s="103">
        <v>5.0000000000000001E-4</v>
      </c>
      <c r="N9" s="103">
        <v>1E-4</v>
      </c>
      <c r="O9" s="53">
        <v>5.0000000000000002E-5</v>
      </c>
      <c r="P9" s="4">
        <v>2.0000000000000002E-5</v>
      </c>
      <c r="Q9" s="53">
        <v>1.0000000000000001E-5</v>
      </c>
      <c r="R9" s="4">
        <v>7.9999999999999996E-6</v>
      </c>
      <c r="S9" s="4">
        <v>6.9999999999999999E-6</v>
      </c>
      <c r="T9" s="4">
        <v>6.0000000000000002E-6</v>
      </c>
      <c r="U9" s="53">
        <v>5.0000000000000004E-6</v>
      </c>
      <c r="V9" s="4">
        <v>1.9999999999999999E-6</v>
      </c>
      <c r="W9" s="53">
        <v>9.9999999999999995E-7</v>
      </c>
      <c r="X9" s="4">
        <v>6.9999999999999997E-7</v>
      </c>
      <c r="Y9" s="53">
        <v>4.9999999999999998E-7</v>
      </c>
      <c r="Z9" s="4">
        <v>1.9999999999999999E-7</v>
      </c>
      <c r="AA9" s="4">
        <v>9.9999999999999995E-8</v>
      </c>
      <c r="AB9" s="4">
        <v>4.9999999999999998E-8</v>
      </c>
      <c r="AC9" s="4" t="s">
        <v>83</v>
      </c>
      <c r="AD9" s="92" t="s">
        <v>50</v>
      </c>
      <c r="AE9" s="92" t="s">
        <v>51</v>
      </c>
      <c r="AF9" s="92" t="s">
        <v>52</v>
      </c>
    </row>
    <row r="10" spans="1:32" x14ac:dyDescent="0.3">
      <c r="A10" s="33">
        <v>44341</v>
      </c>
      <c r="B10" s="34">
        <v>100</v>
      </c>
      <c r="C10" s="1" t="s">
        <v>53</v>
      </c>
      <c r="D10" s="6">
        <v>7.45E-4</v>
      </c>
      <c r="E10" s="60">
        <v>0.745</v>
      </c>
      <c r="F10" s="1">
        <v>65</v>
      </c>
      <c r="G10" s="6">
        <v>9.9999999999999995E-7</v>
      </c>
      <c r="H10" s="6">
        <f t="shared" ref="H10:H43" si="0">(D10*F10)/G10</f>
        <v>48425.000000000007</v>
      </c>
      <c r="I10" s="6">
        <f>(D10*F10)/(10*G10)</f>
        <v>4842.5000000000009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>
        <v>65</v>
      </c>
      <c r="X10" s="1"/>
      <c r="Y10" s="1"/>
      <c r="Z10" s="1"/>
      <c r="AA10" s="1"/>
      <c r="AB10" s="1"/>
      <c r="AC10" s="1">
        <v>0.66700000000000004</v>
      </c>
      <c r="AD10" s="6">
        <f>W10/W9</f>
        <v>65000000</v>
      </c>
      <c r="AE10" s="60">
        <f>LN(AD10/I10)/(AC10*LN(2))</f>
        <v>20.558320912836603</v>
      </c>
      <c r="AF10" s="1"/>
    </row>
    <row r="11" spans="1:32" x14ac:dyDescent="0.3">
      <c r="A11" s="33">
        <v>44342</v>
      </c>
      <c r="B11" s="34" t="s">
        <v>4</v>
      </c>
      <c r="C11" s="1" t="s">
        <v>5</v>
      </c>
      <c r="D11" s="6">
        <v>1.09E-2</v>
      </c>
      <c r="E11" s="60">
        <v>10.9</v>
      </c>
      <c r="F11" s="1">
        <v>60</v>
      </c>
      <c r="G11" s="6">
        <v>1.0000000000000001E-5</v>
      </c>
      <c r="H11" s="6">
        <f t="shared" si="0"/>
        <v>65400</v>
      </c>
      <c r="I11" s="6">
        <f>(D11*F11)/(10*G11)</f>
        <v>6540</v>
      </c>
      <c r="J11" s="1"/>
      <c r="K11" s="1"/>
      <c r="L11" s="1"/>
      <c r="M11" s="1"/>
      <c r="N11" s="1"/>
      <c r="O11" s="20">
        <v>146</v>
      </c>
      <c r="P11" s="1"/>
      <c r="Q11" s="1"/>
      <c r="R11" s="1"/>
      <c r="S11" s="1"/>
      <c r="T11" s="1"/>
      <c r="U11" s="1">
        <v>15</v>
      </c>
      <c r="V11" s="1"/>
      <c r="W11" s="1"/>
      <c r="X11" s="1"/>
      <c r="Y11" s="1"/>
      <c r="Z11" s="1"/>
      <c r="AA11" s="1"/>
      <c r="AB11" s="1"/>
      <c r="AC11" s="1">
        <v>0.66700000000000004</v>
      </c>
      <c r="AD11" s="6">
        <f>O11/O9</f>
        <v>2920000</v>
      </c>
      <c r="AE11" s="60">
        <f t="shared" ref="AE11:AE29" si="1">LN(AD11/I11)/(AC11*LN(2))</f>
        <v>13.197094479826118</v>
      </c>
      <c r="AF11" s="1"/>
    </row>
    <row r="12" spans="1:32" x14ac:dyDescent="0.3">
      <c r="A12" s="33">
        <v>44344</v>
      </c>
      <c r="B12" s="34" t="s">
        <v>19</v>
      </c>
      <c r="C12" s="1" t="s">
        <v>5</v>
      </c>
      <c r="D12" s="6">
        <v>3.4200000000000001E-2</v>
      </c>
      <c r="E12" s="60">
        <v>34.200000000000003</v>
      </c>
      <c r="F12" s="1">
        <v>43</v>
      </c>
      <c r="G12" s="6">
        <v>1.0000000000000001E-5</v>
      </c>
      <c r="H12" s="6">
        <f t="shared" si="0"/>
        <v>147060</v>
      </c>
      <c r="I12" s="6">
        <f>(D12*F12)/(10*G12)</f>
        <v>14706</v>
      </c>
      <c r="J12" s="1"/>
      <c r="K12" s="1"/>
      <c r="L12" s="1"/>
      <c r="M12" s="1"/>
      <c r="N12" s="1"/>
      <c r="O12" s="1"/>
      <c r="P12" s="1"/>
      <c r="Q12" s="20">
        <v>123</v>
      </c>
      <c r="R12" s="1"/>
      <c r="S12" s="1"/>
      <c r="T12" s="1"/>
      <c r="U12" s="1">
        <v>73</v>
      </c>
      <c r="V12" s="1"/>
      <c r="W12" s="1"/>
      <c r="X12" s="1"/>
      <c r="Y12" s="1"/>
      <c r="Z12" s="1"/>
      <c r="AA12" s="1"/>
      <c r="AB12" s="1"/>
      <c r="AC12" s="1">
        <v>0.66700000000000004</v>
      </c>
      <c r="AD12" s="6">
        <f>Q12/Q9</f>
        <v>12299999.999999998</v>
      </c>
      <c r="AE12" s="60">
        <f t="shared" si="1"/>
        <v>14.554779175694236</v>
      </c>
      <c r="AF12" s="1"/>
    </row>
    <row r="13" spans="1:32" x14ac:dyDescent="0.3">
      <c r="A13" s="33">
        <v>44349</v>
      </c>
      <c r="B13" s="34" t="s">
        <v>61</v>
      </c>
      <c r="C13" s="1" t="s">
        <v>5</v>
      </c>
      <c r="D13" s="6">
        <v>8.1300000000000001E-3</v>
      </c>
      <c r="E13" s="60">
        <v>8.1300000000000008</v>
      </c>
      <c r="F13" s="36">
        <v>59</v>
      </c>
      <c r="G13" s="6">
        <v>5.0000000000000004E-6</v>
      </c>
      <c r="H13" s="6">
        <f t="shared" si="0"/>
        <v>95933.999999999985</v>
      </c>
      <c r="I13" s="6">
        <f t="shared" ref="I13:I43" si="2">(D13*F13)/(10*G13)</f>
        <v>9593.4</v>
      </c>
      <c r="J13" s="1"/>
      <c r="K13" s="1"/>
      <c r="L13" s="1"/>
      <c r="M13" s="1"/>
      <c r="N13" s="1"/>
      <c r="O13" s="1"/>
      <c r="P13" s="1"/>
      <c r="Q13" s="20">
        <v>81</v>
      </c>
      <c r="R13" s="1"/>
      <c r="S13" s="1"/>
      <c r="T13" s="1"/>
      <c r="U13" s="36">
        <v>59</v>
      </c>
      <c r="V13" s="1"/>
      <c r="W13" s="1">
        <v>27</v>
      </c>
      <c r="X13" s="1"/>
      <c r="Y13" s="1">
        <v>20</v>
      </c>
      <c r="Z13" s="1"/>
      <c r="AA13" s="1"/>
      <c r="AB13" s="1"/>
      <c r="AC13" s="1">
        <v>0.66700000000000004</v>
      </c>
      <c r="AD13" s="6">
        <f>Q13/Q9</f>
        <v>8099999.9999999991</v>
      </c>
      <c r="AE13" s="60">
        <f t="shared" si="1"/>
        <v>14.575208366974408</v>
      </c>
      <c r="AF13" s="1" t="s">
        <v>63</v>
      </c>
    </row>
    <row r="14" spans="1:32" x14ac:dyDescent="0.3">
      <c r="A14" s="33">
        <v>44354</v>
      </c>
      <c r="B14" s="34" t="s">
        <v>62</v>
      </c>
      <c r="C14" s="1" t="s">
        <v>5</v>
      </c>
      <c r="D14" s="6">
        <v>1.23E-2</v>
      </c>
      <c r="E14" s="60">
        <v>12.3</v>
      </c>
      <c r="F14" s="1">
        <v>50</v>
      </c>
      <c r="G14" s="6">
        <v>1.0000000000000001E-5</v>
      </c>
      <c r="H14" s="6">
        <f t="shared" si="0"/>
        <v>61499.999999999993</v>
      </c>
      <c r="I14" s="6">
        <f t="shared" si="2"/>
        <v>6150</v>
      </c>
      <c r="J14" s="1"/>
      <c r="K14" s="1"/>
      <c r="L14" s="1"/>
      <c r="M14" s="1"/>
      <c r="N14" s="1"/>
      <c r="O14" s="1">
        <v>289</v>
      </c>
      <c r="P14" s="1"/>
      <c r="Q14" s="20">
        <v>65</v>
      </c>
      <c r="R14" s="1"/>
      <c r="S14" s="1"/>
      <c r="T14" s="1"/>
      <c r="U14" s="1">
        <v>38</v>
      </c>
      <c r="V14" s="1"/>
      <c r="W14" s="1">
        <v>4</v>
      </c>
      <c r="X14" s="1"/>
      <c r="Y14" s="1"/>
      <c r="Z14" s="1"/>
      <c r="AA14" s="1"/>
      <c r="AB14" s="1"/>
      <c r="AC14" s="1">
        <v>0.66700000000000004</v>
      </c>
      <c r="AD14" s="6">
        <f>Q14/Q9</f>
        <v>6499999.9999999991</v>
      </c>
      <c r="AE14" s="60">
        <f t="shared" si="1"/>
        <v>15.06092592556417</v>
      </c>
      <c r="AF14" s="1" t="s">
        <v>64</v>
      </c>
    </row>
    <row r="15" spans="1:32" s="73" customFormat="1" x14ac:dyDescent="0.3">
      <c r="A15" s="65">
        <v>44354</v>
      </c>
      <c r="B15" s="66" t="s">
        <v>6</v>
      </c>
      <c r="C15" s="67" t="s">
        <v>7</v>
      </c>
      <c r="D15" s="68">
        <v>1.0800000000000001E-2</v>
      </c>
      <c r="E15" s="69">
        <v>10.8</v>
      </c>
      <c r="F15" s="67">
        <v>72</v>
      </c>
      <c r="G15" s="68">
        <v>1.0000000000000001E-5</v>
      </c>
      <c r="H15" s="68">
        <f>(D15*F15)/G15</f>
        <v>77760</v>
      </c>
      <c r="I15" s="68">
        <f>(D15*F15)/(10*G15)</f>
        <v>7776</v>
      </c>
      <c r="J15" s="67"/>
      <c r="K15" s="67"/>
      <c r="L15" s="67"/>
      <c r="M15" s="67"/>
      <c r="N15" s="67">
        <v>142</v>
      </c>
      <c r="O15" s="71">
        <v>82</v>
      </c>
      <c r="P15" s="67"/>
      <c r="Q15" s="70">
        <v>17</v>
      </c>
      <c r="R15" s="67"/>
      <c r="S15" s="67"/>
      <c r="T15" s="67"/>
      <c r="U15" s="67">
        <v>7</v>
      </c>
      <c r="V15" s="67"/>
      <c r="W15" s="67"/>
      <c r="X15" s="67"/>
      <c r="Y15" s="67"/>
      <c r="Z15" s="67"/>
      <c r="AA15" s="67"/>
      <c r="AB15" s="67"/>
      <c r="AC15" s="67">
        <v>0.66700000000000004</v>
      </c>
      <c r="AD15" s="68">
        <f>O15/O9</f>
        <v>1640000</v>
      </c>
      <c r="AE15" s="69">
        <f t="shared" si="1"/>
        <v>11.574890375654801</v>
      </c>
      <c r="AF15" s="67"/>
    </row>
    <row r="16" spans="1:32" s="73" customFormat="1" x14ac:dyDescent="0.3">
      <c r="A16" s="65">
        <v>44357</v>
      </c>
      <c r="B16" s="66" t="s">
        <v>66</v>
      </c>
      <c r="C16" s="67" t="s">
        <v>7</v>
      </c>
      <c r="D16" s="68">
        <v>1.388888888888889E-2</v>
      </c>
      <c r="E16" s="74">
        <v>13.9</v>
      </c>
      <c r="F16" s="70">
        <v>48</v>
      </c>
      <c r="G16" s="68">
        <v>5.0000000000000002E-5</v>
      </c>
      <c r="H16" s="75">
        <f t="shared" si="0"/>
        <v>13333.333333333334</v>
      </c>
      <c r="I16" s="75">
        <f t="shared" si="2"/>
        <v>1333.3333333333335</v>
      </c>
      <c r="J16" s="67"/>
      <c r="K16" s="67"/>
      <c r="L16" s="67"/>
      <c r="M16" s="67"/>
      <c r="N16" s="71">
        <v>46</v>
      </c>
      <c r="O16" s="70">
        <v>38</v>
      </c>
      <c r="P16" s="67"/>
      <c r="Q16" s="70">
        <v>5</v>
      </c>
      <c r="R16" s="67"/>
      <c r="S16" s="67"/>
      <c r="T16" s="67"/>
      <c r="U16" s="70">
        <v>4</v>
      </c>
      <c r="V16" s="67"/>
      <c r="W16" s="67"/>
      <c r="X16" s="67"/>
      <c r="Y16" s="67"/>
      <c r="Z16" s="67"/>
      <c r="AA16" s="67"/>
      <c r="AB16" s="67"/>
      <c r="AC16" s="67">
        <v>0.66700000000000004</v>
      </c>
      <c r="AD16" s="68">
        <f>N16/N9</f>
        <v>460000</v>
      </c>
      <c r="AE16" s="69">
        <f t="shared" si="1"/>
        <v>12.639359147924335</v>
      </c>
      <c r="AF16" s="67"/>
    </row>
    <row r="17" spans="1:32" s="73" customFormat="1" x14ac:dyDescent="0.3">
      <c r="A17" s="65">
        <v>44357</v>
      </c>
      <c r="B17" s="66" t="s">
        <v>65</v>
      </c>
      <c r="C17" s="67" t="s">
        <v>5</v>
      </c>
      <c r="D17" s="68">
        <v>1.5384615384615387E-2</v>
      </c>
      <c r="E17" s="74">
        <v>15.4</v>
      </c>
      <c r="F17" s="70">
        <v>63</v>
      </c>
      <c r="G17" s="68">
        <v>1.0000000000000001E-5</v>
      </c>
      <c r="H17" s="75">
        <f t="shared" si="0"/>
        <v>96923.076923076922</v>
      </c>
      <c r="I17" s="75">
        <f t="shared" si="2"/>
        <v>9692.3076923076933</v>
      </c>
      <c r="J17" s="67"/>
      <c r="K17" s="67"/>
      <c r="L17" s="67"/>
      <c r="M17" s="67"/>
      <c r="N17" s="67"/>
      <c r="O17" s="67">
        <v>312</v>
      </c>
      <c r="P17" s="67"/>
      <c r="Q17" s="71">
        <v>81</v>
      </c>
      <c r="R17" s="67"/>
      <c r="S17" s="67"/>
      <c r="T17" s="67"/>
      <c r="U17" s="67">
        <v>42</v>
      </c>
      <c r="V17" s="67"/>
      <c r="W17" s="67">
        <v>12</v>
      </c>
      <c r="X17" s="67"/>
      <c r="Y17" s="67"/>
      <c r="Z17" s="67"/>
      <c r="AA17" s="67"/>
      <c r="AB17" s="67"/>
      <c r="AC17" s="67">
        <v>0.66700000000000004</v>
      </c>
      <c r="AD17" s="68">
        <f>Q17/Q9</f>
        <v>8099999.9999999991</v>
      </c>
      <c r="AE17" s="69">
        <f t="shared" si="1"/>
        <v>14.553022469715929</v>
      </c>
      <c r="AF17" s="67"/>
    </row>
    <row r="18" spans="1:32" s="86" customFormat="1" x14ac:dyDescent="0.3">
      <c r="A18" s="83">
        <v>44358</v>
      </c>
      <c r="B18" s="84" t="s">
        <v>75</v>
      </c>
      <c r="C18" s="70" t="s">
        <v>7</v>
      </c>
      <c r="D18" s="75">
        <v>0.217391304347826</v>
      </c>
      <c r="E18" s="74">
        <v>217</v>
      </c>
      <c r="F18" s="70">
        <v>64</v>
      </c>
      <c r="G18" s="75">
        <v>1E-4</v>
      </c>
      <c r="H18" s="75">
        <f t="shared" si="0"/>
        <v>139130.43478260865</v>
      </c>
      <c r="I18" s="75">
        <f t="shared" si="2"/>
        <v>13913.043478260863</v>
      </c>
      <c r="J18" s="70"/>
      <c r="K18" s="70"/>
      <c r="L18" s="70"/>
      <c r="M18" s="70"/>
      <c r="N18" s="70"/>
      <c r="O18" s="71">
        <v>151</v>
      </c>
      <c r="P18" s="70"/>
      <c r="Q18" s="70">
        <v>43</v>
      </c>
      <c r="R18" s="70"/>
      <c r="S18" s="70"/>
      <c r="T18" s="70"/>
      <c r="U18" s="70">
        <v>13</v>
      </c>
      <c r="V18" s="70"/>
      <c r="W18" s="70">
        <v>2</v>
      </c>
      <c r="X18" s="70"/>
      <c r="Y18" s="70"/>
      <c r="Z18" s="70"/>
      <c r="AA18" s="70"/>
      <c r="AB18" s="70"/>
      <c r="AC18" s="70">
        <v>0.66700000000000004</v>
      </c>
      <c r="AD18" s="75">
        <f>O18/O9</f>
        <v>3020000</v>
      </c>
      <c r="AE18" s="74">
        <f t="shared" si="1"/>
        <v>11.637131477334473</v>
      </c>
      <c r="AF18" s="70"/>
    </row>
    <row r="19" spans="1:32" s="73" customFormat="1" x14ac:dyDescent="0.3">
      <c r="A19" s="65">
        <v>44358</v>
      </c>
      <c r="B19" s="66" t="s">
        <v>8</v>
      </c>
      <c r="C19" s="67" t="s">
        <v>9</v>
      </c>
      <c r="D19" s="68">
        <v>1.9230769230769232E-2</v>
      </c>
      <c r="E19" s="74">
        <v>19.2</v>
      </c>
      <c r="F19" s="70">
        <v>96</v>
      </c>
      <c r="G19" s="68">
        <v>5.0000000000000002E-5</v>
      </c>
      <c r="H19" s="75">
        <f t="shared" si="0"/>
        <v>36923.076923076922</v>
      </c>
      <c r="I19" s="75">
        <f t="shared" si="2"/>
        <v>3692.3076923076924</v>
      </c>
      <c r="J19" s="67"/>
      <c r="K19" s="67"/>
      <c r="L19" s="67"/>
      <c r="M19" s="67"/>
      <c r="N19" s="67"/>
      <c r="O19" s="67"/>
      <c r="P19" s="67"/>
      <c r="Q19" s="67"/>
      <c r="R19" s="67"/>
      <c r="S19" s="67"/>
      <c r="T19" s="67"/>
      <c r="U19" s="71">
        <v>32</v>
      </c>
      <c r="V19" s="67"/>
      <c r="W19" s="70">
        <v>9</v>
      </c>
      <c r="X19" s="67"/>
      <c r="Y19" s="67">
        <v>6</v>
      </c>
      <c r="Z19" s="67"/>
      <c r="AA19" s="67">
        <v>2</v>
      </c>
      <c r="AB19" s="67"/>
      <c r="AC19" s="67">
        <v>0.66700000000000004</v>
      </c>
      <c r="AD19" s="68">
        <f>U19/U9</f>
        <v>6399999.9999999991</v>
      </c>
      <c r="AE19" s="75">
        <f>LN(AD19/I19)/(AC19*LN(2))</f>
        <v>16.130934643470255</v>
      </c>
      <c r="AF19" s="67"/>
    </row>
    <row r="20" spans="1:32" s="73" customFormat="1" x14ac:dyDescent="0.3">
      <c r="A20" s="65">
        <v>44361</v>
      </c>
      <c r="B20" s="66" t="s">
        <v>79</v>
      </c>
      <c r="C20" s="67" t="s">
        <v>9</v>
      </c>
      <c r="D20" s="68">
        <v>1.5625000000000003E-2</v>
      </c>
      <c r="E20" s="69">
        <v>15.6</v>
      </c>
      <c r="F20" s="70">
        <v>222</v>
      </c>
      <c r="G20" s="68">
        <v>5.0000000000000002E-5</v>
      </c>
      <c r="H20" s="75">
        <f t="shared" si="0"/>
        <v>69375.000000000015</v>
      </c>
      <c r="I20" s="75">
        <f t="shared" si="2"/>
        <v>6937.5000000000018</v>
      </c>
      <c r="J20" s="67"/>
      <c r="K20" s="67"/>
      <c r="L20" s="67"/>
      <c r="M20" s="67"/>
      <c r="N20" s="67"/>
      <c r="O20" s="67" t="s">
        <v>78</v>
      </c>
      <c r="P20" s="67"/>
      <c r="Q20" s="71">
        <v>154</v>
      </c>
      <c r="R20" s="67"/>
      <c r="S20" s="67"/>
      <c r="T20" s="67"/>
      <c r="U20" s="70">
        <v>83</v>
      </c>
      <c r="V20" s="67"/>
      <c r="W20" s="70">
        <v>25</v>
      </c>
      <c r="X20" s="67"/>
      <c r="Y20" s="67"/>
      <c r="Z20" s="67"/>
      <c r="AA20" s="67"/>
      <c r="AB20" s="67"/>
      <c r="AC20" s="67">
        <v>0.66700000000000004</v>
      </c>
      <c r="AD20" s="68">
        <f>Q20/Q9</f>
        <v>15399999.999999998</v>
      </c>
      <c r="AE20" s="69">
        <f t="shared" si="1"/>
        <v>16.666007292533013</v>
      </c>
      <c r="AF20" s="67"/>
    </row>
    <row r="21" spans="1:32" s="73" customFormat="1" x14ac:dyDescent="0.3">
      <c r="A21" s="65">
        <v>44361</v>
      </c>
      <c r="B21" s="66" t="s">
        <v>80</v>
      </c>
      <c r="C21" s="67" t="s">
        <v>7</v>
      </c>
      <c r="D21" s="68">
        <v>3.3112582781456956E-2</v>
      </c>
      <c r="E21" s="69">
        <v>33.1</v>
      </c>
      <c r="F21" s="70">
        <v>114</v>
      </c>
      <c r="G21" s="68">
        <v>5.0000000000000002E-5</v>
      </c>
      <c r="H21" s="75">
        <f t="shared" si="0"/>
        <v>75496.688741721853</v>
      </c>
      <c r="I21" s="75">
        <f t="shared" si="2"/>
        <v>7549.6688741721855</v>
      </c>
      <c r="J21" s="67"/>
      <c r="K21" s="67"/>
      <c r="L21" s="67"/>
      <c r="M21" s="67"/>
      <c r="N21" s="67"/>
      <c r="O21" s="67">
        <v>169</v>
      </c>
      <c r="P21" s="67"/>
      <c r="Q21" s="70">
        <v>34</v>
      </c>
      <c r="R21" s="67"/>
      <c r="S21" s="67"/>
      <c r="T21" s="67"/>
      <c r="U21" s="70">
        <v>14</v>
      </c>
      <c r="V21" s="67"/>
      <c r="W21" s="70">
        <v>10</v>
      </c>
      <c r="X21" s="67"/>
      <c r="Y21" s="67"/>
      <c r="Z21" s="67"/>
      <c r="AA21" s="67"/>
      <c r="AB21" s="67"/>
      <c r="AC21" s="67">
        <v>0.66700000000000004</v>
      </c>
      <c r="AD21" s="68">
        <f>O21/O9</f>
        <v>3380000</v>
      </c>
      <c r="AE21" s="69">
        <f t="shared" si="1"/>
        <v>13.202989747290138</v>
      </c>
      <c r="AF21" s="67"/>
    </row>
    <row r="22" spans="1:32" s="73" customFormat="1" x14ac:dyDescent="0.3">
      <c r="A22" s="65">
        <v>44362</v>
      </c>
      <c r="B22" s="66">
        <v>203</v>
      </c>
      <c r="C22" s="70" t="s">
        <v>10</v>
      </c>
      <c r="D22" s="68">
        <v>0.15151515151515199</v>
      </c>
      <c r="E22" s="69">
        <v>152</v>
      </c>
      <c r="F22" s="70">
        <v>172</v>
      </c>
      <c r="G22" s="68">
        <v>5.0000000000000001E-4</v>
      </c>
      <c r="H22" s="75">
        <f t="shared" si="0"/>
        <v>52121.212121212287</v>
      </c>
      <c r="I22" s="75">
        <f t="shared" si="2"/>
        <v>5212.1212121212284</v>
      </c>
      <c r="J22" s="67"/>
      <c r="K22" s="67"/>
      <c r="L22" s="71">
        <v>69</v>
      </c>
      <c r="M22" s="67">
        <v>43</v>
      </c>
      <c r="N22" s="67">
        <v>8</v>
      </c>
      <c r="O22" s="67">
        <v>3</v>
      </c>
      <c r="P22" s="67"/>
      <c r="Q22" s="67"/>
      <c r="R22" s="67"/>
      <c r="S22" s="67"/>
      <c r="T22" s="67"/>
      <c r="U22" s="67"/>
      <c r="V22" s="67"/>
      <c r="W22" s="67"/>
      <c r="X22" s="67"/>
      <c r="Y22" s="67"/>
      <c r="Z22" s="67"/>
      <c r="AA22" s="67"/>
      <c r="AB22" s="67"/>
      <c r="AC22" s="67">
        <v>0.66700000000000004</v>
      </c>
      <c r="AD22" s="68">
        <f>L22/L9</f>
        <v>69000</v>
      </c>
      <c r="AE22" s="69">
        <f t="shared" si="1"/>
        <v>5.5871871385824896</v>
      </c>
      <c r="AF22" s="67"/>
    </row>
    <row r="23" spans="1:32" s="73" customFormat="1" x14ac:dyDescent="0.3">
      <c r="A23" s="65">
        <v>44363</v>
      </c>
      <c r="B23" s="66" t="s">
        <v>89</v>
      </c>
      <c r="C23" s="70" t="s">
        <v>9</v>
      </c>
      <c r="D23" s="68">
        <v>6.4935064935064939E-3</v>
      </c>
      <c r="E23" s="74">
        <v>6.49</v>
      </c>
      <c r="F23" s="70">
        <v>110</v>
      </c>
      <c r="G23" s="68">
        <v>5.0000000000000004E-6</v>
      </c>
      <c r="H23" s="75">
        <f t="shared" si="0"/>
        <v>142857.14285714284</v>
      </c>
      <c r="I23" s="75">
        <f t="shared" si="2"/>
        <v>14285.714285714286</v>
      </c>
      <c r="J23" s="67"/>
      <c r="K23" s="67"/>
      <c r="L23" s="67"/>
      <c r="M23" s="67"/>
      <c r="N23" s="67"/>
      <c r="O23" s="67"/>
      <c r="P23" s="67"/>
      <c r="Q23" s="67" t="s">
        <v>82</v>
      </c>
      <c r="R23" s="67"/>
      <c r="S23" s="67"/>
      <c r="T23" s="67"/>
      <c r="U23" s="71">
        <v>194</v>
      </c>
      <c r="V23" s="67"/>
      <c r="W23" s="70">
        <v>53</v>
      </c>
      <c r="X23" s="67"/>
      <c r="Y23" s="67">
        <v>29</v>
      </c>
      <c r="Z23" s="67"/>
      <c r="AA23" s="67"/>
      <c r="AB23" s="67"/>
      <c r="AC23" s="67">
        <v>0.66700000000000004</v>
      </c>
      <c r="AD23" s="68">
        <f>U23/U9</f>
        <v>38800000</v>
      </c>
      <c r="AE23" s="69">
        <f t="shared" si="1"/>
        <v>17.102350471131533</v>
      </c>
      <c r="AF23" s="67"/>
    </row>
    <row r="24" spans="1:32" s="73" customFormat="1" x14ac:dyDescent="0.3">
      <c r="A24" s="65">
        <v>44364</v>
      </c>
      <c r="B24" s="66" t="s">
        <v>81</v>
      </c>
      <c r="C24" s="70" t="s">
        <v>7</v>
      </c>
      <c r="D24" s="68">
        <v>2.9585798816568001E-2</v>
      </c>
      <c r="E24" s="74">
        <v>29.6</v>
      </c>
      <c r="F24" s="70">
        <v>139</v>
      </c>
      <c r="G24" s="68">
        <v>5.0000000000000002E-5</v>
      </c>
      <c r="H24" s="75">
        <f t="shared" si="0"/>
        <v>82248.520710059034</v>
      </c>
      <c r="I24" s="75">
        <f t="shared" si="2"/>
        <v>8224.8520710059038</v>
      </c>
      <c r="J24" s="67"/>
      <c r="K24" s="67"/>
      <c r="L24" s="67"/>
      <c r="M24" s="67"/>
      <c r="N24" s="67"/>
      <c r="O24" s="71">
        <v>173</v>
      </c>
      <c r="P24" s="67"/>
      <c r="Q24" s="67">
        <v>27</v>
      </c>
      <c r="R24" s="67"/>
      <c r="S24" s="67"/>
      <c r="T24" s="67"/>
      <c r="U24" s="61">
        <v>14</v>
      </c>
      <c r="V24" s="67"/>
      <c r="W24" s="70">
        <v>5</v>
      </c>
      <c r="X24" s="67"/>
      <c r="Y24" s="67"/>
      <c r="Z24" s="67"/>
      <c r="AA24" s="67"/>
      <c r="AB24" s="67"/>
      <c r="AC24" s="70">
        <v>0.66700000000000004</v>
      </c>
      <c r="AD24" s="68">
        <f>O24/O9</f>
        <v>3460000</v>
      </c>
      <c r="AE24" s="69">
        <f t="shared" si="1"/>
        <v>13.068315728928642</v>
      </c>
      <c r="AF24" s="67"/>
    </row>
    <row r="25" spans="1:32" s="73" customFormat="1" x14ac:dyDescent="0.3">
      <c r="A25" s="65">
        <v>44364</v>
      </c>
      <c r="B25" s="66" t="s">
        <v>104</v>
      </c>
      <c r="C25" s="70" t="s">
        <v>9</v>
      </c>
      <c r="D25" s="68">
        <v>2.5773195876288659E-3</v>
      </c>
      <c r="E25" s="74">
        <v>2.58</v>
      </c>
      <c r="F25" s="70">
        <v>147</v>
      </c>
      <c r="G25" s="68">
        <v>5.0000000000000004E-6</v>
      </c>
      <c r="H25" s="75">
        <f t="shared" si="0"/>
        <v>75773.19587628865</v>
      </c>
      <c r="I25" s="75">
        <f t="shared" si="2"/>
        <v>7577.3195876288655</v>
      </c>
      <c r="J25" s="67"/>
      <c r="K25" s="67"/>
      <c r="L25" s="67"/>
      <c r="M25" s="67"/>
      <c r="N25" s="67"/>
      <c r="O25" s="67"/>
      <c r="P25" s="67"/>
      <c r="Q25" s="71">
        <v>149</v>
      </c>
      <c r="R25" s="67"/>
      <c r="S25" s="67"/>
      <c r="T25" s="67"/>
      <c r="U25" s="70">
        <v>74</v>
      </c>
      <c r="V25" s="67"/>
      <c r="W25" s="70">
        <v>14</v>
      </c>
      <c r="X25" s="67"/>
      <c r="Y25" s="67">
        <v>6</v>
      </c>
      <c r="Z25" s="67"/>
      <c r="AA25" s="67"/>
      <c r="AB25" s="67"/>
      <c r="AC25" s="70">
        <v>0.66700000000000004</v>
      </c>
      <c r="AD25" s="68">
        <f>Q25/Q9</f>
        <v>14899999.999999998</v>
      </c>
      <c r="AE25" s="69">
        <f t="shared" si="1"/>
        <v>16.403803767166846</v>
      </c>
      <c r="AF25" s="67"/>
    </row>
    <row r="26" spans="1:32" s="73" customFormat="1" x14ac:dyDescent="0.3">
      <c r="A26" s="65">
        <v>44364</v>
      </c>
      <c r="B26" s="91">
        <v>203.1</v>
      </c>
      <c r="C26" s="70" t="s">
        <v>10</v>
      </c>
      <c r="D26" s="68">
        <v>0.14492753623188406</v>
      </c>
      <c r="E26" s="74">
        <v>144.5</v>
      </c>
      <c r="F26" s="70">
        <v>252</v>
      </c>
      <c r="G26" s="68">
        <v>5.0000000000000001E-3</v>
      </c>
      <c r="H26" s="75">
        <f t="shared" si="0"/>
        <v>7304.347826086956</v>
      </c>
      <c r="I26" s="75">
        <f t="shared" si="2"/>
        <v>730.43478260869563</v>
      </c>
      <c r="J26" s="67"/>
      <c r="K26" s="67"/>
      <c r="L26" s="67"/>
      <c r="M26" s="67"/>
      <c r="N26" s="67"/>
      <c r="O26" s="67" t="s">
        <v>82</v>
      </c>
      <c r="P26" s="67"/>
      <c r="Q26" s="67">
        <v>316</v>
      </c>
      <c r="R26" s="67"/>
      <c r="S26" s="67"/>
      <c r="T26" s="67"/>
      <c r="U26" s="71">
        <v>157</v>
      </c>
      <c r="V26" s="67"/>
      <c r="W26" s="70">
        <v>37</v>
      </c>
      <c r="X26" s="67"/>
      <c r="Y26" s="67"/>
      <c r="Z26" s="67"/>
      <c r="AA26" s="67"/>
      <c r="AB26" s="67"/>
      <c r="AC26" s="70">
        <v>2.25</v>
      </c>
      <c r="AD26" s="68">
        <f>U26/U9</f>
        <v>31399999.999999996</v>
      </c>
      <c r="AE26" s="69">
        <f t="shared" si="1"/>
        <v>6.8407331408142076</v>
      </c>
      <c r="AF26" s="67" t="s">
        <v>91</v>
      </c>
    </row>
    <row r="27" spans="1:32" s="73" customFormat="1" x14ac:dyDescent="0.3">
      <c r="A27" s="65">
        <v>44365</v>
      </c>
      <c r="B27" s="66" t="s">
        <v>92</v>
      </c>
      <c r="C27" s="70" t="s">
        <v>9</v>
      </c>
      <c r="D27" s="68">
        <v>6.7114093959731551E-3</v>
      </c>
      <c r="E27" s="74">
        <v>6.71</v>
      </c>
      <c r="F27" s="70">
        <v>107</v>
      </c>
      <c r="G27" s="68">
        <v>1.0000000000000001E-5</v>
      </c>
      <c r="H27" s="75">
        <f t="shared" si="0"/>
        <v>71812.080536912748</v>
      </c>
      <c r="I27" s="75">
        <f t="shared" si="2"/>
        <v>7181.2080536912754</v>
      </c>
      <c r="J27" s="67"/>
      <c r="K27" s="67"/>
      <c r="L27" s="67"/>
      <c r="M27" s="67"/>
      <c r="N27" s="67"/>
      <c r="O27" s="67"/>
      <c r="P27" s="67"/>
      <c r="Q27" s="71">
        <v>180</v>
      </c>
      <c r="R27" s="67"/>
      <c r="S27" s="67"/>
      <c r="T27" s="67"/>
      <c r="U27" s="70">
        <v>16</v>
      </c>
      <c r="V27" s="67"/>
      <c r="W27" s="70">
        <v>9</v>
      </c>
      <c r="X27" s="67"/>
      <c r="Y27" s="67"/>
      <c r="Z27" s="67"/>
      <c r="AA27" s="67"/>
      <c r="AB27" s="67"/>
      <c r="AC27" s="70">
        <v>0.66700000000000004</v>
      </c>
      <c r="AD27" s="68">
        <f>Q27/Q9</f>
        <v>18000000</v>
      </c>
      <c r="AE27" s="69">
        <f t="shared" si="1"/>
        <v>16.928759708063048</v>
      </c>
      <c r="AF27" s="67"/>
    </row>
    <row r="28" spans="1:32" s="73" customFormat="1" x14ac:dyDescent="0.3">
      <c r="A28" s="65">
        <v>44364</v>
      </c>
      <c r="B28" s="66">
        <v>206</v>
      </c>
      <c r="C28" s="70" t="s">
        <v>11</v>
      </c>
      <c r="D28" s="68">
        <v>4.4444444444444444E-3</v>
      </c>
      <c r="E28" s="74">
        <v>4.4400000000000004</v>
      </c>
      <c r="F28" s="70">
        <v>82</v>
      </c>
      <c r="G28" s="68">
        <v>1.0000000000000001E-5</v>
      </c>
      <c r="H28" s="75">
        <f t="shared" si="0"/>
        <v>36444.444444444445</v>
      </c>
      <c r="I28" s="75">
        <f t="shared" si="2"/>
        <v>3644.4444444444443</v>
      </c>
      <c r="J28" s="67"/>
      <c r="K28" s="67"/>
      <c r="L28" s="67"/>
      <c r="M28" s="67"/>
      <c r="N28" s="67"/>
      <c r="O28" s="71">
        <v>123</v>
      </c>
      <c r="P28" s="67"/>
      <c r="Q28" s="67">
        <v>24</v>
      </c>
      <c r="R28" s="67"/>
      <c r="S28" s="67"/>
      <c r="T28" s="67"/>
      <c r="U28" s="67">
        <v>9</v>
      </c>
      <c r="V28" s="67"/>
      <c r="W28" s="70">
        <v>3</v>
      </c>
      <c r="X28" s="67"/>
      <c r="Y28" s="67"/>
      <c r="Z28" s="67"/>
      <c r="AA28" s="67"/>
      <c r="AB28" s="67"/>
      <c r="AC28" s="70">
        <v>1</v>
      </c>
      <c r="AD28" s="68">
        <f>O28/O9</f>
        <v>2460000</v>
      </c>
      <c r="AE28" s="69">
        <f t="shared" si="1"/>
        <v>9.3987436919381935</v>
      </c>
      <c r="AF28" s="67"/>
    </row>
    <row r="29" spans="1:32" s="73" customFormat="1" x14ac:dyDescent="0.3">
      <c r="A29" s="65">
        <v>44376</v>
      </c>
      <c r="B29" s="66">
        <v>206.1</v>
      </c>
      <c r="C29" s="70" t="s">
        <v>11</v>
      </c>
      <c r="D29" s="68">
        <v>4.065040650406504E-2</v>
      </c>
      <c r="E29" s="74">
        <v>40.700000000000003</v>
      </c>
      <c r="F29" s="70">
        <v>90</v>
      </c>
      <c r="G29" s="68">
        <v>5.0000000000000002E-5</v>
      </c>
      <c r="H29" s="75">
        <f t="shared" si="0"/>
        <v>73170.731707317071</v>
      </c>
      <c r="I29" s="75">
        <f t="shared" si="2"/>
        <v>7317.0731707317063</v>
      </c>
      <c r="J29" s="67"/>
      <c r="K29" s="67"/>
      <c r="L29" s="67"/>
      <c r="M29" s="67"/>
      <c r="N29" s="67"/>
      <c r="O29" s="67">
        <v>319</v>
      </c>
      <c r="P29" s="67"/>
      <c r="Q29" s="51">
        <v>61</v>
      </c>
      <c r="R29" s="67"/>
      <c r="S29" s="67"/>
      <c r="T29" s="67"/>
      <c r="U29" s="71">
        <v>50</v>
      </c>
      <c r="V29" s="67"/>
      <c r="W29" s="70">
        <v>8</v>
      </c>
      <c r="X29" s="67"/>
      <c r="Y29" s="67"/>
      <c r="Z29" s="67"/>
      <c r="AA29" s="67"/>
      <c r="AB29" s="67"/>
      <c r="AC29" s="70">
        <v>1</v>
      </c>
      <c r="AD29" s="68">
        <f>Q29/Q9</f>
        <v>6099999.9999999991</v>
      </c>
      <c r="AE29" s="69">
        <f t="shared" si="1"/>
        <v>9.7033268414598144</v>
      </c>
      <c r="AF29" s="67" t="s">
        <v>90</v>
      </c>
    </row>
    <row r="30" spans="1:32" s="73" customFormat="1" x14ac:dyDescent="0.3">
      <c r="A30" s="65">
        <v>44376</v>
      </c>
      <c r="B30" s="91">
        <v>203.2</v>
      </c>
      <c r="C30" s="70" t="s">
        <v>10</v>
      </c>
      <c r="D30" s="68">
        <v>3.1847133757961798E-3</v>
      </c>
      <c r="E30" s="74">
        <v>3.18</v>
      </c>
      <c r="F30" s="70">
        <v>59</v>
      </c>
      <c r="G30" s="68">
        <v>5.0000000000000004E-6</v>
      </c>
      <c r="H30" s="75">
        <f t="shared" si="0"/>
        <v>37579.617834394921</v>
      </c>
      <c r="I30" s="75">
        <f t="shared" si="2"/>
        <v>3757.9617834394921</v>
      </c>
      <c r="J30" s="67"/>
      <c r="K30" s="67"/>
      <c r="L30" s="67"/>
      <c r="M30" s="67"/>
      <c r="N30" s="67"/>
      <c r="O30" s="67" t="s">
        <v>78</v>
      </c>
      <c r="P30" s="67"/>
      <c r="Q30" s="67" t="s">
        <v>78</v>
      </c>
      <c r="R30" s="67"/>
      <c r="S30" s="67"/>
      <c r="T30" s="67"/>
      <c r="U30" s="67">
        <v>381</v>
      </c>
      <c r="V30" s="67"/>
      <c r="W30" s="71">
        <v>102</v>
      </c>
      <c r="X30" s="67"/>
      <c r="Y30" s="67"/>
      <c r="Z30" s="67"/>
      <c r="AA30" s="67"/>
      <c r="AB30" s="67"/>
      <c r="AC30" s="70">
        <v>2</v>
      </c>
      <c r="AD30" s="68">
        <f>W30/W9</f>
        <v>102000000</v>
      </c>
      <c r="AE30" s="69">
        <f>LN(AD30/I30)/(AC30*LN(2))</f>
        <v>7.3641296156380029</v>
      </c>
      <c r="AF30" s="67"/>
    </row>
    <row r="31" spans="1:32" s="73" customFormat="1" x14ac:dyDescent="0.3">
      <c r="A31" s="33">
        <v>44364</v>
      </c>
      <c r="B31" s="109">
        <v>203.1</v>
      </c>
      <c r="C31" s="36" t="s">
        <v>10</v>
      </c>
      <c r="D31" s="6">
        <v>0.14492753623188406</v>
      </c>
      <c r="E31" s="63">
        <v>144.5</v>
      </c>
      <c r="F31" s="36">
        <v>252</v>
      </c>
      <c r="G31" s="6">
        <v>5.0000000000000001E-3</v>
      </c>
      <c r="H31" s="50">
        <f t="shared" ref="H31:H33" si="3">(D31*F31)/G31</f>
        <v>7304.347826086956</v>
      </c>
      <c r="I31" s="50">
        <f t="shared" ref="I31:I33" si="4">(D31*F31)/(10*G31)</f>
        <v>730.43478260869563</v>
      </c>
      <c r="J31" s="1"/>
      <c r="K31" s="1"/>
      <c r="L31" s="1"/>
      <c r="M31" s="1"/>
      <c r="N31" s="1"/>
      <c r="O31" s="1" t="s">
        <v>78</v>
      </c>
      <c r="P31" s="1"/>
      <c r="Q31" s="1">
        <v>316</v>
      </c>
      <c r="R31" s="1"/>
      <c r="S31" s="1"/>
      <c r="T31" s="1"/>
      <c r="U31" s="20">
        <v>157</v>
      </c>
      <c r="V31" s="1"/>
      <c r="W31" s="36">
        <v>37</v>
      </c>
      <c r="X31" s="1"/>
      <c r="Y31" s="1"/>
      <c r="Z31" s="1"/>
      <c r="AA31" s="1"/>
      <c r="AB31" s="1"/>
      <c r="AC31" s="106">
        <v>2.25</v>
      </c>
      <c r="AD31" s="107">
        <f>U31/U9</f>
        <v>31399999.999999996</v>
      </c>
      <c r="AE31" s="108">
        <f t="shared" ref="AE31" si="5">LN(AD31/I31)/(AC31*LN(2))</f>
        <v>6.8407331408142076</v>
      </c>
      <c r="AF31" s="188" t="s">
        <v>113</v>
      </c>
    </row>
    <row r="32" spans="1:32" s="73" customFormat="1" x14ac:dyDescent="0.3">
      <c r="A32" s="33">
        <v>44376</v>
      </c>
      <c r="B32" s="109">
        <v>203.2</v>
      </c>
      <c r="C32" s="36" t="s">
        <v>10</v>
      </c>
      <c r="D32" s="6">
        <v>3.1847133757961798E-4</v>
      </c>
      <c r="E32" s="63">
        <v>3.18</v>
      </c>
      <c r="F32" s="36">
        <v>59</v>
      </c>
      <c r="G32" s="6">
        <v>5.0000000000000004E-6</v>
      </c>
      <c r="H32" s="50">
        <f t="shared" si="3"/>
        <v>3757.9617834394921</v>
      </c>
      <c r="I32" s="50">
        <f t="shared" si="4"/>
        <v>375.79617834394924</v>
      </c>
      <c r="J32" s="1"/>
      <c r="K32" s="1"/>
      <c r="L32" s="1"/>
      <c r="M32" s="1"/>
      <c r="N32" s="1"/>
      <c r="O32" s="1" t="s">
        <v>78</v>
      </c>
      <c r="P32" s="1"/>
      <c r="Q32" s="1" t="s">
        <v>78</v>
      </c>
      <c r="R32" s="1"/>
      <c r="S32" s="1"/>
      <c r="T32" s="1"/>
      <c r="U32" s="1">
        <v>381</v>
      </c>
      <c r="V32" s="1"/>
      <c r="W32" s="20">
        <v>102</v>
      </c>
      <c r="X32" s="1"/>
      <c r="Y32" s="1"/>
      <c r="Z32" s="1"/>
      <c r="AA32" s="1"/>
      <c r="AB32" s="1"/>
      <c r="AC32" s="106">
        <v>2</v>
      </c>
      <c r="AD32" s="107">
        <f>W32/W9</f>
        <v>102000000</v>
      </c>
      <c r="AE32" s="108">
        <f t="shared" ref="AE32:AE43" si="6">LN(AD32/I32)/(AC32*LN(2))</f>
        <v>9.0250936630816838</v>
      </c>
      <c r="AF32" s="188"/>
    </row>
    <row r="33" spans="1:32" s="73" customFormat="1" x14ac:dyDescent="0.3">
      <c r="A33" s="33">
        <v>44379</v>
      </c>
      <c r="B33" s="109">
        <v>203.3</v>
      </c>
      <c r="C33" s="36" t="s">
        <v>10</v>
      </c>
      <c r="D33" s="6">
        <v>9.8039215686274508E-4</v>
      </c>
      <c r="E33" s="63">
        <v>0.98</v>
      </c>
      <c r="F33" s="36">
        <v>112</v>
      </c>
      <c r="G33" s="6">
        <v>9.9999999999999995E-7</v>
      </c>
      <c r="H33" s="50">
        <f t="shared" si="3"/>
        <v>109803.92156862745</v>
      </c>
      <c r="I33" s="50">
        <f t="shared" si="4"/>
        <v>10980.392156862747</v>
      </c>
      <c r="J33" s="1"/>
      <c r="K33" s="1"/>
      <c r="L33" s="1"/>
      <c r="M33" s="1"/>
      <c r="N33" s="1"/>
      <c r="O33" s="1" t="s">
        <v>78</v>
      </c>
      <c r="P33" s="1"/>
      <c r="Q33" s="1" t="s">
        <v>78</v>
      </c>
      <c r="R33" s="1"/>
      <c r="S33" s="1"/>
      <c r="T33" s="1"/>
      <c r="U33" s="1" t="s">
        <v>78</v>
      </c>
      <c r="V33" s="1"/>
      <c r="W33" s="20">
        <v>347</v>
      </c>
      <c r="X33" s="1"/>
      <c r="Y33" s="1"/>
      <c r="Z33" s="1"/>
      <c r="AA33" s="1"/>
      <c r="AB33" s="1"/>
      <c r="AC33" s="106">
        <v>1.5</v>
      </c>
      <c r="AD33" s="107">
        <f>W33/W9</f>
        <v>347000000</v>
      </c>
      <c r="AE33" s="108">
        <f t="shared" si="6"/>
        <v>9.9651456415112527</v>
      </c>
      <c r="AF33" s="188"/>
    </row>
    <row r="34" spans="1:32" x14ac:dyDescent="0.3">
      <c r="A34" s="65">
        <v>44379</v>
      </c>
      <c r="B34" s="91">
        <v>203.3</v>
      </c>
      <c r="C34" s="70" t="s">
        <v>10</v>
      </c>
      <c r="D34" s="68">
        <v>9.8039215686274508E-4</v>
      </c>
      <c r="E34" s="74">
        <v>0.98</v>
      </c>
      <c r="F34" s="70">
        <v>112</v>
      </c>
      <c r="G34" s="68">
        <v>9.9999999999999995E-7</v>
      </c>
      <c r="H34" s="75">
        <f t="shared" si="0"/>
        <v>109803.92156862745</v>
      </c>
      <c r="I34" s="75">
        <f t="shared" si="2"/>
        <v>10980.392156862747</v>
      </c>
      <c r="J34" s="67"/>
      <c r="K34" s="67"/>
      <c r="L34" s="67"/>
      <c r="M34" s="67"/>
      <c r="N34" s="67"/>
      <c r="O34" s="67" t="s">
        <v>78</v>
      </c>
      <c r="P34" s="67"/>
      <c r="Q34" s="67" t="s">
        <v>78</v>
      </c>
      <c r="R34" s="67"/>
      <c r="S34" s="67"/>
      <c r="T34" s="67"/>
      <c r="U34" s="67" t="s">
        <v>78</v>
      </c>
      <c r="V34" s="67"/>
      <c r="W34" s="71">
        <v>347</v>
      </c>
      <c r="X34" s="67"/>
      <c r="Y34" s="67"/>
      <c r="Z34" s="67"/>
      <c r="AA34" s="67"/>
      <c r="AB34" s="67"/>
      <c r="AC34" s="70">
        <v>1.5</v>
      </c>
      <c r="AD34" s="68">
        <f>W34/W9</f>
        <v>347000000</v>
      </c>
      <c r="AE34" s="69">
        <f t="shared" si="6"/>
        <v>9.9651456415112527</v>
      </c>
      <c r="AF34" s="67" t="s">
        <v>94</v>
      </c>
    </row>
    <row r="35" spans="1:32" x14ac:dyDescent="0.3">
      <c r="A35" s="65">
        <v>44379</v>
      </c>
      <c r="B35" s="66">
        <v>206.2</v>
      </c>
      <c r="C35" s="70" t="s">
        <v>11</v>
      </c>
      <c r="D35" s="68">
        <v>1.6393442622950821E-2</v>
      </c>
      <c r="E35" s="74">
        <v>16.39</v>
      </c>
      <c r="F35" s="70">
        <v>66</v>
      </c>
      <c r="G35" s="68">
        <v>1.0000000000000001E-5</v>
      </c>
      <c r="H35" s="75">
        <f t="shared" si="0"/>
        <v>108196.72131147541</v>
      </c>
      <c r="I35" s="75">
        <f t="shared" si="2"/>
        <v>10819.672131147541</v>
      </c>
      <c r="J35" s="67"/>
      <c r="K35" s="67"/>
      <c r="L35" s="67"/>
      <c r="M35" s="67"/>
      <c r="N35" s="67"/>
      <c r="O35" s="67" t="s">
        <v>78</v>
      </c>
      <c r="P35" s="67"/>
      <c r="Q35" s="71">
        <v>146</v>
      </c>
      <c r="R35" s="67"/>
      <c r="S35" s="67"/>
      <c r="T35" s="67"/>
      <c r="U35" s="67">
        <v>69</v>
      </c>
      <c r="V35" s="67"/>
      <c r="W35" s="70">
        <v>6</v>
      </c>
      <c r="X35" s="67"/>
      <c r="Y35" s="67"/>
      <c r="Z35" s="67"/>
      <c r="AA35" s="67"/>
      <c r="AB35" s="67"/>
      <c r="AC35" s="70">
        <v>1</v>
      </c>
      <c r="AD35" s="68">
        <f>Q35/Q9</f>
        <v>14599999.999999998</v>
      </c>
      <c r="AE35" s="69">
        <f t="shared" si="6"/>
        <v>10.398095871971812</v>
      </c>
      <c r="AF35" s="67" t="s">
        <v>93</v>
      </c>
    </row>
    <row r="36" spans="1:32" x14ac:dyDescent="0.3">
      <c r="A36" s="65">
        <v>44383</v>
      </c>
      <c r="B36" s="66">
        <v>206.3</v>
      </c>
      <c r="C36" s="70" t="s">
        <v>11</v>
      </c>
      <c r="D36" s="68">
        <v>6.8493150684931512E-3</v>
      </c>
      <c r="E36" s="74">
        <v>6.85</v>
      </c>
      <c r="F36" s="70">
        <v>69</v>
      </c>
      <c r="G36" s="68">
        <v>5.0000000000000004E-6</v>
      </c>
      <c r="H36" s="75">
        <f t="shared" si="0"/>
        <v>94520.547945205486</v>
      </c>
      <c r="I36" s="75">
        <f t="shared" si="2"/>
        <v>9452.054794520549</v>
      </c>
      <c r="J36" s="67"/>
      <c r="K36" s="67"/>
      <c r="L36" s="67"/>
      <c r="M36" s="67"/>
      <c r="N36" s="67"/>
      <c r="O36" s="70" t="s">
        <v>78</v>
      </c>
      <c r="P36" s="67"/>
      <c r="Q36" s="71">
        <v>157</v>
      </c>
      <c r="R36" s="67"/>
      <c r="S36" s="67"/>
      <c r="T36" s="67"/>
      <c r="U36" s="70">
        <v>80</v>
      </c>
      <c r="V36" s="67"/>
      <c r="W36" s="70">
        <v>18</v>
      </c>
      <c r="X36" s="67"/>
      <c r="Y36" s="67"/>
      <c r="Z36" s="67"/>
      <c r="AA36" s="67"/>
      <c r="AB36" s="67"/>
      <c r="AC36" s="70">
        <v>1</v>
      </c>
      <c r="AD36" s="68">
        <f>Q36/Q9</f>
        <v>15699999.999999998</v>
      </c>
      <c r="AE36" s="69">
        <f t="shared" si="6"/>
        <v>10.697848945880837</v>
      </c>
      <c r="AF36" s="67"/>
    </row>
    <row r="37" spans="1:32" x14ac:dyDescent="0.3">
      <c r="A37" s="33">
        <v>44384</v>
      </c>
      <c r="B37" s="34">
        <v>203.4</v>
      </c>
      <c r="C37" s="1" t="s">
        <v>10</v>
      </c>
      <c r="D37" s="6">
        <v>2.8818443804034583E-4</v>
      </c>
      <c r="E37" s="74">
        <v>2.88</v>
      </c>
      <c r="F37" s="51">
        <v>956</v>
      </c>
      <c r="G37" s="90">
        <v>5.0000000000000004E-6</v>
      </c>
      <c r="H37" s="75">
        <f t="shared" si="0"/>
        <v>55100.864553314117</v>
      </c>
      <c r="I37" s="75">
        <f t="shared" si="2"/>
        <v>5510.0864553314123</v>
      </c>
      <c r="J37" s="1"/>
      <c r="K37" s="1"/>
      <c r="L37" s="1"/>
      <c r="M37" s="1"/>
      <c r="N37" s="1"/>
      <c r="O37" s="20">
        <v>176</v>
      </c>
      <c r="P37" s="1"/>
      <c r="Q37" s="36">
        <v>39</v>
      </c>
      <c r="R37" s="1"/>
      <c r="S37" s="1"/>
      <c r="T37" s="1"/>
      <c r="U37" s="36">
        <v>20</v>
      </c>
      <c r="V37" s="1"/>
      <c r="W37" s="36">
        <v>3</v>
      </c>
      <c r="X37" s="1"/>
      <c r="Y37" s="1"/>
      <c r="Z37" s="1"/>
      <c r="AA37" s="1"/>
      <c r="AB37" s="1"/>
      <c r="AC37" s="70">
        <v>1</v>
      </c>
      <c r="AD37" s="6">
        <f>O37/O9</f>
        <v>3520000</v>
      </c>
      <c r="AE37" s="69">
        <f t="shared" si="6"/>
        <v>9.3192847581221727</v>
      </c>
      <c r="AF37" s="70" t="s">
        <v>112</v>
      </c>
    </row>
    <row r="38" spans="1:32" x14ac:dyDescent="0.3">
      <c r="A38" s="33">
        <v>44384</v>
      </c>
      <c r="B38" s="34">
        <v>223</v>
      </c>
      <c r="C38" s="1" t="s">
        <v>114</v>
      </c>
      <c r="D38" s="6">
        <v>2.9411764705882353E-2</v>
      </c>
      <c r="E38" s="74">
        <v>29.4</v>
      </c>
      <c r="F38" s="70">
        <v>97</v>
      </c>
      <c r="G38" s="6">
        <v>5.0000000000000002E-5</v>
      </c>
      <c r="H38" s="75">
        <f t="shared" si="0"/>
        <v>57058.823529411762</v>
      </c>
      <c r="I38" s="75">
        <f t="shared" si="2"/>
        <v>5705.8823529411766</v>
      </c>
      <c r="J38" s="1"/>
      <c r="K38" s="1"/>
      <c r="L38" s="1"/>
      <c r="M38" s="1"/>
      <c r="N38" s="1"/>
      <c r="O38" s="20">
        <v>116</v>
      </c>
      <c r="P38" s="1"/>
      <c r="Q38" s="36">
        <v>37</v>
      </c>
      <c r="R38" s="1"/>
      <c r="S38" s="1"/>
      <c r="T38" s="1"/>
      <c r="U38" s="36">
        <v>19</v>
      </c>
      <c r="V38" s="1"/>
      <c r="W38" s="36">
        <v>0</v>
      </c>
      <c r="X38" s="1"/>
      <c r="Y38" s="1"/>
      <c r="Z38" s="1"/>
      <c r="AA38" s="1"/>
      <c r="AB38" s="1"/>
      <c r="AC38" s="70">
        <v>1</v>
      </c>
      <c r="AD38" s="6">
        <f>O38/O9</f>
        <v>2320000</v>
      </c>
      <c r="AE38" s="69">
        <f t="shared" si="6"/>
        <v>8.6674590890781467</v>
      </c>
      <c r="AF38" s="70" t="s">
        <v>115</v>
      </c>
    </row>
    <row r="39" spans="1:32" x14ac:dyDescent="0.3">
      <c r="A39" s="33">
        <v>44384</v>
      </c>
      <c r="B39" s="34">
        <v>206.4</v>
      </c>
      <c r="C39" s="1" t="s">
        <v>11</v>
      </c>
      <c r="D39" s="6">
        <v>6.3694267515923579E-3</v>
      </c>
      <c r="E39" s="74">
        <v>6.37</v>
      </c>
      <c r="F39" s="70">
        <v>124</v>
      </c>
      <c r="G39" s="6">
        <v>5.0000000000000004E-6</v>
      </c>
      <c r="H39" s="75">
        <f t="shared" si="0"/>
        <v>157961.78343949048</v>
      </c>
      <c r="I39" s="75">
        <f t="shared" si="2"/>
        <v>15796.178343949046</v>
      </c>
      <c r="J39" s="1"/>
      <c r="K39" s="1"/>
      <c r="L39" s="1"/>
      <c r="M39" s="1"/>
      <c r="N39" s="1"/>
      <c r="O39" s="1">
        <v>184</v>
      </c>
      <c r="P39" s="1"/>
      <c r="Q39" s="20">
        <v>49</v>
      </c>
      <c r="R39" s="1"/>
      <c r="S39" s="1"/>
      <c r="T39" s="1"/>
      <c r="U39" s="36">
        <v>30</v>
      </c>
      <c r="V39" s="1"/>
      <c r="W39" s="36">
        <v>6</v>
      </c>
      <c r="X39" s="1"/>
      <c r="Y39" s="1"/>
      <c r="Z39" s="1"/>
      <c r="AA39" s="1"/>
      <c r="AB39" s="1"/>
      <c r="AC39" s="70">
        <v>1</v>
      </c>
      <c r="AD39" s="6">
        <f>Q39/Q9</f>
        <v>4900000</v>
      </c>
      <c r="AE39" s="69">
        <f t="shared" si="6"/>
        <v>8.2770623775073222</v>
      </c>
      <c r="AF39" s="70" t="s">
        <v>115</v>
      </c>
    </row>
    <row r="40" spans="1:32" x14ac:dyDescent="0.3">
      <c r="A40" s="33">
        <v>44385</v>
      </c>
      <c r="B40" s="34">
        <v>223.1</v>
      </c>
      <c r="C40" s="1" t="s">
        <v>114</v>
      </c>
      <c r="D40" s="6">
        <v>4.3103448275862072E-2</v>
      </c>
      <c r="E40" s="74">
        <v>43.1</v>
      </c>
      <c r="F40" s="70">
        <v>80</v>
      </c>
      <c r="G40" s="6">
        <v>5.0000000000000002E-5</v>
      </c>
      <c r="H40" s="75">
        <f t="shared" si="0"/>
        <v>68965.517241379319</v>
      </c>
      <c r="I40" s="75">
        <f t="shared" si="2"/>
        <v>6896.5517241379312</v>
      </c>
      <c r="J40" s="1"/>
      <c r="K40" s="1"/>
      <c r="L40" s="1"/>
      <c r="M40" s="1"/>
      <c r="N40" s="1"/>
      <c r="O40" s="1"/>
      <c r="P40" s="1"/>
      <c r="Q40" s="36">
        <v>245</v>
      </c>
      <c r="R40" s="1"/>
      <c r="S40" s="1"/>
      <c r="T40" s="1"/>
      <c r="U40" s="20">
        <v>124</v>
      </c>
      <c r="V40" s="1"/>
      <c r="W40" s="36">
        <v>21</v>
      </c>
      <c r="X40" s="1"/>
      <c r="Y40" s="1">
        <v>15</v>
      </c>
      <c r="Z40" s="1"/>
      <c r="AA40" s="1"/>
      <c r="AB40" s="1"/>
      <c r="AC40" s="70">
        <v>1.25</v>
      </c>
      <c r="AD40" s="6">
        <f>U40/U9</f>
        <v>24799999.999999996</v>
      </c>
      <c r="AE40" s="69">
        <f t="shared" si="6"/>
        <v>9.4497418444115571</v>
      </c>
      <c r="AF40" s="70" t="s">
        <v>115</v>
      </c>
    </row>
    <row r="41" spans="1:32" x14ac:dyDescent="0.3">
      <c r="A41" s="33">
        <v>44386</v>
      </c>
      <c r="B41" s="34">
        <v>223.2</v>
      </c>
      <c r="C41" s="1" t="s">
        <v>114</v>
      </c>
      <c r="D41" s="6">
        <v>4.0322580645161298E-3</v>
      </c>
      <c r="E41" s="74">
        <v>4.03</v>
      </c>
      <c r="F41" s="70">
        <v>93</v>
      </c>
      <c r="G41" s="6">
        <v>5.0000000000000004E-6</v>
      </c>
      <c r="H41" s="75">
        <f t="shared" si="0"/>
        <v>75000</v>
      </c>
      <c r="I41" s="75">
        <f t="shared" si="2"/>
        <v>7500.0000000000009</v>
      </c>
      <c r="J41" s="1"/>
      <c r="K41" s="1"/>
      <c r="L41" s="1"/>
      <c r="M41" s="1"/>
      <c r="N41" s="1"/>
      <c r="O41" s="36">
        <v>401</v>
      </c>
      <c r="P41" s="1"/>
      <c r="Q41" s="20">
        <v>75</v>
      </c>
      <c r="R41" s="1"/>
      <c r="S41" s="1"/>
      <c r="T41" s="1"/>
      <c r="U41" s="36">
        <v>38</v>
      </c>
      <c r="V41" s="1"/>
      <c r="W41" s="36">
        <v>7</v>
      </c>
      <c r="X41" s="1"/>
      <c r="Y41" s="1"/>
      <c r="Z41" s="1"/>
      <c r="AA41" s="1"/>
      <c r="AB41" s="1"/>
      <c r="AC41" s="70">
        <v>1</v>
      </c>
      <c r="AD41" s="6">
        <f>Q41/Q9</f>
        <v>7499999.9999999991</v>
      </c>
      <c r="AE41" s="69">
        <f t="shared" si="6"/>
        <v>9.965784284662087</v>
      </c>
      <c r="AF41" s="70" t="s">
        <v>115</v>
      </c>
    </row>
    <row r="42" spans="1:32" x14ac:dyDescent="0.3">
      <c r="A42" s="33">
        <v>44389</v>
      </c>
      <c r="B42" s="34">
        <v>224</v>
      </c>
      <c r="C42" s="36" t="s">
        <v>126</v>
      </c>
      <c r="D42" s="6">
        <v>3.2894736842105261E-2</v>
      </c>
      <c r="E42" s="74">
        <v>32.9</v>
      </c>
      <c r="F42" s="70">
        <v>125</v>
      </c>
      <c r="G42" s="6">
        <v>5.0000000000000001E-3</v>
      </c>
      <c r="H42" s="75">
        <f t="shared" si="0"/>
        <v>822.36842105263145</v>
      </c>
      <c r="I42" s="75">
        <f t="shared" si="2"/>
        <v>82.23684210526315</v>
      </c>
      <c r="J42" s="1"/>
      <c r="K42" s="1"/>
      <c r="L42" s="1" t="s">
        <v>127</v>
      </c>
      <c r="M42" s="1" t="s">
        <v>127</v>
      </c>
      <c r="N42" s="1" t="s">
        <v>127</v>
      </c>
      <c r="O42" s="20">
        <v>184</v>
      </c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70">
        <v>6</v>
      </c>
      <c r="AD42" s="6">
        <f>O42/O9</f>
        <v>3680000</v>
      </c>
      <c r="AE42" s="69">
        <f t="shared" si="6"/>
        <v>2.5749268957688729</v>
      </c>
      <c r="AF42" s="70" t="s">
        <v>115</v>
      </c>
    </row>
    <row r="43" spans="1:32" x14ac:dyDescent="0.3">
      <c r="A43" s="33">
        <v>44389</v>
      </c>
      <c r="B43" s="34">
        <v>223.3</v>
      </c>
      <c r="C43" s="1" t="s">
        <v>114</v>
      </c>
      <c r="D43" s="6">
        <v>1.3333333333333334E-2</v>
      </c>
      <c r="E43" s="74">
        <v>13.3</v>
      </c>
      <c r="F43" s="70">
        <v>60</v>
      </c>
      <c r="G43" s="6">
        <v>1.0000000000000001E-5</v>
      </c>
      <c r="H43" s="75">
        <f t="shared" si="0"/>
        <v>80000</v>
      </c>
      <c r="I43" s="75">
        <f t="shared" si="2"/>
        <v>8000</v>
      </c>
      <c r="J43" s="1"/>
      <c r="K43" s="1"/>
      <c r="L43" s="1"/>
      <c r="M43" s="1"/>
      <c r="N43" s="1"/>
      <c r="O43" s="36">
        <v>304</v>
      </c>
      <c r="P43" s="1"/>
      <c r="Q43" s="20">
        <v>59</v>
      </c>
      <c r="R43" s="1"/>
      <c r="S43" s="1"/>
      <c r="T43" s="1"/>
      <c r="U43" s="1">
        <v>23</v>
      </c>
      <c r="V43" s="1"/>
      <c r="W43" s="1">
        <v>6</v>
      </c>
      <c r="X43" s="1"/>
      <c r="Y43" s="1"/>
      <c r="Z43" s="1"/>
      <c r="AA43" s="1"/>
      <c r="AB43" s="1"/>
      <c r="AC43" s="70">
        <v>1</v>
      </c>
      <c r="AD43" s="6">
        <f>Q43/Q9</f>
        <v>5899999.9999999991</v>
      </c>
      <c r="AE43" s="69">
        <f t="shared" si="6"/>
        <v>9.5264992391365659</v>
      </c>
      <c r="AF43" s="70" t="s">
        <v>128</v>
      </c>
    </row>
    <row r="44" spans="1:32" x14ac:dyDescent="0.3">
      <c r="A44" s="33">
        <v>44390</v>
      </c>
      <c r="B44" s="34">
        <v>223.4</v>
      </c>
      <c r="C44" s="1" t="s">
        <v>114</v>
      </c>
      <c r="D44" s="6">
        <v>1.6949152542372881E-2</v>
      </c>
      <c r="E44" s="74">
        <v>16.899999999999999</v>
      </c>
      <c r="F44" s="70">
        <v>57</v>
      </c>
      <c r="G44" s="6">
        <v>1.0000000000000001E-5</v>
      </c>
      <c r="H44" s="75">
        <f>(D44*F44)/G44</f>
        <v>96610.169491525419</v>
      </c>
      <c r="I44" s="75">
        <f>(D44*F44)/(10*G44)</f>
        <v>9661.0169491525412</v>
      </c>
      <c r="J44" s="1"/>
      <c r="K44" s="1"/>
      <c r="L44" s="1"/>
      <c r="M44" s="1"/>
      <c r="N44" s="1"/>
      <c r="O44" s="20">
        <v>209</v>
      </c>
      <c r="P44" s="1"/>
      <c r="Q44" s="1">
        <v>39</v>
      </c>
      <c r="R44" s="1"/>
      <c r="S44" s="1"/>
      <c r="T44" s="1"/>
      <c r="U44" s="1">
        <v>30</v>
      </c>
      <c r="V44" s="1"/>
      <c r="W44" s="1">
        <v>5</v>
      </c>
      <c r="X44" s="1"/>
      <c r="Y44" s="1"/>
      <c r="Z44" s="1"/>
      <c r="AA44" s="1"/>
      <c r="AB44" s="1"/>
      <c r="AC44" s="70">
        <v>1</v>
      </c>
      <c r="AD44" s="6">
        <f>O44/O9</f>
        <v>4180000</v>
      </c>
      <c r="AE44" s="69">
        <f>LN(AD44/I44)/(AC44*LN(2))</f>
        <v>8.7571121672779828</v>
      </c>
      <c r="AF44" s="70" t="s">
        <v>115</v>
      </c>
    </row>
    <row r="45" spans="1:32" x14ac:dyDescent="0.3">
      <c r="A45" s="33">
        <v>44390</v>
      </c>
      <c r="B45" s="155">
        <v>224.1</v>
      </c>
      <c r="C45" s="36" t="s">
        <v>126</v>
      </c>
      <c r="D45" s="6">
        <v>2.717391304347826E-2</v>
      </c>
      <c r="E45" s="74">
        <v>27.2</v>
      </c>
      <c r="F45" s="61">
        <v>174</v>
      </c>
      <c r="G45" s="115">
        <v>5.0000000000000002E-5</v>
      </c>
      <c r="H45" s="75">
        <f>(D45*F45)/G45</f>
        <v>94565.217391304337</v>
      </c>
      <c r="I45" s="75">
        <f>(D45*F45)/(10*G45)</f>
        <v>9456.5217391304341</v>
      </c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54" t="s">
        <v>78</v>
      </c>
      <c r="X45" s="1"/>
      <c r="Y45" s="1" t="s">
        <v>78</v>
      </c>
      <c r="Z45" s="1"/>
      <c r="AA45" s="20">
        <v>82</v>
      </c>
      <c r="AB45" s="1">
        <v>51</v>
      </c>
      <c r="AC45" s="70">
        <v>4</v>
      </c>
      <c r="AD45" s="6">
        <f>AA45/AA9</f>
        <v>820000000</v>
      </c>
      <c r="AE45" s="69">
        <f>LN(AD45/I45)/(AC45*LN(2))</f>
        <v>4.100988687372114</v>
      </c>
      <c r="AF45" s="70" t="s">
        <v>91</v>
      </c>
    </row>
    <row r="46" spans="1:32" x14ac:dyDescent="0.3">
      <c r="A46" s="156">
        <v>44391</v>
      </c>
      <c r="B46" s="34">
        <v>224.2</v>
      </c>
      <c r="C46" s="36" t="s">
        <v>126</v>
      </c>
      <c r="D46" s="6">
        <v>1.04712041884817E-4</v>
      </c>
      <c r="E46" s="74">
        <v>0.1047</v>
      </c>
      <c r="F46" s="70">
        <v>82</v>
      </c>
      <c r="G46" s="6">
        <v>9.9999999999999995E-8</v>
      </c>
      <c r="H46" s="75">
        <f>(D46*F46)/G46</f>
        <v>85863.874345549935</v>
      </c>
      <c r="I46" s="75">
        <f>(D46*F46)/(10*G46)</f>
        <v>8586.3874345549939</v>
      </c>
      <c r="J46" s="1"/>
      <c r="K46" s="1"/>
      <c r="L46" s="1"/>
      <c r="M46" s="1"/>
      <c r="N46" s="1"/>
      <c r="O46" s="1" t="s">
        <v>78</v>
      </c>
      <c r="P46" s="1"/>
      <c r="Q46" s="1" t="s">
        <v>78</v>
      </c>
      <c r="R46" s="1"/>
      <c r="S46" s="1"/>
      <c r="T46" s="1"/>
      <c r="U46" s="1" t="s">
        <v>78</v>
      </c>
      <c r="V46" s="1"/>
      <c r="W46" s="20">
        <v>195</v>
      </c>
      <c r="X46" s="1"/>
      <c r="Y46" s="1"/>
      <c r="Z46" s="1"/>
      <c r="AA46" s="1"/>
      <c r="AB46" s="1"/>
      <c r="AC46" s="70">
        <v>2.25</v>
      </c>
      <c r="AD46" s="6">
        <f>W46/W9</f>
        <v>195000000</v>
      </c>
      <c r="AE46" s="69">
        <f>LN(AD46/I46)/(AC46*LN(2))</f>
        <v>6.4315837008631096</v>
      </c>
      <c r="AF46" s="70" t="s">
        <v>131</v>
      </c>
    </row>
    <row r="47" spans="1:32" x14ac:dyDescent="0.3">
      <c r="A47" s="33">
        <v>44396</v>
      </c>
      <c r="B47" s="34">
        <v>224.3</v>
      </c>
      <c r="C47" s="36" t="s">
        <v>126</v>
      </c>
      <c r="D47" s="6">
        <v>5.128E-4</v>
      </c>
      <c r="E47" s="74">
        <v>0.51280000000000003</v>
      </c>
      <c r="F47" s="70">
        <v>99</v>
      </c>
      <c r="G47" s="6">
        <v>4.9999999999999998E-7</v>
      </c>
      <c r="H47" s="75">
        <f>(D47*F47)/G47</f>
        <v>101534.40000000001</v>
      </c>
      <c r="I47" s="75">
        <f>(D47*F47)/(10*G47)</f>
        <v>10153.44</v>
      </c>
      <c r="J47" s="1"/>
      <c r="K47" s="1"/>
      <c r="L47" s="1"/>
      <c r="M47" s="1"/>
      <c r="N47" s="1"/>
      <c r="O47" s="20">
        <v>46</v>
      </c>
      <c r="P47" s="1"/>
      <c r="Q47" s="1">
        <v>14</v>
      </c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70">
        <v>1.5</v>
      </c>
      <c r="AD47" s="6">
        <f>O47/O9</f>
        <v>920000</v>
      </c>
      <c r="AE47" s="74">
        <f>LN(AD47/I47)/(AC47*LN(2))</f>
        <v>4.3343955724552243</v>
      </c>
      <c r="AF47" s="1" t="s">
        <v>131</v>
      </c>
    </row>
    <row r="48" spans="1:32" x14ac:dyDescent="0.3">
      <c r="A48" s="33">
        <v>44397</v>
      </c>
      <c r="B48" s="34">
        <v>224.4</v>
      </c>
      <c r="C48" s="36" t="s">
        <v>126</v>
      </c>
      <c r="D48" s="131">
        <v>0.10869565217391304</v>
      </c>
      <c r="E48" s="74">
        <v>108.7</v>
      </c>
      <c r="F48" s="70">
        <v>77</v>
      </c>
      <c r="G48" s="6">
        <v>1E-4</v>
      </c>
      <c r="H48" s="75">
        <f>(D48*F48)/G48</f>
        <v>83695.65217391304</v>
      </c>
      <c r="I48" s="75">
        <f>(D48*F48)/(10*G48)</f>
        <v>8369.565217391304</v>
      </c>
      <c r="J48" s="1"/>
      <c r="K48" s="1"/>
      <c r="L48" s="1"/>
      <c r="M48" s="1"/>
      <c r="N48" s="1"/>
      <c r="O48" s="1" t="s">
        <v>78</v>
      </c>
      <c r="P48" s="1"/>
      <c r="Q48" s="36">
        <v>509</v>
      </c>
      <c r="R48" s="1"/>
      <c r="S48" s="1"/>
      <c r="T48" s="1"/>
      <c r="U48" s="1" t="s">
        <v>133</v>
      </c>
      <c r="V48" s="1"/>
      <c r="W48" s="20">
        <v>44</v>
      </c>
      <c r="X48" s="1"/>
      <c r="Y48" s="1"/>
      <c r="Z48" s="1"/>
      <c r="AA48" s="1"/>
      <c r="AB48" s="1"/>
      <c r="AC48" s="70">
        <v>2.25</v>
      </c>
      <c r="AD48" s="6">
        <f>W48/W9</f>
        <v>44000000</v>
      </c>
      <c r="AE48" s="74">
        <f>LN(AD48/I48)/(AC48*LN(2))</f>
        <v>5.4933614327885039</v>
      </c>
      <c r="AF48" s="36" t="s">
        <v>131</v>
      </c>
    </row>
  </sheetData>
  <mergeCells count="8">
    <mergeCell ref="F8:I8"/>
    <mergeCell ref="J8:AD8"/>
    <mergeCell ref="AF31:AF33"/>
    <mergeCell ref="A2:U2"/>
    <mergeCell ref="A3:Z3"/>
    <mergeCell ref="A4:Z4"/>
    <mergeCell ref="A5:Z5"/>
    <mergeCell ref="A6:Z6"/>
  </mergeCells>
  <phoneticPr fontId="7" type="noConversion"/>
  <pageMargins left="0.7" right="0.7" top="0.75" bottom="0.75" header="0.3" footer="0.3"/>
  <pageSetup scale="25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8A7CE-A2BD-4CDC-946B-6C6EE02438F1}">
  <sheetPr>
    <pageSetUpPr fitToPage="1"/>
  </sheetPr>
  <dimension ref="A1:O45"/>
  <sheetViews>
    <sheetView tabSelected="1" topLeftCell="A16" zoomScale="71" zoomScaleNormal="88" workbookViewId="0">
      <selection activeCell="G31" sqref="G31"/>
    </sheetView>
  </sheetViews>
  <sheetFormatPr defaultRowHeight="14.4" x14ac:dyDescent="0.3"/>
  <cols>
    <col min="2" max="2" width="18.5546875" bestFit="1" customWidth="1"/>
    <col min="3" max="3" width="10" style="62" bestFit="1" customWidth="1"/>
    <col min="5" max="5" width="18" style="88" bestFit="1" customWidth="1"/>
    <col min="6" max="6" width="15.33203125" style="82" bestFit="1" customWidth="1"/>
    <col min="7" max="7" width="18.33203125" style="88" bestFit="1" customWidth="1"/>
    <col min="8" max="9" width="8.5546875" style="29" bestFit="1" customWidth="1"/>
    <col min="10" max="10" width="16" bestFit="1" customWidth="1"/>
    <col min="11" max="11" width="12.44140625" style="82" bestFit="1" customWidth="1"/>
    <col min="12" max="12" width="27.6640625" style="82" bestFit="1" customWidth="1"/>
    <col min="13" max="13" width="29.109375" style="82" bestFit="1" customWidth="1"/>
    <col min="14" max="14" width="11.33203125" style="82" bestFit="1" customWidth="1"/>
    <col min="15" max="15" width="81.88671875" customWidth="1"/>
  </cols>
  <sheetData>
    <row r="1" spans="1:15" x14ac:dyDescent="0.3">
      <c r="A1" s="173" t="s">
        <v>0</v>
      </c>
      <c r="B1" s="173" t="s">
        <v>1</v>
      </c>
      <c r="C1" s="174" t="s">
        <v>17</v>
      </c>
      <c r="D1" s="173" t="s">
        <v>95</v>
      </c>
      <c r="E1" s="175" t="s">
        <v>98</v>
      </c>
      <c r="F1" s="176" t="s">
        <v>74</v>
      </c>
      <c r="G1" s="175" t="s">
        <v>125</v>
      </c>
      <c r="H1" s="177" t="s">
        <v>100</v>
      </c>
      <c r="I1" s="177" t="s">
        <v>101</v>
      </c>
      <c r="J1" s="173" t="s">
        <v>83</v>
      </c>
      <c r="K1" s="176" t="s">
        <v>97</v>
      </c>
      <c r="L1" s="176" t="s">
        <v>120</v>
      </c>
      <c r="M1" s="176" t="s">
        <v>119</v>
      </c>
      <c r="N1" s="178" t="s">
        <v>96</v>
      </c>
      <c r="O1" s="173" t="s">
        <v>99</v>
      </c>
    </row>
    <row r="2" spans="1:15" x14ac:dyDescent="0.3">
      <c r="A2" s="1" t="s">
        <v>19</v>
      </c>
      <c r="B2" s="1" t="s">
        <v>5</v>
      </c>
      <c r="C2" s="33">
        <v>44342</v>
      </c>
      <c r="D2" s="1">
        <v>1</v>
      </c>
      <c r="E2" s="114">
        <v>13.197100000000001</v>
      </c>
      <c r="F2" s="157">
        <v>13.43948826002206</v>
      </c>
      <c r="G2" s="114">
        <v>10.9</v>
      </c>
      <c r="H2" s="6">
        <v>6540</v>
      </c>
      <c r="I2" s="6">
        <v>2920000</v>
      </c>
      <c r="J2" s="1">
        <v>0.66700000000000004</v>
      </c>
      <c r="K2" s="93" t="s">
        <v>109</v>
      </c>
      <c r="L2" s="93" t="s">
        <v>110</v>
      </c>
      <c r="M2" s="93" t="s">
        <v>110</v>
      </c>
      <c r="N2" s="87" t="s">
        <v>108</v>
      </c>
      <c r="O2" s="126"/>
    </row>
    <row r="3" spans="1:15" x14ac:dyDescent="0.3">
      <c r="A3" s="1" t="s">
        <v>61</v>
      </c>
      <c r="B3" s="1" t="s">
        <v>5</v>
      </c>
      <c r="C3" s="33">
        <v>44344</v>
      </c>
      <c r="D3" s="1">
        <v>2</v>
      </c>
      <c r="E3" s="114">
        <v>14.554779175694236</v>
      </c>
      <c r="F3" s="157">
        <v>15.388955414366837</v>
      </c>
      <c r="G3" s="114">
        <v>34.200000000000003</v>
      </c>
      <c r="H3" s="6">
        <v>14706</v>
      </c>
      <c r="I3" s="6">
        <v>12299999.999999998</v>
      </c>
      <c r="J3" s="1">
        <v>0.66700000000000004</v>
      </c>
      <c r="K3" s="93" t="s">
        <v>109</v>
      </c>
      <c r="L3" s="93" t="s">
        <v>110</v>
      </c>
      <c r="M3" s="93" t="s">
        <v>110</v>
      </c>
      <c r="N3" s="87" t="s">
        <v>108</v>
      </c>
      <c r="O3" s="126"/>
    </row>
    <row r="4" spans="1:15" x14ac:dyDescent="0.3">
      <c r="A4" s="1" t="s">
        <v>62</v>
      </c>
      <c r="B4" s="1" t="s">
        <v>5</v>
      </c>
      <c r="C4" s="33">
        <v>44349</v>
      </c>
      <c r="D4" s="1">
        <v>3</v>
      </c>
      <c r="E4" s="114">
        <v>14.575208366974408</v>
      </c>
      <c r="F4" s="157">
        <v>14.463994200337885</v>
      </c>
      <c r="G4" s="114">
        <v>8.1300000000000008</v>
      </c>
      <c r="H4" s="6">
        <v>9593.4</v>
      </c>
      <c r="I4" s="6">
        <v>8099999.9999999991</v>
      </c>
      <c r="J4" s="1">
        <v>0.66700000000000004</v>
      </c>
      <c r="K4" s="93" t="s">
        <v>109</v>
      </c>
      <c r="L4" s="93" t="s">
        <v>110</v>
      </c>
      <c r="M4" s="93" t="s">
        <v>110</v>
      </c>
      <c r="N4" s="87" t="s">
        <v>108</v>
      </c>
      <c r="O4" s="126"/>
    </row>
    <row r="5" spans="1:15" x14ac:dyDescent="0.3">
      <c r="A5" s="1" t="s">
        <v>65</v>
      </c>
      <c r="B5" s="1" t="s">
        <v>5</v>
      </c>
      <c r="C5" s="33">
        <v>44354</v>
      </c>
      <c r="D5" s="1">
        <v>4</v>
      </c>
      <c r="E5" s="114">
        <v>15.06092592556417</v>
      </c>
      <c r="F5" s="157">
        <v>15.072033786746118</v>
      </c>
      <c r="G5" s="114">
        <v>12.3</v>
      </c>
      <c r="H5" s="6">
        <v>6150</v>
      </c>
      <c r="I5" s="6">
        <v>6499999.9999999991</v>
      </c>
      <c r="J5" s="1">
        <v>0.66700000000000004</v>
      </c>
      <c r="K5" s="93" t="s">
        <v>109</v>
      </c>
      <c r="L5" s="93" t="s">
        <v>110</v>
      </c>
      <c r="M5" s="93" t="s">
        <v>110</v>
      </c>
      <c r="N5" s="87" t="s">
        <v>108</v>
      </c>
      <c r="O5" s="9"/>
    </row>
    <row r="6" spans="1:15" x14ac:dyDescent="0.3">
      <c r="A6" s="113" t="s">
        <v>102</v>
      </c>
      <c r="B6" s="113" t="s">
        <v>5</v>
      </c>
      <c r="C6" s="117">
        <v>44357</v>
      </c>
      <c r="D6" s="113">
        <v>5</v>
      </c>
      <c r="E6" s="118">
        <v>14.553022469715929</v>
      </c>
      <c r="F6" s="158">
        <v>14.356302604776452</v>
      </c>
      <c r="G6" s="118">
        <v>15.4</v>
      </c>
      <c r="H6" s="112">
        <v>9692.3076923076933</v>
      </c>
      <c r="I6" s="112">
        <v>8099999.9999999991</v>
      </c>
      <c r="J6" s="113">
        <v>0.66700000000000004</v>
      </c>
      <c r="K6" s="119" t="s">
        <v>109</v>
      </c>
      <c r="L6" s="119" t="s">
        <v>110</v>
      </c>
      <c r="M6" s="119" t="s">
        <v>110</v>
      </c>
      <c r="N6" s="87" t="s">
        <v>108</v>
      </c>
      <c r="O6" s="163" t="s">
        <v>142</v>
      </c>
    </row>
    <row r="7" spans="1:15" x14ac:dyDescent="0.3">
      <c r="A7" s="126"/>
      <c r="B7" s="126"/>
      <c r="C7" s="127"/>
      <c r="D7" s="126"/>
      <c r="E7" s="128"/>
      <c r="F7" s="128"/>
      <c r="G7" s="128"/>
      <c r="H7" s="129"/>
      <c r="I7" s="129"/>
      <c r="J7" s="126"/>
      <c r="K7" s="130"/>
      <c r="L7" s="130"/>
      <c r="M7" s="130"/>
      <c r="O7" s="10"/>
    </row>
    <row r="8" spans="1:15" x14ac:dyDescent="0.3">
      <c r="A8" s="184" t="s">
        <v>66</v>
      </c>
      <c r="B8" s="184" t="s">
        <v>7</v>
      </c>
      <c r="C8" s="121">
        <v>44354</v>
      </c>
      <c r="D8" s="120">
        <v>1</v>
      </c>
      <c r="E8" s="122">
        <v>11.574890375654801</v>
      </c>
      <c r="F8" s="181">
        <v>11.693641625573736</v>
      </c>
      <c r="G8" s="122">
        <v>10.8</v>
      </c>
      <c r="H8" s="123">
        <v>7776</v>
      </c>
      <c r="I8" s="123">
        <v>7199999.9999999991</v>
      </c>
      <c r="J8" s="120">
        <v>0.66700000000000004</v>
      </c>
      <c r="K8" s="179" t="s">
        <v>111</v>
      </c>
      <c r="L8" s="124" t="s">
        <v>110</v>
      </c>
      <c r="M8" s="162" t="s">
        <v>110</v>
      </c>
      <c r="N8" s="183" t="s">
        <v>108</v>
      </c>
      <c r="O8" s="9" t="s">
        <v>118</v>
      </c>
    </row>
    <row r="9" spans="1:15" x14ac:dyDescent="0.3">
      <c r="A9" s="106" t="s">
        <v>75</v>
      </c>
      <c r="B9" s="106" t="s">
        <v>7</v>
      </c>
      <c r="C9" s="33">
        <v>44357</v>
      </c>
      <c r="D9" s="1">
        <v>2</v>
      </c>
      <c r="E9" s="114">
        <v>12.639359147924335</v>
      </c>
      <c r="F9" s="182">
        <v>12.76931410011699</v>
      </c>
      <c r="G9" s="114">
        <v>13.9</v>
      </c>
      <c r="H9" s="6">
        <v>1333.3333333333335</v>
      </c>
      <c r="I9" s="115">
        <v>460000</v>
      </c>
      <c r="J9" s="1">
        <v>0.66700000000000004</v>
      </c>
      <c r="K9" s="180" t="s">
        <v>111</v>
      </c>
      <c r="L9" s="157">
        <v>15.469001044309785</v>
      </c>
      <c r="M9" s="114">
        <v>15.729914687150938</v>
      </c>
      <c r="N9" s="87" t="s">
        <v>108</v>
      </c>
      <c r="O9" s="126" t="s">
        <v>123</v>
      </c>
    </row>
    <row r="10" spans="1:15" x14ac:dyDescent="0.3">
      <c r="A10" s="106" t="s">
        <v>80</v>
      </c>
      <c r="B10" s="106" t="s">
        <v>7</v>
      </c>
      <c r="C10" s="33">
        <v>44358</v>
      </c>
      <c r="D10" s="1">
        <v>3</v>
      </c>
      <c r="E10" s="114">
        <v>11.637131477334473</v>
      </c>
      <c r="F10" s="182">
        <v>12.087254623354184</v>
      </c>
      <c r="G10" s="116">
        <v>217</v>
      </c>
      <c r="H10" s="6">
        <v>13913.043478260863</v>
      </c>
      <c r="I10" s="6">
        <v>3020000</v>
      </c>
      <c r="J10" s="1">
        <v>0.66700000000000004</v>
      </c>
      <c r="K10" s="180" t="s">
        <v>111</v>
      </c>
      <c r="L10" s="157">
        <v>11.965524770016277</v>
      </c>
      <c r="M10" s="114">
        <v>12.06465354140034</v>
      </c>
      <c r="N10" s="87" t="s">
        <v>108</v>
      </c>
      <c r="O10" s="126" t="s">
        <v>122</v>
      </c>
    </row>
    <row r="11" spans="1:15" x14ac:dyDescent="0.3">
      <c r="A11" s="106" t="s">
        <v>81</v>
      </c>
      <c r="B11" s="106" t="s">
        <v>7</v>
      </c>
      <c r="C11" s="33">
        <v>44361</v>
      </c>
      <c r="D11" s="1">
        <v>4</v>
      </c>
      <c r="E11" s="114">
        <v>13.202989747290138</v>
      </c>
      <c r="F11" s="182">
        <v>13.272947481649759</v>
      </c>
      <c r="G11" s="114">
        <v>33.1</v>
      </c>
      <c r="H11" s="6">
        <v>7549.6688741721855</v>
      </c>
      <c r="I11" s="6">
        <v>3380000</v>
      </c>
      <c r="J11" s="1">
        <v>0.66700000000000004</v>
      </c>
      <c r="K11" s="180" t="s">
        <v>111</v>
      </c>
      <c r="L11" s="157">
        <v>15.544799889715335</v>
      </c>
      <c r="M11" s="114">
        <v>15.281260944095884</v>
      </c>
      <c r="N11" s="87" t="s">
        <v>108</v>
      </c>
      <c r="O11" s="126" t="s">
        <v>123</v>
      </c>
    </row>
    <row r="12" spans="1:15" x14ac:dyDescent="0.3">
      <c r="A12" s="106" t="s">
        <v>103</v>
      </c>
      <c r="B12" s="106" t="s">
        <v>7</v>
      </c>
      <c r="C12" s="33">
        <v>44364</v>
      </c>
      <c r="D12" s="1">
        <v>5</v>
      </c>
      <c r="E12" s="114">
        <v>13.068315728928642</v>
      </c>
      <c r="F12" s="182">
        <v>12.981950598418177</v>
      </c>
      <c r="G12" s="114">
        <v>29.6</v>
      </c>
      <c r="H12" s="6">
        <v>8224.8520710059038</v>
      </c>
      <c r="I12" s="6">
        <v>3460000</v>
      </c>
      <c r="J12" s="1">
        <v>0.66700000000000004</v>
      </c>
      <c r="K12" s="180" t="s">
        <v>111</v>
      </c>
      <c r="L12" s="157">
        <v>14.60483239780644</v>
      </c>
      <c r="M12" s="114">
        <v>14.727305002946379</v>
      </c>
      <c r="N12" s="183" t="s">
        <v>108</v>
      </c>
      <c r="O12" s="126" t="s">
        <v>124</v>
      </c>
    </row>
    <row r="13" spans="1:15" x14ac:dyDescent="0.3">
      <c r="F13" s="88"/>
      <c r="O13" s="10"/>
    </row>
    <row r="14" spans="1:15" x14ac:dyDescent="0.3">
      <c r="A14" s="1" t="s">
        <v>79</v>
      </c>
      <c r="B14" s="1" t="s">
        <v>9</v>
      </c>
      <c r="C14" s="33">
        <v>44358</v>
      </c>
      <c r="D14" s="1">
        <v>1</v>
      </c>
      <c r="E14" s="114">
        <v>16.130934643470255</v>
      </c>
      <c r="F14" s="114">
        <v>16.501112605904261</v>
      </c>
      <c r="G14" s="114">
        <v>19.2</v>
      </c>
      <c r="H14" s="6">
        <v>3692.3076923076924</v>
      </c>
      <c r="I14" s="6">
        <v>6399999.9999999991</v>
      </c>
      <c r="J14" s="1">
        <v>0.66700000000000004</v>
      </c>
      <c r="K14" s="93" t="s">
        <v>109</v>
      </c>
      <c r="L14" s="93" t="s">
        <v>110</v>
      </c>
      <c r="M14" s="93" t="s">
        <v>110</v>
      </c>
      <c r="N14" s="87" t="s">
        <v>108</v>
      </c>
      <c r="O14" s="9"/>
    </row>
    <row r="15" spans="1:15" x14ac:dyDescent="0.3">
      <c r="A15" s="1" t="s">
        <v>89</v>
      </c>
      <c r="B15" s="1" t="s">
        <v>9</v>
      </c>
      <c r="C15" s="33">
        <v>44361</v>
      </c>
      <c r="D15" s="1">
        <v>2</v>
      </c>
      <c r="E15" s="114">
        <v>16.666007292533013</v>
      </c>
      <c r="F15" s="114">
        <v>16.934887358469858</v>
      </c>
      <c r="G15" s="114">
        <v>15.6</v>
      </c>
      <c r="H15" s="6">
        <v>6937.5000000000018</v>
      </c>
      <c r="I15" s="6">
        <v>15399999.999999998</v>
      </c>
      <c r="J15" s="1">
        <v>0.66700000000000004</v>
      </c>
      <c r="K15" s="93" t="s">
        <v>109</v>
      </c>
      <c r="L15" s="93" t="s">
        <v>110</v>
      </c>
      <c r="M15" s="93" t="s">
        <v>110</v>
      </c>
      <c r="N15" s="87" t="s">
        <v>108</v>
      </c>
      <c r="O15" s="126"/>
    </row>
    <row r="16" spans="1:15" x14ac:dyDescent="0.3">
      <c r="A16" s="1" t="s">
        <v>104</v>
      </c>
      <c r="B16" s="1" t="s">
        <v>9</v>
      </c>
      <c r="C16" s="33">
        <v>44363</v>
      </c>
      <c r="D16" s="1">
        <v>3</v>
      </c>
      <c r="E16" s="114">
        <v>17.102350471131533</v>
      </c>
      <c r="F16" s="114">
        <v>17.532911016943771</v>
      </c>
      <c r="G16" s="114">
        <v>6.49</v>
      </c>
      <c r="H16" s="6">
        <v>14285.714285714286</v>
      </c>
      <c r="I16" s="6">
        <v>38800000</v>
      </c>
      <c r="J16" s="1">
        <v>0.66700000000000004</v>
      </c>
      <c r="K16" s="93" t="s">
        <v>109</v>
      </c>
      <c r="L16" s="93" t="s">
        <v>110</v>
      </c>
      <c r="M16" s="93" t="s">
        <v>110</v>
      </c>
      <c r="N16" s="87" t="s">
        <v>108</v>
      </c>
      <c r="O16" s="126"/>
    </row>
    <row r="17" spans="1:15" x14ac:dyDescent="0.3">
      <c r="A17" s="1" t="s">
        <v>92</v>
      </c>
      <c r="B17" s="1" t="s">
        <v>9</v>
      </c>
      <c r="C17" s="33">
        <v>44364</v>
      </c>
      <c r="D17" s="1">
        <v>4</v>
      </c>
      <c r="E17" s="114">
        <v>16.403803767166846</v>
      </c>
      <c r="F17" s="114">
        <v>16.504359063866861</v>
      </c>
      <c r="G17" s="114">
        <v>2.58</v>
      </c>
      <c r="H17" s="6">
        <v>7577.3195876288655</v>
      </c>
      <c r="I17" s="6">
        <v>14899999.999999998</v>
      </c>
      <c r="J17" s="1">
        <v>0.66700000000000004</v>
      </c>
      <c r="K17" s="93" t="s">
        <v>109</v>
      </c>
      <c r="L17" s="93" t="s">
        <v>110</v>
      </c>
      <c r="M17" s="93" t="s">
        <v>110</v>
      </c>
      <c r="N17" s="87" t="s">
        <v>108</v>
      </c>
      <c r="O17" s="126"/>
    </row>
    <row r="18" spans="1:15" x14ac:dyDescent="0.3">
      <c r="A18" s="1" t="s">
        <v>105</v>
      </c>
      <c r="B18" s="1" t="s">
        <v>9</v>
      </c>
      <c r="C18" s="33">
        <v>44365</v>
      </c>
      <c r="D18" s="1">
        <v>5</v>
      </c>
      <c r="E18" s="114">
        <v>16.928759708063048</v>
      </c>
      <c r="F18" s="114">
        <v>16.971821350262775</v>
      </c>
      <c r="G18" s="114">
        <v>6.71</v>
      </c>
      <c r="H18" s="6">
        <v>7181.2080536912754</v>
      </c>
      <c r="I18" s="6">
        <v>18000000</v>
      </c>
      <c r="J18" s="1">
        <v>0.66700000000000004</v>
      </c>
      <c r="K18" s="93" t="s">
        <v>109</v>
      </c>
      <c r="L18" s="93" t="s">
        <v>110</v>
      </c>
      <c r="M18" s="93" t="s">
        <v>110</v>
      </c>
      <c r="N18" s="87" t="s">
        <v>108</v>
      </c>
      <c r="O18" s="163" t="s">
        <v>142</v>
      </c>
    </row>
    <row r="19" spans="1:15" x14ac:dyDescent="0.3">
      <c r="F19" s="88"/>
      <c r="O19" s="10"/>
    </row>
    <row r="20" spans="1:15" x14ac:dyDescent="0.3">
      <c r="A20" s="185">
        <v>203.1</v>
      </c>
      <c r="B20" s="106" t="s">
        <v>10</v>
      </c>
      <c r="C20" s="33">
        <v>44362</v>
      </c>
      <c r="D20" s="1">
        <v>1</v>
      </c>
      <c r="E20" s="114">
        <v>5.5871871385824896</v>
      </c>
      <c r="F20" s="182">
        <v>6.4120300800700356</v>
      </c>
      <c r="G20" s="114">
        <v>152</v>
      </c>
      <c r="H20" s="6">
        <v>5212.1212121212284</v>
      </c>
      <c r="I20" s="6">
        <v>69000</v>
      </c>
      <c r="J20" s="1">
        <v>0.66700000000000004</v>
      </c>
      <c r="K20" s="180" t="s">
        <v>109</v>
      </c>
      <c r="L20" s="93" t="s">
        <v>110</v>
      </c>
      <c r="M20" s="93" t="s">
        <v>110</v>
      </c>
      <c r="N20" s="183" t="s">
        <v>108</v>
      </c>
      <c r="O20" s="195" t="s">
        <v>138</v>
      </c>
    </row>
    <row r="21" spans="1:15" x14ac:dyDescent="0.3">
      <c r="A21" s="185">
        <v>203.2</v>
      </c>
      <c r="B21" s="106" t="s">
        <v>10</v>
      </c>
      <c r="C21" s="33">
        <v>44364</v>
      </c>
      <c r="D21" s="1">
        <v>2</v>
      </c>
      <c r="E21" s="114">
        <v>6.8407331408142076</v>
      </c>
      <c r="F21" s="182">
        <v>6.8713249695228678</v>
      </c>
      <c r="G21" s="114">
        <v>144.5</v>
      </c>
      <c r="H21" s="6">
        <v>730.43478260869563</v>
      </c>
      <c r="I21" s="6">
        <v>31399999.999999996</v>
      </c>
      <c r="J21" s="1">
        <v>2.25</v>
      </c>
      <c r="K21" s="180" t="s">
        <v>111</v>
      </c>
      <c r="L21" s="93" t="s">
        <v>140</v>
      </c>
      <c r="M21" s="165" t="s">
        <v>140</v>
      </c>
      <c r="N21" s="87" t="s">
        <v>108</v>
      </c>
      <c r="O21" s="196"/>
    </row>
    <row r="22" spans="1:15" x14ac:dyDescent="0.3">
      <c r="A22" s="185">
        <v>203.3</v>
      </c>
      <c r="B22" s="106" t="s">
        <v>10</v>
      </c>
      <c r="C22" s="33">
        <v>44376</v>
      </c>
      <c r="D22" s="1">
        <v>3</v>
      </c>
      <c r="E22" s="114">
        <v>9.8188394875173373</v>
      </c>
      <c r="F22" s="182">
        <v>7.230108825707755</v>
      </c>
      <c r="G22" s="114">
        <v>3.18</v>
      </c>
      <c r="H22" s="6">
        <v>3757.9617834394921</v>
      </c>
      <c r="I22" s="6">
        <v>102000000</v>
      </c>
      <c r="J22" s="1">
        <v>2</v>
      </c>
      <c r="K22" s="180" t="s">
        <v>111</v>
      </c>
      <c r="L22" s="93">
        <v>8.77</v>
      </c>
      <c r="M22" s="93">
        <v>8.7899999999999991</v>
      </c>
      <c r="N22" s="87" t="s">
        <v>108</v>
      </c>
      <c r="O22" s="192" t="s">
        <v>139</v>
      </c>
    </row>
    <row r="23" spans="1:15" x14ac:dyDescent="0.3">
      <c r="A23" s="185">
        <v>203.4</v>
      </c>
      <c r="B23" s="106" t="s">
        <v>10</v>
      </c>
      <c r="C23" s="33">
        <v>44379</v>
      </c>
      <c r="D23" s="1">
        <v>4</v>
      </c>
      <c r="E23" s="114">
        <v>9.9651456415112527</v>
      </c>
      <c r="F23" s="182">
        <v>10.17094530072797</v>
      </c>
      <c r="G23" s="114">
        <v>0.98</v>
      </c>
      <c r="H23" s="6">
        <v>10980.392156862747</v>
      </c>
      <c r="I23" s="6">
        <v>347000000</v>
      </c>
      <c r="J23" s="1">
        <v>1.5</v>
      </c>
      <c r="K23" s="180" t="s">
        <v>111</v>
      </c>
      <c r="L23" s="161" t="s">
        <v>140</v>
      </c>
      <c r="M23" s="165" t="s">
        <v>140</v>
      </c>
      <c r="N23" s="87" t="s">
        <v>108</v>
      </c>
      <c r="O23" s="193"/>
    </row>
    <row r="24" spans="1:15" x14ac:dyDescent="0.3">
      <c r="A24" s="185">
        <v>203.5</v>
      </c>
      <c r="B24" s="106" t="s">
        <v>10</v>
      </c>
      <c r="C24" s="33">
        <v>44384</v>
      </c>
      <c r="D24" s="1">
        <v>5</v>
      </c>
      <c r="E24" s="114">
        <v>9.3192847581221727</v>
      </c>
      <c r="F24" s="182">
        <v>11.033128498737966</v>
      </c>
      <c r="G24" s="114">
        <v>0.28799999999999998</v>
      </c>
      <c r="H24" s="6">
        <v>5510.0864553314123</v>
      </c>
      <c r="I24" s="6">
        <v>3520000</v>
      </c>
      <c r="J24" s="1">
        <v>1</v>
      </c>
      <c r="K24" s="180" t="s">
        <v>111</v>
      </c>
      <c r="L24" s="161" t="s">
        <v>140</v>
      </c>
      <c r="M24" s="165" t="s">
        <v>140</v>
      </c>
      <c r="N24" s="183" t="s">
        <v>108</v>
      </c>
      <c r="O24" s="194"/>
    </row>
    <row r="25" spans="1:15" x14ac:dyDescent="0.3">
      <c r="F25" s="88"/>
      <c r="O25" s="10"/>
    </row>
    <row r="26" spans="1:15" x14ac:dyDescent="0.3">
      <c r="A26" s="5">
        <v>206.1</v>
      </c>
      <c r="B26" s="1" t="s">
        <v>11</v>
      </c>
      <c r="C26" s="33">
        <v>44364</v>
      </c>
      <c r="D26" s="1">
        <v>1</v>
      </c>
      <c r="E26" s="114">
        <v>9.3987436919381935</v>
      </c>
      <c r="F26" s="114">
        <v>8.9877890240140719</v>
      </c>
      <c r="G26" s="114">
        <v>4.4400000000000004</v>
      </c>
      <c r="H26" s="6">
        <v>3644.4444444444443</v>
      </c>
      <c r="I26" s="6">
        <v>2460000</v>
      </c>
      <c r="J26" s="1">
        <v>1</v>
      </c>
      <c r="K26" s="93" t="s">
        <v>109</v>
      </c>
      <c r="L26" s="93" t="s">
        <v>110</v>
      </c>
      <c r="M26" s="93" t="s">
        <v>110</v>
      </c>
      <c r="N26" s="87" t="s">
        <v>108</v>
      </c>
      <c r="O26" s="9"/>
    </row>
    <row r="27" spans="1:15" x14ac:dyDescent="0.3">
      <c r="A27" s="5">
        <v>206.2</v>
      </c>
      <c r="B27" s="1" t="s">
        <v>11</v>
      </c>
      <c r="C27" s="33">
        <v>44376</v>
      </c>
      <c r="D27" s="1">
        <v>2</v>
      </c>
      <c r="E27" s="114">
        <v>9.7033268414598144</v>
      </c>
      <c r="F27" s="114">
        <v>9.6532265224160234</v>
      </c>
      <c r="G27" s="114">
        <v>40.700000000000003</v>
      </c>
      <c r="H27" s="6">
        <v>7317.0731707317063</v>
      </c>
      <c r="I27" s="6">
        <v>6099999.9999999991</v>
      </c>
      <c r="J27" s="1">
        <v>1</v>
      </c>
      <c r="K27" s="93" t="s">
        <v>109</v>
      </c>
      <c r="L27" s="93" t="s">
        <v>110</v>
      </c>
      <c r="M27" s="93" t="s">
        <v>110</v>
      </c>
      <c r="N27" s="87" t="s">
        <v>108</v>
      </c>
      <c r="O27" s="126"/>
    </row>
    <row r="28" spans="1:15" x14ac:dyDescent="0.3">
      <c r="A28" s="5">
        <v>206.3</v>
      </c>
      <c r="B28" s="1" t="s">
        <v>11</v>
      </c>
      <c r="C28" s="33">
        <v>44379</v>
      </c>
      <c r="D28" s="1">
        <v>3</v>
      </c>
      <c r="E28" s="114">
        <v>10.398095871971812</v>
      </c>
      <c r="F28" s="114">
        <v>10.259511276091489</v>
      </c>
      <c r="G28" s="114">
        <v>16.39</v>
      </c>
      <c r="H28" s="6">
        <v>10819.672131147541</v>
      </c>
      <c r="I28" s="6">
        <v>14599999.999999998</v>
      </c>
      <c r="J28" s="1">
        <v>1</v>
      </c>
      <c r="K28" s="93" t="s">
        <v>109</v>
      </c>
      <c r="L28" s="93" t="s">
        <v>110</v>
      </c>
      <c r="M28" s="93" t="s">
        <v>110</v>
      </c>
      <c r="N28" s="87" t="s">
        <v>108</v>
      </c>
      <c r="O28" s="126"/>
    </row>
    <row r="29" spans="1:15" x14ac:dyDescent="0.3">
      <c r="A29" s="5">
        <v>206.4</v>
      </c>
      <c r="B29" s="1" t="s">
        <v>11</v>
      </c>
      <c r="C29" s="33">
        <v>44383</v>
      </c>
      <c r="D29" s="1">
        <v>4</v>
      </c>
      <c r="E29" s="114">
        <v>10.697848945880837</v>
      </c>
      <c r="F29" s="114">
        <v>10.673071814170402</v>
      </c>
      <c r="G29" s="114">
        <v>6.85</v>
      </c>
      <c r="H29" s="6">
        <v>9452.054794520549</v>
      </c>
      <c r="I29" s="6">
        <v>15699999.999999998</v>
      </c>
      <c r="J29" s="1">
        <v>1</v>
      </c>
      <c r="K29" s="93" t="s">
        <v>109</v>
      </c>
      <c r="L29" s="93" t="s">
        <v>110</v>
      </c>
      <c r="M29" s="93" t="s">
        <v>110</v>
      </c>
      <c r="N29" s="87" t="s">
        <v>108</v>
      </c>
      <c r="O29" s="126"/>
    </row>
    <row r="30" spans="1:15" x14ac:dyDescent="0.3">
      <c r="A30" s="5">
        <v>206.5</v>
      </c>
      <c r="B30" s="1" t="s">
        <v>11</v>
      </c>
      <c r="C30" s="33">
        <v>44390</v>
      </c>
      <c r="D30" s="1">
        <v>5</v>
      </c>
      <c r="E30" s="114">
        <v>8.2770623775073222</v>
      </c>
      <c r="F30" s="114">
        <v>9.0189775670650274</v>
      </c>
      <c r="G30" s="114">
        <v>6.37</v>
      </c>
      <c r="H30" s="6">
        <v>15796.178343949046</v>
      </c>
      <c r="I30" s="6">
        <v>4900000</v>
      </c>
      <c r="J30" s="1">
        <v>1</v>
      </c>
      <c r="K30" s="93" t="s">
        <v>109</v>
      </c>
      <c r="L30" s="93" t="s">
        <v>110</v>
      </c>
      <c r="M30" s="93" t="s">
        <v>110</v>
      </c>
      <c r="N30" s="87" t="s">
        <v>108</v>
      </c>
      <c r="O30" s="126" t="s">
        <v>141</v>
      </c>
    </row>
    <row r="31" spans="1:15" x14ac:dyDescent="0.3">
      <c r="F31" s="88"/>
      <c r="O31" s="10"/>
    </row>
    <row r="32" spans="1:15" x14ac:dyDescent="0.3">
      <c r="A32" s="5">
        <v>223.1</v>
      </c>
      <c r="B32" s="1" t="s">
        <v>114</v>
      </c>
      <c r="C32" s="33">
        <v>44384</v>
      </c>
      <c r="D32" s="1">
        <v>1</v>
      </c>
      <c r="E32" s="114">
        <v>8.6674590890781467</v>
      </c>
      <c r="F32" s="114">
        <v>8.7161744950120195</v>
      </c>
      <c r="G32" s="114">
        <v>29.4</v>
      </c>
      <c r="H32" s="6">
        <v>5705.8823529411766</v>
      </c>
      <c r="I32" s="6">
        <v>2320000</v>
      </c>
      <c r="J32" s="1">
        <v>1</v>
      </c>
      <c r="K32" s="93" t="s">
        <v>109</v>
      </c>
      <c r="L32" s="93" t="s">
        <v>110</v>
      </c>
      <c r="M32" s="93" t="s">
        <v>110</v>
      </c>
      <c r="N32" s="87" t="s">
        <v>108</v>
      </c>
      <c r="O32" s="9"/>
    </row>
    <row r="33" spans="1:15" x14ac:dyDescent="0.3">
      <c r="A33" s="5">
        <v>223.2</v>
      </c>
      <c r="B33" s="1" t="s">
        <v>114</v>
      </c>
      <c r="C33" s="33">
        <v>44385</v>
      </c>
      <c r="D33" s="1">
        <v>2</v>
      </c>
      <c r="E33" s="114">
        <v>9.4497418444115571</v>
      </c>
      <c r="F33" s="114">
        <v>9.3019867897650368</v>
      </c>
      <c r="G33" s="114">
        <v>43.1</v>
      </c>
      <c r="H33" s="6">
        <v>6896.5517241379312</v>
      </c>
      <c r="I33" s="6">
        <v>24799999.999999996</v>
      </c>
      <c r="J33" s="1">
        <v>1.25</v>
      </c>
      <c r="K33" s="93" t="s">
        <v>109</v>
      </c>
      <c r="L33" s="93" t="s">
        <v>110</v>
      </c>
      <c r="M33" s="93" t="s">
        <v>110</v>
      </c>
      <c r="N33" s="87" t="s">
        <v>108</v>
      </c>
      <c r="O33" s="126"/>
    </row>
    <row r="34" spans="1:15" x14ac:dyDescent="0.3">
      <c r="A34" s="5">
        <v>223.3</v>
      </c>
      <c r="B34" s="1" t="s">
        <v>114</v>
      </c>
      <c r="C34" s="33">
        <v>44386</v>
      </c>
      <c r="D34" s="1">
        <v>3</v>
      </c>
      <c r="E34" s="114">
        <v>9.9499999999999993</v>
      </c>
      <c r="F34" s="114">
        <v>10.02405830695656</v>
      </c>
      <c r="G34" s="114">
        <v>4.03</v>
      </c>
      <c r="H34" s="6">
        <v>7500.0000000000009</v>
      </c>
      <c r="I34" s="6">
        <v>7499999.9999999991</v>
      </c>
      <c r="J34" s="1">
        <v>1</v>
      </c>
      <c r="K34" s="93" t="s">
        <v>109</v>
      </c>
      <c r="L34" s="93" t="s">
        <v>110</v>
      </c>
      <c r="M34" s="93" t="s">
        <v>110</v>
      </c>
      <c r="N34" s="87" t="s">
        <v>108</v>
      </c>
      <c r="O34" s="126"/>
    </row>
    <row r="35" spans="1:15" x14ac:dyDescent="0.3">
      <c r="A35" s="5">
        <v>223.4</v>
      </c>
      <c r="B35" s="1" t="s">
        <v>114</v>
      </c>
      <c r="C35" s="33">
        <v>44389</v>
      </c>
      <c r="D35" s="1">
        <v>4</v>
      </c>
      <c r="E35" s="114">
        <v>9.5264992391365659</v>
      </c>
      <c r="F35" s="114">
        <v>9.6234796206638187</v>
      </c>
      <c r="G35" s="114">
        <v>13.3</v>
      </c>
      <c r="H35" s="6">
        <v>8000</v>
      </c>
      <c r="I35" s="6">
        <v>5899999.9999999991</v>
      </c>
      <c r="J35" s="1">
        <v>1</v>
      </c>
      <c r="K35" s="93" t="s">
        <v>111</v>
      </c>
      <c r="L35" s="93" t="s">
        <v>110</v>
      </c>
      <c r="M35" s="93" t="s">
        <v>110</v>
      </c>
      <c r="N35" s="87" t="s">
        <v>108</v>
      </c>
      <c r="O35" s="164" t="s">
        <v>143</v>
      </c>
    </row>
    <row r="36" spans="1:15" x14ac:dyDescent="0.3">
      <c r="A36" s="5">
        <v>223.5</v>
      </c>
      <c r="B36" s="1" t="s">
        <v>114</v>
      </c>
      <c r="C36" s="33">
        <v>44390</v>
      </c>
      <c r="D36" s="1">
        <v>5</v>
      </c>
      <c r="E36" s="114">
        <v>8.7571121672779828</v>
      </c>
      <c r="F36" s="114">
        <v>8.7615373663255642</v>
      </c>
      <c r="G36" s="114">
        <v>16.95</v>
      </c>
      <c r="H36" s="6">
        <v>9661.0169491525412</v>
      </c>
      <c r="I36" s="6">
        <v>4180000</v>
      </c>
      <c r="J36" s="1">
        <v>1</v>
      </c>
      <c r="K36" s="93" t="s">
        <v>109</v>
      </c>
      <c r="L36" s="93" t="s">
        <v>110</v>
      </c>
      <c r="M36" s="93" t="s">
        <v>110</v>
      </c>
      <c r="N36" s="87" t="s">
        <v>108</v>
      </c>
      <c r="O36" s="126" t="s">
        <v>144</v>
      </c>
    </row>
    <row r="37" spans="1:15" x14ac:dyDescent="0.3">
      <c r="O37" s="10"/>
    </row>
    <row r="38" spans="1:15" x14ac:dyDescent="0.3">
      <c r="A38" s="185">
        <v>224.1</v>
      </c>
      <c r="B38" s="106" t="s">
        <v>126</v>
      </c>
      <c r="C38" s="33">
        <v>44389</v>
      </c>
      <c r="D38" s="1">
        <v>1</v>
      </c>
      <c r="E38" s="114">
        <v>2.5749268957688729</v>
      </c>
      <c r="F38" s="182">
        <v>2.5982999315728996</v>
      </c>
      <c r="G38" s="114">
        <v>32.89</v>
      </c>
      <c r="H38" s="6">
        <v>82.23684210526315</v>
      </c>
      <c r="I38" s="6">
        <v>3680000</v>
      </c>
      <c r="J38" s="1">
        <v>6</v>
      </c>
      <c r="K38" s="180" t="s">
        <v>109</v>
      </c>
      <c r="L38" s="93" t="s">
        <v>110</v>
      </c>
      <c r="M38" s="93" t="s">
        <v>110</v>
      </c>
      <c r="N38" s="183" t="s">
        <v>108</v>
      </c>
      <c r="O38" s="9"/>
    </row>
    <row r="39" spans="1:15" x14ac:dyDescent="0.3">
      <c r="A39" s="185">
        <v>224.2</v>
      </c>
      <c r="B39" s="106" t="s">
        <v>126</v>
      </c>
      <c r="C39" s="33">
        <v>44391</v>
      </c>
      <c r="D39" s="1">
        <v>2</v>
      </c>
      <c r="E39" s="114">
        <v>4.100988687372114</v>
      </c>
      <c r="F39" s="182">
        <v>4.1355944023830542</v>
      </c>
      <c r="G39" s="114">
        <v>27.17</v>
      </c>
      <c r="H39" s="6">
        <v>9456.5217391304341</v>
      </c>
      <c r="I39" s="6">
        <v>820000000</v>
      </c>
      <c r="J39" s="1">
        <v>4</v>
      </c>
      <c r="K39" s="180" t="s">
        <v>111</v>
      </c>
      <c r="L39" s="82" t="s">
        <v>110</v>
      </c>
      <c r="M39" s="93" t="s">
        <v>110</v>
      </c>
      <c r="N39" s="87" t="s">
        <v>108</v>
      </c>
      <c r="O39" s="126" t="s">
        <v>145</v>
      </c>
    </row>
    <row r="40" spans="1:15" x14ac:dyDescent="0.3">
      <c r="A40" s="185">
        <v>224.3</v>
      </c>
      <c r="B40" s="106" t="s">
        <v>126</v>
      </c>
      <c r="C40" s="33">
        <v>44392</v>
      </c>
      <c r="D40" s="1">
        <v>3</v>
      </c>
      <c r="E40" s="114">
        <v>6.4315837008631105</v>
      </c>
      <c r="F40" s="182">
        <v>6.3912536667617976</v>
      </c>
      <c r="G40" s="98">
        <v>0.1047</v>
      </c>
      <c r="H40" s="6">
        <v>8586.3874345549939</v>
      </c>
      <c r="I40" s="6">
        <v>195000000</v>
      </c>
      <c r="J40" s="1">
        <v>2.25</v>
      </c>
      <c r="K40" s="180" t="s">
        <v>111</v>
      </c>
      <c r="L40" s="114">
        <v>7.1519180697173921</v>
      </c>
      <c r="M40" s="93">
        <v>7.07</v>
      </c>
      <c r="N40" s="87" t="s">
        <v>108</v>
      </c>
      <c r="O40" s="126" t="s">
        <v>146</v>
      </c>
    </row>
    <row r="41" spans="1:15" x14ac:dyDescent="0.3">
      <c r="A41" s="185">
        <v>224.4</v>
      </c>
      <c r="B41" s="106" t="s">
        <v>126</v>
      </c>
      <c r="C41" s="33">
        <v>44396</v>
      </c>
      <c r="D41" s="1">
        <v>4</v>
      </c>
      <c r="E41" s="114">
        <v>4.3343955724552243</v>
      </c>
      <c r="F41" s="182">
        <v>4.5259983854905386</v>
      </c>
      <c r="G41" s="98">
        <v>0.51280000000000003</v>
      </c>
      <c r="H41" s="6">
        <v>10153.44</v>
      </c>
      <c r="I41" s="6">
        <v>920000</v>
      </c>
      <c r="J41" s="1">
        <v>1.5</v>
      </c>
      <c r="K41" s="180" t="s">
        <v>111</v>
      </c>
      <c r="L41" s="114">
        <v>5.5333063316754574</v>
      </c>
      <c r="M41" s="93">
        <v>5.07</v>
      </c>
      <c r="N41" s="87" t="s">
        <v>108</v>
      </c>
      <c r="O41" s="126"/>
    </row>
    <row r="42" spans="1:15" x14ac:dyDescent="0.3">
      <c r="A42" s="185">
        <v>224.5</v>
      </c>
      <c r="B42" s="106" t="s">
        <v>126</v>
      </c>
      <c r="C42" s="33">
        <v>44397</v>
      </c>
      <c r="D42" s="1">
        <v>5</v>
      </c>
      <c r="E42" s="114">
        <v>5.4933614327885039</v>
      </c>
      <c r="F42" s="182">
        <v>5.5963227763735048</v>
      </c>
      <c r="G42" s="114">
        <v>108.7</v>
      </c>
      <c r="H42" s="6">
        <v>8369.565217391304</v>
      </c>
      <c r="I42" s="6">
        <v>44000000</v>
      </c>
      <c r="J42" s="1">
        <v>2.25</v>
      </c>
      <c r="K42" s="180" t="s">
        <v>111</v>
      </c>
      <c r="L42" s="114">
        <v>6.31</v>
      </c>
      <c r="M42" s="93">
        <v>6.44</v>
      </c>
      <c r="N42" s="183" t="s">
        <v>108</v>
      </c>
      <c r="O42" s="126" t="s">
        <v>147</v>
      </c>
    </row>
    <row r="43" spans="1:15" x14ac:dyDescent="0.3">
      <c r="F43" s="82" t="s">
        <v>130</v>
      </c>
    </row>
    <row r="44" spans="1:15" x14ac:dyDescent="0.3">
      <c r="A44" s="197" t="s">
        <v>149</v>
      </c>
      <c r="B44" s="197"/>
    </row>
    <row r="45" spans="1:15" x14ac:dyDescent="0.3">
      <c r="H45" s="29" t="s">
        <v>150</v>
      </c>
    </row>
  </sheetData>
  <mergeCells count="3">
    <mergeCell ref="O22:O24"/>
    <mergeCell ref="O20:O21"/>
    <mergeCell ref="A44:B44"/>
  </mergeCells>
  <phoneticPr fontId="7" type="noConversion"/>
  <hyperlinks>
    <hyperlink ref="N2" r:id="rId1" xr:uid="{20FD4222-BF48-41BC-8A8F-B2FF8039F738}"/>
    <hyperlink ref="N3" r:id="rId2" xr:uid="{2B9AC97F-4607-4EF5-BCE7-76A5FC76CE4C}"/>
    <hyperlink ref="N4" r:id="rId3" xr:uid="{ED633571-2E51-4211-9AC7-FE89BFD184AE}"/>
    <hyperlink ref="N5" r:id="rId4" xr:uid="{30B83A0D-D16D-4E10-BF67-5EC7C716BC0E}"/>
    <hyperlink ref="N6" r:id="rId5" xr:uid="{D5783F03-1BEF-4DE7-8A94-5534E70039DD}"/>
    <hyperlink ref="N8" r:id="rId6" xr:uid="{5A81E46C-6F3B-4745-B5A1-7CD3F3E77BC3}"/>
    <hyperlink ref="N9" r:id="rId7" xr:uid="{6D5008B3-F729-4627-B1BA-29E2DF5B9633}"/>
    <hyperlink ref="N10" r:id="rId8" xr:uid="{FE05BD47-C1B3-4247-A710-2A2C68D314EB}"/>
    <hyperlink ref="N11" r:id="rId9" xr:uid="{90C0DAF2-E4C8-4EFC-AFD1-43793E3FE1FE}"/>
    <hyperlink ref="N14" r:id="rId10" xr:uid="{C68407E8-4A06-4495-92F1-292E46340D27}"/>
    <hyperlink ref="N15" r:id="rId11" xr:uid="{D8EE6091-AE12-4B8E-8B4D-FFDB784CC991}"/>
    <hyperlink ref="N12" r:id="rId12" xr:uid="{F55400E5-DA09-4BCA-97ED-CE2F7C7E0E35}"/>
    <hyperlink ref="N16" r:id="rId13" xr:uid="{37553F98-20C5-4334-B2BD-28088617F00A}"/>
    <hyperlink ref="N17" r:id="rId14" xr:uid="{3C930EAA-8716-47D4-BFC6-EFC3255D92B2}"/>
    <hyperlink ref="N18" r:id="rId15" xr:uid="{8C032494-761B-4714-BC6A-EF2C8236AA49}"/>
    <hyperlink ref="N20" r:id="rId16" xr:uid="{AF03374A-7327-4BAA-9B37-5BCCD42EEB2C}"/>
    <hyperlink ref="N21" r:id="rId17" xr:uid="{1D56940A-100B-46FB-B3AA-6D51A6E0E8B1}"/>
    <hyperlink ref="N22" r:id="rId18" xr:uid="{2FB0931A-C976-4344-A06E-FD98D8D2B240}"/>
    <hyperlink ref="N23" r:id="rId19" xr:uid="{FA1663D1-E553-4956-9DE8-F66629EB6887}"/>
    <hyperlink ref="N24" r:id="rId20" xr:uid="{74622F9E-5F75-43BB-9D13-F51A769064DD}"/>
    <hyperlink ref="N26" r:id="rId21" xr:uid="{38CFF32A-3B55-4A92-AE53-11C19A58CA5D}"/>
    <hyperlink ref="N27" r:id="rId22" xr:uid="{8E394136-664A-42A9-B912-E401318DEE8A}"/>
    <hyperlink ref="N28" r:id="rId23" xr:uid="{0437A932-CBE5-4DDE-B864-721664B2B035}"/>
    <hyperlink ref="N29" r:id="rId24" xr:uid="{6B5CD650-D3D0-400C-930F-0D24B2E94E6C}"/>
    <hyperlink ref="N30" r:id="rId25" xr:uid="{189D5050-5206-45DB-827D-027C7CC92B70}"/>
    <hyperlink ref="N32" r:id="rId26" xr:uid="{E5547C09-BB2B-42F0-AD91-64D9DA49E93B}"/>
    <hyperlink ref="N33" r:id="rId27" xr:uid="{B41D5315-6F21-401C-9C64-4F61B00D1090}"/>
    <hyperlink ref="N34" r:id="rId28" xr:uid="{097C867D-FA3D-49C0-B277-EC9D85DECB01}"/>
    <hyperlink ref="N35" r:id="rId29" xr:uid="{C707C3D8-C82C-4918-B1CA-9A8CD4CB52EF}"/>
    <hyperlink ref="N36" r:id="rId30" xr:uid="{CCA34E0A-C1E4-4A72-9756-BFE10F83A160}"/>
    <hyperlink ref="O35" r:id="rId31" display="here" xr:uid="{06962A22-A2E8-4C5F-B151-D15FA61EF5E1}"/>
    <hyperlink ref="N38" r:id="rId32" xr:uid="{324061A8-8EF7-47B4-9668-72E598488366}"/>
    <hyperlink ref="N39" r:id="rId33" xr:uid="{7C6DC2A9-8962-48E3-95FD-EBEFD27B654C}"/>
    <hyperlink ref="N40" r:id="rId34" xr:uid="{D101FB18-05AD-4FAB-A18C-AD9116759019}"/>
    <hyperlink ref="N41" r:id="rId35" xr:uid="{4CAFB700-638A-46E2-9CB6-ADE79724E246}"/>
    <hyperlink ref="N42" r:id="rId36" xr:uid="{3890E963-2C3C-42D4-96EE-5DB0301835FB}"/>
  </hyperlinks>
  <pageMargins left="0.7" right="0.7" top="0.75" bottom="0.75" header="0.3" footer="0.3"/>
  <pageSetup scale="43" orientation="landscape" r:id="rId37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E16B7-3BD1-40FC-B4BB-97C345CD94AE}">
  <dimension ref="A1:AK34"/>
  <sheetViews>
    <sheetView topLeftCell="P1" zoomScale="67" zoomScaleNormal="70" workbookViewId="0">
      <selection activeCell="AA5" sqref="AA5"/>
    </sheetView>
  </sheetViews>
  <sheetFormatPr defaultRowHeight="14.4" x14ac:dyDescent="0.3"/>
  <cols>
    <col min="2" max="2" width="11.44140625" bestFit="1" customWidth="1"/>
    <col min="3" max="7" width="14.5546875" customWidth="1"/>
    <col min="8" max="17" width="14.88671875" customWidth="1"/>
    <col min="18" max="32" width="11.33203125" customWidth="1"/>
    <col min="33" max="36" width="12.33203125" bestFit="1" customWidth="1"/>
    <col min="37" max="37" width="13.33203125" bestFit="1" customWidth="1"/>
  </cols>
  <sheetData>
    <row r="1" spans="1:37" s="62" customFormat="1" x14ac:dyDescent="0.3">
      <c r="A1" s="76"/>
      <c r="B1" s="77" t="s">
        <v>17</v>
      </c>
      <c r="C1" s="46">
        <v>44343</v>
      </c>
      <c r="D1" s="46">
        <v>44344</v>
      </c>
      <c r="E1" s="46">
        <v>44349</v>
      </c>
      <c r="F1" s="46">
        <v>44351</v>
      </c>
      <c r="G1" s="46">
        <v>44354</v>
      </c>
      <c r="H1" s="46">
        <v>44351</v>
      </c>
      <c r="I1" s="46">
        <v>44354</v>
      </c>
      <c r="J1" s="46">
        <v>44357</v>
      </c>
      <c r="K1" s="46">
        <v>44358</v>
      </c>
      <c r="L1" s="134">
        <v>44364</v>
      </c>
      <c r="M1" s="46">
        <v>44357</v>
      </c>
      <c r="N1" s="33">
        <v>44358</v>
      </c>
      <c r="O1" s="33">
        <v>44362</v>
      </c>
      <c r="P1" s="33">
        <v>44364</v>
      </c>
      <c r="Q1" s="33">
        <v>44365</v>
      </c>
      <c r="R1" s="33">
        <v>44364</v>
      </c>
      <c r="S1" s="33">
        <v>44365</v>
      </c>
      <c r="T1" s="33">
        <v>44378</v>
      </c>
      <c r="U1" s="33">
        <v>44379</v>
      </c>
      <c r="V1" s="33">
        <v>44384</v>
      </c>
      <c r="W1" s="46">
        <v>44361</v>
      </c>
      <c r="X1" s="46">
        <v>44364</v>
      </c>
      <c r="Y1" s="46">
        <v>44365</v>
      </c>
      <c r="Z1" s="46">
        <v>44379</v>
      </c>
      <c r="AA1" s="46">
        <v>44384</v>
      </c>
      <c r="AB1" s="52">
        <v>44384</v>
      </c>
      <c r="AC1" s="52">
        <v>44385</v>
      </c>
      <c r="AD1" s="52">
        <v>44386</v>
      </c>
      <c r="AE1" s="52">
        <v>44389</v>
      </c>
      <c r="AF1" s="52">
        <v>44390</v>
      </c>
      <c r="AG1" s="62">
        <v>44389</v>
      </c>
      <c r="AH1" s="62">
        <v>44391</v>
      </c>
      <c r="AI1" s="62">
        <v>44392</v>
      </c>
      <c r="AJ1" s="62">
        <v>44396</v>
      </c>
      <c r="AK1" s="62">
        <v>44397</v>
      </c>
    </row>
    <row r="2" spans="1:37" x14ac:dyDescent="0.3">
      <c r="A2" s="48"/>
      <c r="B2" s="47" t="s">
        <v>1</v>
      </c>
      <c r="C2" s="132" t="s">
        <v>134</v>
      </c>
      <c r="D2" s="132" t="s">
        <v>134</v>
      </c>
      <c r="E2" s="132" t="s">
        <v>134</v>
      </c>
      <c r="F2" s="132" t="s">
        <v>134</v>
      </c>
      <c r="G2" s="132" t="s">
        <v>134</v>
      </c>
      <c r="H2" s="22" t="s">
        <v>135</v>
      </c>
      <c r="I2" s="22" t="s">
        <v>135</v>
      </c>
      <c r="J2" s="22" t="s">
        <v>135</v>
      </c>
      <c r="K2" s="22" t="s">
        <v>135</v>
      </c>
      <c r="L2" s="135" t="s">
        <v>135</v>
      </c>
      <c r="M2" s="20" t="s">
        <v>136</v>
      </c>
      <c r="N2" s="20" t="s">
        <v>136</v>
      </c>
      <c r="O2" s="20" t="s">
        <v>136</v>
      </c>
      <c r="P2" s="20" t="s">
        <v>136</v>
      </c>
      <c r="Q2" s="20" t="s">
        <v>136</v>
      </c>
      <c r="R2" s="146" t="s">
        <v>11</v>
      </c>
      <c r="S2" s="146" t="s">
        <v>11</v>
      </c>
      <c r="T2" s="146" t="s">
        <v>11</v>
      </c>
      <c r="U2" s="146" t="s">
        <v>11</v>
      </c>
      <c r="V2" s="146" t="s">
        <v>11</v>
      </c>
      <c r="W2" s="148" t="s">
        <v>10</v>
      </c>
      <c r="X2" s="148" t="s">
        <v>10</v>
      </c>
      <c r="Y2" s="148" t="s">
        <v>10</v>
      </c>
      <c r="Z2" s="148" t="s">
        <v>10</v>
      </c>
      <c r="AA2" s="148" t="s">
        <v>10</v>
      </c>
      <c r="AB2" s="149" t="s">
        <v>114</v>
      </c>
      <c r="AC2" s="149" t="s">
        <v>114</v>
      </c>
      <c r="AD2" s="149" t="s">
        <v>114</v>
      </c>
      <c r="AE2" s="149" t="s">
        <v>114</v>
      </c>
      <c r="AF2" s="149" t="s">
        <v>114</v>
      </c>
      <c r="AG2" s="133" t="s">
        <v>126</v>
      </c>
      <c r="AH2" s="133" t="s">
        <v>126</v>
      </c>
      <c r="AI2" s="133" t="s">
        <v>126</v>
      </c>
      <c r="AJ2" s="133" t="s">
        <v>126</v>
      </c>
      <c r="AK2" s="133" t="s">
        <v>126</v>
      </c>
    </row>
    <row r="3" spans="1:37" s="12" customFormat="1" x14ac:dyDescent="0.3">
      <c r="A3" s="78"/>
      <c r="B3" s="79" t="s">
        <v>107</v>
      </c>
      <c r="C3" s="5" t="s">
        <v>4</v>
      </c>
      <c r="D3" s="5" t="s">
        <v>19</v>
      </c>
      <c r="E3" s="5" t="s">
        <v>61</v>
      </c>
      <c r="F3" s="5" t="s">
        <v>62</v>
      </c>
      <c r="G3" s="5" t="s">
        <v>65</v>
      </c>
      <c r="H3" s="5" t="s">
        <v>6</v>
      </c>
      <c r="I3" s="5" t="s">
        <v>66</v>
      </c>
      <c r="J3" s="5" t="s">
        <v>75</v>
      </c>
      <c r="K3" s="5" t="s">
        <v>80</v>
      </c>
      <c r="L3" s="136" t="s">
        <v>81</v>
      </c>
      <c r="M3" s="5" t="s">
        <v>8</v>
      </c>
      <c r="N3" s="5" t="s">
        <v>79</v>
      </c>
      <c r="O3" s="5" t="s">
        <v>89</v>
      </c>
      <c r="P3" s="5" t="s">
        <v>104</v>
      </c>
      <c r="Q3" s="5" t="s">
        <v>92</v>
      </c>
      <c r="R3" s="5">
        <v>206</v>
      </c>
      <c r="S3" s="5">
        <v>206.1</v>
      </c>
      <c r="T3" s="5">
        <v>206.2</v>
      </c>
      <c r="U3" s="5">
        <v>206.3</v>
      </c>
      <c r="V3" s="5">
        <v>206.4</v>
      </c>
      <c r="W3" s="5">
        <v>203</v>
      </c>
      <c r="X3" s="5">
        <v>203.1</v>
      </c>
      <c r="Y3" s="5">
        <v>203.2</v>
      </c>
      <c r="Z3" s="5">
        <v>203.3</v>
      </c>
      <c r="AA3" s="5">
        <v>203.4</v>
      </c>
      <c r="AB3" s="5">
        <v>223</v>
      </c>
      <c r="AC3" s="5">
        <v>223.1</v>
      </c>
      <c r="AD3" s="5">
        <v>223.2</v>
      </c>
      <c r="AE3" s="5">
        <v>223.3</v>
      </c>
      <c r="AF3" s="5">
        <v>223.4</v>
      </c>
      <c r="AG3" s="5">
        <v>224</v>
      </c>
      <c r="AH3" s="5">
        <v>224.1</v>
      </c>
      <c r="AI3" s="5">
        <v>224.2</v>
      </c>
      <c r="AJ3" s="5">
        <v>224.3</v>
      </c>
      <c r="AK3" s="5">
        <v>224.4</v>
      </c>
    </row>
    <row r="4" spans="1:37" x14ac:dyDescent="0.3">
      <c r="A4" s="43"/>
      <c r="B4" s="47" t="s">
        <v>69</v>
      </c>
      <c r="C4" s="1">
        <v>1</v>
      </c>
      <c r="D4" s="1">
        <v>2</v>
      </c>
      <c r="E4" s="1">
        <v>3</v>
      </c>
      <c r="F4" s="1">
        <v>4</v>
      </c>
      <c r="G4" s="1">
        <v>5</v>
      </c>
      <c r="H4" s="1">
        <v>1</v>
      </c>
      <c r="I4" s="1">
        <v>2</v>
      </c>
      <c r="J4" s="1">
        <v>3</v>
      </c>
      <c r="K4" s="1">
        <v>4</v>
      </c>
      <c r="L4" s="125">
        <v>5</v>
      </c>
      <c r="M4" s="36">
        <v>1</v>
      </c>
      <c r="N4" s="36">
        <v>2</v>
      </c>
      <c r="O4" s="36">
        <v>3</v>
      </c>
      <c r="P4" s="36">
        <v>4</v>
      </c>
      <c r="Q4" s="36">
        <v>5</v>
      </c>
      <c r="R4" s="36">
        <v>1</v>
      </c>
      <c r="S4" s="36">
        <v>2</v>
      </c>
      <c r="T4" s="36">
        <v>3</v>
      </c>
      <c r="U4" s="36">
        <v>4</v>
      </c>
      <c r="V4" s="36">
        <v>5</v>
      </c>
      <c r="W4" s="36">
        <v>1</v>
      </c>
      <c r="X4" s="36">
        <v>2</v>
      </c>
      <c r="Y4" s="36">
        <v>3</v>
      </c>
      <c r="Z4" s="36">
        <v>4</v>
      </c>
      <c r="AA4" s="36">
        <v>5</v>
      </c>
      <c r="AB4" s="36">
        <v>1</v>
      </c>
      <c r="AC4" s="36">
        <v>2</v>
      </c>
      <c r="AD4" s="36">
        <v>3</v>
      </c>
      <c r="AE4" s="36">
        <v>4</v>
      </c>
      <c r="AF4" s="36">
        <v>5</v>
      </c>
      <c r="AG4" s="36">
        <v>1</v>
      </c>
      <c r="AH4" s="36">
        <v>2</v>
      </c>
      <c r="AI4" s="36">
        <v>3</v>
      </c>
      <c r="AJ4" s="36">
        <v>4</v>
      </c>
      <c r="AK4" s="36">
        <v>5</v>
      </c>
    </row>
    <row r="5" spans="1:37" x14ac:dyDescent="0.3">
      <c r="A5" s="200" t="s">
        <v>34</v>
      </c>
      <c r="B5" s="6">
        <v>0.01</v>
      </c>
      <c r="C5" s="1"/>
      <c r="D5" s="1"/>
      <c r="E5" s="1"/>
      <c r="F5" s="1"/>
      <c r="G5" s="1"/>
      <c r="H5" s="1"/>
      <c r="I5" s="1"/>
      <c r="J5" s="1"/>
      <c r="K5" s="1"/>
      <c r="L5" s="125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>
        <v>213</v>
      </c>
      <c r="AH5" s="1"/>
      <c r="AI5" s="1"/>
      <c r="AJ5" s="1"/>
      <c r="AK5" s="1"/>
    </row>
    <row r="6" spans="1:37" x14ac:dyDescent="0.3">
      <c r="A6" s="201"/>
      <c r="B6" s="6">
        <v>5.0000000000000001E-3</v>
      </c>
      <c r="C6" s="1"/>
      <c r="D6" s="1"/>
      <c r="E6" s="1"/>
      <c r="F6" s="1"/>
      <c r="G6" s="1"/>
      <c r="H6" s="1"/>
      <c r="I6" s="1"/>
      <c r="J6" s="1" t="s">
        <v>78</v>
      </c>
      <c r="K6" s="1"/>
      <c r="L6" s="125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>
        <v>252</v>
      </c>
      <c r="Y6" s="1"/>
      <c r="Z6" s="1"/>
      <c r="AA6" s="1"/>
      <c r="AB6" s="1"/>
      <c r="AC6" s="1"/>
      <c r="AD6" s="1"/>
      <c r="AE6" s="1"/>
      <c r="AF6" s="1"/>
      <c r="AG6" s="1">
        <v>125</v>
      </c>
      <c r="AH6" s="1"/>
      <c r="AI6" s="1"/>
      <c r="AJ6" s="1"/>
      <c r="AK6" s="1"/>
    </row>
    <row r="7" spans="1:37" x14ac:dyDescent="0.3">
      <c r="A7" s="201"/>
      <c r="B7" s="6">
        <v>1E-3</v>
      </c>
      <c r="C7" s="1"/>
      <c r="D7" s="1"/>
      <c r="E7" s="1"/>
      <c r="F7" s="1"/>
      <c r="G7" s="1"/>
      <c r="H7" s="1"/>
      <c r="I7" s="1"/>
      <c r="J7" s="1"/>
      <c r="K7" s="1"/>
      <c r="L7" s="125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>
        <v>43</v>
      </c>
      <c r="Y7" s="1"/>
      <c r="Z7" s="1"/>
      <c r="AA7" s="1"/>
      <c r="AB7" s="1"/>
      <c r="AC7" s="1"/>
      <c r="AD7" s="1"/>
      <c r="AE7" s="1"/>
      <c r="AF7" s="1"/>
      <c r="AG7" s="1">
        <v>25</v>
      </c>
      <c r="AH7" s="1"/>
      <c r="AI7" s="1"/>
      <c r="AJ7" s="1"/>
      <c r="AK7" s="1"/>
    </row>
    <row r="8" spans="1:37" x14ac:dyDescent="0.3">
      <c r="A8" s="201"/>
      <c r="B8" s="6">
        <v>5.0000000000000001E-4</v>
      </c>
      <c r="C8" s="1"/>
      <c r="D8" s="1"/>
      <c r="E8" s="1"/>
      <c r="F8" s="1"/>
      <c r="G8" s="1"/>
      <c r="H8" s="1"/>
      <c r="I8" s="1"/>
      <c r="J8" s="1">
        <v>263</v>
      </c>
      <c r="K8" s="1"/>
      <c r="L8" s="125"/>
      <c r="M8" s="1"/>
      <c r="N8" s="1"/>
      <c r="O8" s="1"/>
      <c r="P8" s="1"/>
      <c r="Q8" s="1"/>
      <c r="R8" s="1"/>
      <c r="S8" s="1"/>
      <c r="T8" s="1"/>
      <c r="U8" s="1"/>
      <c r="V8" s="1"/>
      <c r="W8" s="1">
        <v>172</v>
      </c>
      <c r="X8" s="1">
        <v>23</v>
      </c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>
        <v>381</v>
      </c>
    </row>
    <row r="9" spans="1:37" x14ac:dyDescent="0.3">
      <c r="A9" s="201"/>
      <c r="B9" s="6">
        <v>1E-4</v>
      </c>
      <c r="C9" s="1"/>
      <c r="D9" s="1">
        <v>268</v>
      </c>
      <c r="E9" s="1"/>
      <c r="F9" s="1" t="s">
        <v>106</v>
      </c>
      <c r="G9" s="1"/>
      <c r="H9" s="1"/>
      <c r="I9" s="1"/>
      <c r="J9" s="1">
        <v>64</v>
      </c>
      <c r="K9" s="1"/>
      <c r="L9" s="125"/>
      <c r="M9" s="1"/>
      <c r="N9" s="1"/>
      <c r="O9" s="1"/>
      <c r="P9" s="1"/>
      <c r="Q9" s="1"/>
      <c r="R9" s="1"/>
      <c r="S9" s="1">
        <v>215</v>
      </c>
      <c r="T9" s="1"/>
      <c r="U9" s="1"/>
      <c r="V9" s="1"/>
      <c r="W9" s="1">
        <v>35</v>
      </c>
      <c r="X9" s="1"/>
      <c r="Y9" s="1"/>
      <c r="Z9" s="1"/>
      <c r="AA9" s="1"/>
      <c r="AB9" s="1"/>
      <c r="AC9" s="1">
        <v>187</v>
      </c>
      <c r="AD9" s="1"/>
      <c r="AE9" s="1"/>
      <c r="AF9" s="1"/>
      <c r="AG9" s="1"/>
      <c r="AH9" s="1"/>
      <c r="AI9" s="1"/>
      <c r="AJ9" s="1"/>
      <c r="AK9" s="1">
        <v>77</v>
      </c>
    </row>
    <row r="10" spans="1:37" x14ac:dyDescent="0.3">
      <c r="A10" s="201"/>
      <c r="B10" s="6">
        <v>5.0000000000000002E-5</v>
      </c>
      <c r="C10" s="1">
        <v>250</v>
      </c>
      <c r="D10" s="1">
        <v>186</v>
      </c>
      <c r="E10" s="1" t="s">
        <v>71</v>
      </c>
      <c r="F10" s="1">
        <v>50</v>
      </c>
      <c r="G10" s="1">
        <v>281</v>
      </c>
      <c r="H10" s="1">
        <v>317</v>
      </c>
      <c r="I10" s="1">
        <v>48</v>
      </c>
      <c r="J10" s="1"/>
      <c r="K10" s="1">
        <v>114</v>
      </c>
      <c r="L10" s="125">
        <v>139</v>
      </c>
      <c r="M10" s="36">
        <v>96</v>
      </c>
      <c r="N10" s="36">
        <v>222</v>
      </c>
      <c r="O10" s="1"/>
      <c r="P10" s="1"/>
      <c r="Q10" s="1"/>
      <c r="R10" s="1"/>
      <c r="S10" s="1">
        <v>90</v>
      </c>
      <c r="T10" s="1">
        <v>317</v>
      </c>
      <c r="U10" s="1"/>
      <c r="V10" s="1"/>
      <c r="W10" s="1">
        <v>9</v>
      </c>
      <c r="X10" s="1"/>
      <c r="Y10" s="1" t="s">
        <v>78</v>
      </c>
      <c r="Z10" s="1"/>
      <c r="AA10" s="1" t="s">
        <v>78</v>
      </c>
      <c r="AB10" s="1">
        <v>97</v>
      </c>
      <c r="AC10" s="1">
        <v>80</v>
      </c>
      <c r="AD10" s="1"/>
      <c r="AE10" s="1">
        <v>275</v>
      </c>
      <c r="AF10" s="1">
        <v>291</v>
      </c>
      <c r="AG10" s="1"/>
      <c r="AH10" s="1">
        <v>174</v>
      </c>
      <c r="AI10" s="1"/>
      <c r="AJ10" s="1"/>
      <c r="AK10" s="1">
        <v>29</v>
      </c>
    </row>
    <row r="11" spans="1:37" x14ac:dyDescent="0.3">
      <c r="A11" s="201"/>
      <c r="B11" s="6">
        <v>1.0000000000000001E-5</v>
      </c>
      <c r="C11" s="1">
        <v>60</v>
      </c>
      <c r="D11" s="1">
        <v>43</v>
      </c>
      <c r="E11" s="1"/>
      <c r="F11" s="1">
        <v>27</v>
      </c>
      <c r="G11" s="1">
        <v>63</v>
      </c>
      <c r="H11" s="1">
        <v>72</v>
      </c>
      <c r="I11" s="1">
        <v>14</v>
      </c>
      <c r="J11" s="1"/>
      <c r="K11" s="1">
        <v>14</v>
      </c>
      <c r="L11" s="125">
        <v>30</v>
      </c>
      <c r="M11" s="36">
        <v>18</v>
      </c>
      <c r="N11" s="36">
        <v>37</v>
      </c>
      <c r="O11" s="36">
        <v>215</v>
      </c>
      <c r="P11" s="36">
        <v>261</v>
      </c>
      <c r="Q11" s="1">
        <v>107</v>
      </c>
      <c r="R11" s="36">
        <v>98</v>
      </c>
      <c r="S11" s="36">
        <v>19</v>
      </c>
      <c r="T11" s="36">
        <v>66</v>
      </c>
      <c r="U11" s="36">
        <v>148</v>
      </c>
      <c r="V11" s="36">
        <v>114</v>
      </c>
      <c r="W11" s="1"/>
      <c r="X11" s="1"/>
      <c r="Y11" s="1"/>
      <c r="Z11" s="1"/>
      <c r="AA11" s="1" t="s">
        <v>78</v>
      </c>
      <c r="AB11" s="1">
        <v>27</v>
      </c>
      <c r="AC11" s="1">
        <v>21</v>
      </c>
      <c r="AD11" s="1">
        <v>181</v>
      </c>
      <c r="AE11" s="1">
        <v>60</v>
      </c>
      <c r="AF11" s="1">
        <v>57</v>
      </c>
      <c r="AG11" s="1"/>
      <c r="AH11" s="1">
        <v>32</v>
      </c>
      <c r="AI11" s="1"/>
      <c r="AJ11" s="1"/>
      <c r="AK11" s="1"/>
    </row>
    <row r="12" spans="1:37" x14ac:dyDescent="0.3">
      <c r="A12" s="201"/>
      <c r="B12" s="6">
        <v>5.0000000000000004E-6</v>
      </c>
      <c r="C12" s="1">
        <v>28</v>
      </c>
      <c r="D12" s="1"/>
      <c r="E12" s="1">
        <v>59</v>
      </c>
      <c r="F12" s="1"/>
      <c r="G12" s="1">
        <v>31</v>
      </c>
      <c r="H12" s="1">
        <v>17</v>
      </c>
      <c r="I12" s="1">
        <v>10</v>
      </c>
      <c r="J12" s="1"/>
      <c r="K12" s="1">
        <v>9</v>
      </c>
      <c r="L12" s="125">
        <v>13</v>
      </c>
      <c r="M12" s="36">
        <v>8</v>
      </c>
      <c r="N12" s="36">
        <v>12</v>
      </c>
      <c r="O12" s="36">
        <v>110</v>
      </c>
      <c r="P12" s="36">
        <v>147</v>
      </c>
      <c r="Q12" s="1">
        <v>43</v>
      </c>
      <c r="R12" s="36">
        <v>62</v>
      </c>
      <c r="S12" s="1"/>
      <c r="T12" s="1">
        <v>44</v>
      </c>
      <c r="U12" s="1">
        <v>69</v>
      </c>
      <c r="V12" s="1">
        <v>59</v>
      </c>
      <c r="W12" s="1"/>
      <c r="X12" s="1"/>
      <c r="Y12" s="1">
        <v>59</v>
      </c>
      <c r="Z12" s="1">
        <v>421</v>
      </c>
      <c r="AA12" s="44">
        <v>956</v>
      </c>
      <c r="AB12" s="1">
        <v>13</v>
      </c>
      <c r="AC12" s="1"/>
      <c r="AD12" s="1">
        <v>93</v>
      </c>
      <c r="AE12" s="1">
        <v>33</v>
      </c>
      <c r="AF12" s="1">
        <v>32</v>
      </c>
      <c r="AG12" s="1"/>
      <c r="AH12" s="1">
        <v>16</v>
      </c>
      <c r="AI12" s="1"/>
      <c r="AJ12" s="1"/>
      <c r="AK12" s="1"/>
    </row>
    <row r="13" spans="1:37" x14ac:dyDescent="0.3">
      <c r="A13" s="201"/>
      <c r="B13" s="6">
        <v>9.9999999999999995E-7</v>
      </c>
      <c r="C13" s="1"/>
      <c r="D13" s="1"/>
      <c r="E13" s="1">
        <v>28</v>
      </c>
      <c r="F13" s="1"/>
      <c r="G13" s="1"/>
      <c r="H13" s="1"/>
      <c r="I13" s="1"/>
      <c r="J13" s="1"/>
      <c r="K13" s="1"/>
      <c r="L13" s="125"/>
      <c r="M13" s="1"/>
      <c r="N13" s="1"/>
      <c r="O13" s="1">
        <v>25</v>
      </c>
      <c r="P13" s="1">
        <v>34</v>
      </c>
      <c r="Q13" s="1">
        <v>15</v>
      </c>
      <c r="R13" s="36">
        <v>11</v>
      </c>
      <c r="S13" s="1"/>
      <c r="T13" s="1"/>
      <c r="U13" s="1">
        <v>11</v>
      </c>
      <c r="V13" s="1">
        <v>17</v>
      </c>
      <c r="W13" s="1"/>
      <c r="X13" s="1"/>
      <c r="Y13" s="1">
        <v>10</v>
      </c>
      <c r="Z13" s="1">
        <v>112</v>
      </c>
      <c r="AA13" s="1"/>
      <c r="AB13" s="1"/>
      <c r="AC13" s="1"/>
      <c r="AD13" s="1">
        <v>27</v>
      </c>
      <c r="AE13" s="1"/>
      <c r="AF13" s="1"/>
      <c r="AG13" s="1"/>
      <c r="AH13" s="1"/>
      <c r="AI13" s="1"/>
      <c r="AJ13" s="1">
        <v>185</v>
      </c>
      <c r="AK13" s="1"/>
    </row>
    <row r="14" spans="1:37" x14ac:dyDescent="0.3">
      <c r="A14" s="201"/>
      <c r="B14" s="6">
        <v>4.9999999999999998E-7</v>
      </c>
      <c r="C14" s="1"/>
      <c r="D14" s="1"/>
      <c r="E14" s="1"/>
      <c r="F14" s="1"/>
      <c r="G14" s="1"/>
      <c r="H14" s="1"/>
      <c r="I14" s="1"/>
      <c r="J14" s="1"/>
      <c r="K14" s="1"/>
      <c r="L14" s="125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>
        <v>4</v>
      </c>
      <c r="Z14" s="1">
        <v>55</v>
      </c>
      <c r="AA14" s="1"/>
      <c r="AB14" s="1"/>
      <c r="AC14" s="1"/>
      <c r="AD14" s="1"/>
      <c r="AE14" s="1"/>
      <c r="AF14" s="1"/>
      <c r="AG14" s="1"/>
      <c r="AH14" s="1"/>
      <c r="AI14" s="1" t="s">
        <v>78</v>
      </c>
      <c r="AJ14" s="1">
        <v>99</v>
      </c>
      <c r="AK14" s="1"/>
    </row>
    <row r="15" spans="1:37" x14ac:dyDescent="0.3">
      <c r="A15" s="201"/>
      <c r="B15" s="6">
        <v>9.9999999999999995E-8</v>
      </c>
      <c r="C15" s="1"/>
      <c r="D15" s="1"/>
      <c r="E15" s="1"/>
      <c r="F15" s="1"/>
      <c r="G15" s="1"/>
      <c r="H15" s="1"/>
      <c r="I15" s="1"/>
      <c r="J15" s="1"/>
      <c r="K15" s="1"/>
      <c r="L15" s="125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>
        <v>82</v>
      </c>
      <c r="AJ15" s="1">
        <v>13</v>
      </c>
      <c r="AK15" s="1"/>
    </row>
    <row r="16" spans="1:37" x14ac:dyDescent="0.3">
      <c r="A16" s="201"/>
      <c r="B16" s="6">
        <v>4.9999999999999998E-8</v>
      </c>
      <c r="C16" s="1"/>
      <c r="D16" s="1"/>
      <c r="E16" s="1"/>
      <c r="F16" s="1"/>
      <c r="G16" s="1"/>
      <c r="H16" s="1"/>
      <c r="I16" s="1"/>
      <c r="J16" s="1"/>
      <c r="K16" s="1"/>
      <c r="L16" s="125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>
        <v>49</v>
      </c>
      <c r="AJ16" s="1"/>
      <c r="AK16" s="1"/>
    </row>
    <row r="17" spans="1:37" x14ac:dyDescent="0.3">
      <c r="A17" s="202" t="s">
        <v>35</v>
      </c>
      <c r="B17" s="6">
        <v>0.01</v>
      </c>
      <c r="C17" s="1"/>
      <c r="D17" s="1"/>
      <c r="E17" s="1"/>
      <c r="F17" s="1"/>
      <c r="G17" s="1"/>
      <c r="H17" s="1"/>
      <c r="I17" s="1"/>
      <c r="J17" s="1"/>
      <c r="K17" s="1"/>
      <c r="L17" s="125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</row>
    <row r="18" spans="1:37" x14ac:dyDescent="0.3">
      <c r="A18" s="203"/>
      <c r="B18" s="6">
        <v>5.0000000000000001E-3</v>
      </c>
      <c r="C18" s="1"/>
      <c r="D18" s="1"/>
      <c r="E18" s="1"/>
      <c r="F18" s="1"/>
      <c r="G18" s="1"/>
      <c r="H18" s="1"/>
      <c r="I18" s="1"/>
      <c r="J18" s="1"/>
      <c r="K18" s="1"/>
      <c r="L18" s="125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</row>
    <row r="19" spans="1:37" x14ac:dyDescent="0.3">
      <c r="A19" s="203"/>
      <c r="B19" s="6">
        <v>1E-3</v>
      </c>
      <c r="C19" s="1"/>
      <c r="D19" s="1"/>
      <c r="E19" s="1"/>
      <c r="F19" s="1"/>
      <c r="G19" s="1"/>
      <c r="H19" s="1"/>
      <c r="I19" s="1"/>
      <c r="J19" s="1"/>
      <c r="K19" s="1"/>
      <c r="L19" s="125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 t="s">
        <v>78</v>
      </c>
      <c r="AH19" s="1"/>
      <c r="AI19" s="1"/>
      <c r="AJ19" s="1"/>
      <c r="AK19" s="1"/>
    </row>
    <row r="20" spans="1:37" x14ac:dyDescent="0.3">
      <c r="A20" s="203"/>
      <c r="B20" s="6">
        <v>5.0000000000000001E-4</v>
      </c>
      <c r="C20" s="1"/>
      <c r="D20" s="1"/>
      <c r="E20" s="1"/>
      <c r="F20" s="1"/>
      <c r="G20" s="1"/>
      <c r="H20" s="1"/>
      <c r="I20" s="1"/>
      <c r="J20" s="1"/>
      <c r="K20" s="1"/>
      <c r="L20" s="125"/>
      <c r="M20" s="1"/>
      <c r="N20" s="1"/>
      <c r="O20" s="1"/>
      <c r="P20" s="1"/>
      <c r="Q20" s="1"/>
      <c r="R20" s="1"/>
      <c r="S20" s="1"/>
      <c r="T20" s="1"/>
      <c r="U20" s="1"/>
      <c r="V20" s="1"/>
      <c r="W20" s="1">
        <v>43</v>
      </c>
      <c r="X20" s="1"/>
      <c r="Y20" s="1"/>
      <c r="Z20" s="1"/>
      <c r="AA20" s="1"/>
      <c r="AB20" s="1"/>
      <c r="AC20" s="1"/>
      <c r="AD20" s="1"/>
      <c r="AE20" s="1"/>
      <c r="AF20" s="1"/>
      <c r="AG20" s="1" t="s">
        <v>78</v>
      </c>
      <c r="AH20" s="1"/>
      <c r="AI20" s="1"/>
      <c r="AJ20" s="1"/>
      <c r="AK20" s="1"/>
    </row>
    <row r="21" spans="1:37" x14ac:dyDescent="0.3">
      <c r="A21" s="203"/>
      <c r="B21" s="6">
        <v>1E-4</v>
      </c>
      <c r="C21" s="1"/>
      <c r="D21" s="1" t="s">
        <v>106</v>
      </c>
      <c r="E21" s="1"/>
      <c r="F21" s="1" t="s">
        <v>106</v>
      </c>
      <c r="G21" s="1"/>
      <c r="H21" s="1">
        <v>142</v>
      </c>
      <c r="I21" s="1">
        <v>46</v>
      </c>
      <c r="J21" s="1"/>
      <c r="K21" s="1"/>
      <c r="L21" s="125"/>
      <c r="M21" s="1"/>
      <c r="N21" s="1"/>
      <c r="O21" s="1"/>
      <c r="P21" s="1"/>
      <c r="Q21" s="1"/>
      <c r="R21" s="1"/>
      <c r="S21" s="1"/>
      <c r="T21" s="1"/>
      <c r="U21" s="1"/>
      <c r="V21" s="1"/>
      <c r="W21" s="1" t="s">
        <v>133</v>
      </c>
      <c r="X21" s="1"/>
      <c r="Y21" s="1"/>
      <c r="Z21" s="1"/>
      <c r="AA21" s="1"/>
      <c r="AB21" s="1"/>
      <c r="AC21" s="1"/>
      <c r="AD21" s="1"/>
      <c r="AE21" s="1"/>
      <c r="AF21" s="1"/>
      <c r="AG21" s="1" t="s">
        <v>78</v>
      </c>
      <c r="AH21" s="1"/>
      <c r="AI21" s="1"/>
      <c r="AJ21" s="1"/>
      <c r="AK21" s="1"/>
    </row>
    <row r="22" spans="1:37" x14ac:dyDescent="0.3">
      <c r="A22" s="203"/>
      <c r="B22" s="6">
        <v>5.0000000000000002E-5</v>
      </c>
      <c r="C22" s="1">
        <v>144</v>
      </c>
      <c r="D22" s="1" t="s">
        <v>106</v>
      </c>
      <c r="E22" s="1"/>
      <c r="F22" s="1">
        <f>48+19</f>
        <v>67</v>
      </c>
      <c r="G22" s="1">
        <v>312</v>
      </c>
      <c r="H22" s="1">
        <v>82</v>
      </c>
      <c r="I22" s="1">
        <v>38</v>
      </c>
      <c r="J22" s="1">
        <v>151</v>
      </c>
      <c r="K22" s="1">
        <v>169</v>
      </c>
      <c r="L22" s="125">
        <v>173</v>
      </c>
      <c r="M22" s="1"/>
      <c r="N22" s="1" t="s">
        <v>78</v>
      </c>
      <c r="O22" s="1"/>
      <c r="P22" s="1"/>
      <c r="Q22" s="1"/>
      <c r="R22" s="1">
        <v>123</v>
      </c>
      <c r="S22" s="1">
        <v>319</v>
      </c>
      <c r="T22" s="1" t="s">
        <v>78</v>
      </c>
      <c r="U22" s="1" t="s">
        <v>78</v>
      </c>
      <c r="V22" s="1">
        <v>184</v>
      </c>
      <c r="W22" s="1">
        <v>8</v>
      </c>
      <c r="X22" s="1" t="s">
        <v>78</v>
      </c>
      <c r="Y22" s="1" t="s">
        <v>78</v>
      </c>
      <c r="Z22" s="1" t="s">
        <v>78</v>
      </c>
      <c r="AA22" s="1">
        <v>176</v>
      </c>
      <c r="AB22" s="1">
        <v>116</v>
      </c>
      <c r="AC22" s="1"/>
      <c r="AD22" s="1">
        <v>401</v>
      </c>
      <c r="AE22" s="1">
        <v>304</v>
      </c>
      <c r="AF22" s="1">
        <v>209</v>
      </c>
      <c r="AG22" s="36">
        <v>184</v>
      </c>
      <c r="AH22" s="1"/>
      <c r="AI22" s="1" t="s">
        <v>78</v>
      </c>
      <c r="AJ22" s="1">
        <v>46</v>
      </c>
      <c r="AK22" s="1" t="s">
        <v>78</v>
      </c>
    </row>
    <row r="23" spans="1:37" x14ac:dyDescent="0.3">
      <c r="A23" s="203"/>
      <c r="B23" s="6">
        <v>1.0000000000000001E-5</v>
      </c>
      <c r="C23" s="1">
        <v>26</v>
      </c>
      <c r="D23" s="1">
        <f>108+15</f>
        <v>123</v>
      </c>
      <c r="E23" s="1">
        <v>66</v>
      </c>
      <c r="F23" s="1">
        <f>24+14</f>
        <v>38</v>
      </c>
      <c r="G23" s="1">
        <v>81</v>
      </c>
      <c r="H23" s="1">
        <v>17</v>
      </c>
      <c r="I23" s="1">
        <v>5</v>
      </c>
      <c r="J23" s="1">
        <v>43</v>
      </c>
      <c r="K23" s="1">
        <v>34</v>
      </c>
      <c r="L23" s="125">
        <v>27</v>
      </c>
      <c r="M23" s="36"/>
      <c r="N23" s="36">
        <v>154</v>
      </c>
      <c r="O23" s="1" t="s">
        <v>78</v>
      </c>
      <c r="P23" s="1">
        <v>149</v>
      </c>
      <c r="Q23" s="1">
        <v>180</v>
      </c>
      <c r="R23" s="36">
        <v>24</v>
      </c>
      <c r="S23" s="36">
        <v>61</v>
      </c>
      <c r="T23" s="36">
        <v>146</v>
      </c>
      <c r="U23" s="36">
        <v>157</v>
      </c>
      <c r="V23" s="36">
        <v>39</v>
      </c>
      <c r="W23" s="36">
        <v>3</v>
      </c>
      <c r="X23" s="36">
        <v>316</v>
      </c>
      <c r="Y23" s="1" t="s">
        <v>78</v>
      </c>
      <c r="Z23" s="1" t="s">
        <v>78</v>
      </c>
      <c r="AA23" s="1">
        <v>39</v>
      </c>
      <c r="AB23" s="1">
        <v>37</v>
      </c>
      <c r="AC23" s="1">
        <v>245</v>
      </c>
      <c r="AD23" s="1">
        <v>75</v>
      </c>
      <c r="AE23" s="1">
        <v>59</v>
      </c>
      <c r="AF23" s="1">
        <v>39</v>
      </c>
      <c r="AG23" s="1"/>
      <c r="AH23" s="1"/>
      <c r="AI23" s="1" t="s">
        <v>78</v>
      </c>
      <c r="AJ23" s="1">
        <v>14</v>
      </c>
      <c r="AK23" s="1">
        <v>509</v>
      </c>
    </row>
    <row r="24" spans="1:37" x14ac:dyDescent="0.3">
      <c r="A24" s="203"/>
      <c r="B24" s="6">
        <v>5.0000000000000004E-6</v>
      </c>
      <c r="C24" s="1">
        <v>14</v>
      </c>
      <c r="D24" s="1">
        <v>73</v>
      </c>
      <c r="E24" s="1">
        <v>55</v>
      </c>
      <c r="F24" s="1">
        <v>4</v>
      </c>
      <c r="G24" s="1">
        <v>42</v>
      </c>
      <c r="H24" s="1">
        <v>7</v>
      </c>
      <c r="I24" s="1">
        <v>4</v>
      </c>
      <c r="J24" s="1">
        <v>13</v>
      </c>
      <c r="K24" s="1"/>
      <c r="L24" s="125">
        <v>16</v>
      </c>
      <c r="M24" s="36">
        <v>32</v>
      </c>
      <c r="N24" s="36">
        <v>83</v>
      </c>
      <c r="O24" s="1">
        <v>194</v>
      </c>
      <c r="P24" s="1">
        <v>73</v>
      </c>
      <c r="Q24" s="1">
        <v>87</v>
      </c>
      <c r="R24" s="36">
        <v>9</v>
      </c>
      <c r="S24" s="36">
        <v>50</v>
      </c>
      <c r="T24" s="36">
        <v>69</v>
      </c>
      <c r="U24" s="36">
        <v>80</v>
      </c>
      <c r="V24" s="36">
        <v>30</v>
      </c>
      <c r="W24" s="1"/>
      <c r="X24" s="1">
        <v>157</v>
      </c>
      <c r="Y24" s="1">
        <v>381</v>
      </c>
      <c r="Z24" s="1" t="s">
        <v>78</v>
      </c>
      <c r="AA24" s="1">
        <v>20</v>
      </c>
      <c r="AB24" s="1">
        <v>19</v>
      </c>
      <c r="AC24" s="1">
        <v>124</v>
      </c>
      <c r="AD24" s="1">
        <v>38</v>
      </c>
      <c r="AE24" s="1">
        <v>23</v>
      </c>
      <c r="AF24" s="1">
        <v>30</v>
      </c>
      <c r="AG24" s="1"/>
      <c r="AH24" s="1"/>
      <c r="AI24" s="1" t="s">
        <v>78</v>
      </c>
      <c r="AJ24" s="1">
        <v>8</v>
      </c>
      <c r="AK24" s="1" t="s">
        <v>148</v>
      </c>
    </row>
    <row r="25" spans="1:37" x14ac:dyDescent="0.3">
      <c r="A25" s="203"/>
      <c r="B25" s="6">
        <v>9.9999999999999995E-7</v>
      </c>
      <c r="C25" s="1"/>
      <c r="D25" s="1"/>
      <c r="E25" s="1">
        <v>21</v>
      </c>
      <c r="F25" s="1"/>
      <c r="G25" s="1">
        <v>12</v>
      </c>
      <c r="H25" s="1"/>
      <c r="I25" s="1"/>
      <c r="J25" s="1">
        <v>2</v>
      </c>
      <c r="K25" s="1">
        <v>10</v>
      </c>
      <c r="L25" s="125">
        <v>5</v>
      </c>
      <c r="M25" s="36">
        <v>9</v>
      </c>
      <c r="N25" s="36">
        <v>25</v>
      </c>
      <c r="O25" s="36">
        <v>83</v>
      </c>
      <c r="P25" s="1">
        <v>14</v>
      </c>
      <c r="Q25" s="1">
        <v>16</v>
      </c>
      <c r="R25" s="36">
        <v>3</v>
      </c>
      <c r="S25" s="36">
        <v>8</v>
      </c>
      <c r="T25" s="36">
        <v>6</v>
      </c>
      <c r="U25" s="36">
        <v>18</v>
      </c>
      <c r="V25" s="36">
        <v>6</v>
      </c>
      <c r="W25" s="1"/>
      <c r="X25" s="1">
        <v>37</v>
      </c>
      <c r="Y25" s="1">
        <v>102</v>
      </c>
      <c r="Z25" s="1">
        <v>347</v>
      </c>
      <c r="AA25" s="1">
        <v>3</v>
      </c>
      <c r="AB25" s="1">
        <v>0</v>
      </c>
      <c r="AC25" s="1">
        <v>21</v>
      </c>
      <c r="AD25" s="1">
        <v>7</v>
      </c>
      <c r="AE25" s="1">
        <v>6</v>
      </c>
      <c r="AF25" s="1">
        <v>5</v>
      </c>
      <c r="AG25" s="1"/>
      <c r="AH25" s="1" t="s">
        <v>78</v>
      </c>
      <c r="AI25" s="1">
        <v>195</v>
      </c>
      <c r="AJ25" s="1">
        <v>2</v>
      </c>
      <c r="AK25" s="1">
        <v>44</v>
      </c>
    </row>
    <row r="26" spans="1:37" x14ac:dyDescent="0.3">
      <c r="A26" s="203"/>
      <c r="B26" s="6">
        <v>4.9999999999999998E-7</v>
      </c>
      <c r="C26" s="1"/>
      <c r="D26" s="1"/>
      <c r="E26" s="1">
        <v>14</v>
      </c>
      <c r="F26" s="1"/>
      <c r="G26" s="1"/>
      <c r="H26" s="1"/>
      <c r="I26" s="1"/>
      <c r="J26" s="1"/>
      <c r="K26" s="1"/>
      <c r="L26" s="125"/>
      <c r="M26" s="1">
        <v>6</v>
      </c>
      <c r="N26" s="1"/>
      <c r="O26" s="1">
        <v>29</v>
      </c>
      <c r="P26" s="1">
        <v>6</v>
      </c>
      <c r="Q26" s="1">
        <v>9</v>
      </c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>
        <v>15</v>
      </c>
      <c r="AD26" s="1"/>
      <c r="AE26" s="1"/>
      <c r="AF26" s="1"/>
      <c r="AG26" s="1"/>
      <c r="AH26" s="1" t="s">
        <v>78</v>
      </c>
      <c r="AI26" s="1"/>
      <c r="AJ26" s="1">
        <v>0</v>
      </c>
      <c r="AK26" s="1"/>
    </row>
    <row r="27" spans="1:37" x14ac:dyDescent="0.3">
      <c r="A27" s="203"/>
      <c r="B27" s="112">
        <v>9.9999999999999995E-8</v>
      </c>
      <c r="C27" s="113"/>
      <c r="D27" s="113"/>
      <c r="E27" s="113"/>
      <c r="F27" s="113"/>
      <c r="G27" s="113"/>
      <c r="H27" s="113"/>
      <c r="I27" s="113"/>
      <c r="J27" s="113"/>
      <c r="K27" s="113"/>
      <c r="L27" s="137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>
        <v>82</v>
      </c>
      <c r="AI27" s="1"/>
      <c r="AJ27" s="1"/>
      <c r="AK27" s="1"/>
    </row>
    <row r="28" spans="1:37" x14ac:dyDescent="0.3">
      <c r="A28" s="203"/>
      <c r="B28" s="112">
        <v>4.9999999999999998E-8</v>
      </c>
      <c r="C28" s="113"/>
      <c r="D28" s="113"/>
      <c r="E28" s="113"/>
      <c r="F28" s="113"/>
      <c r="G28" s="113"/>
      <c r="H28" s="113"/>
      <c r="I28" s="113"/>
      <c r="J28" s="113"/>
      <c r="K28" s="113"/>
      <c r="L28" s="137"/>
      <c r="M28" s="1">
        <v>2</v>
      </c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>
        <v>51</v>
      </c>
      <c r="AI28" s="1"/>
      <c r="AJ28" s="1"/>
      <c r="AK28" s="1"/>
    </row>
    <row r="29" spans="1:37" x14ac:dyDescent="0.3">
      <c r="A29" s="201" t="s">
        <v>129</v>
      </c>
      <c r="B29" s="201"/>
      <c r="C29" s="6">
        <v>1.09E-2</v>
      </c>
      <c r="D29" s="6">
        <v>3.4200000000000001E-2</v>
      </c>
      <c r="E29" s="6">
        <v>8.1300000000000001E-3</v>
      </c>
      <c r="F29" s="6">
        <v>1.23E-2</v>
      </c>
      <c r="G29" s="6">
        <v>1.5384615384615387E-2</v>
      </c>
      <c r="H29" s="6">
        <v>1.0800000000000001E-2</v>
      </c>
      <c r="I29" s="6">
        <v>1.388888888888889E-2</v>
      </c>
      <c r="J29" s="6">
        <v>0.217391304347826</v>
      </c>
      <c r="K29" s="6">
        <v>3.3112582781456998E-2</v>
      </c>
      <c r="L29" s="80">
        <v>2.9585798816568001E-2</v>
      </c>
      <c r="M29" s="68">
        <v>1.9230769230769201E-2</v>
      </c>
      <c r="N29" s="68">
        <v>1.5625000000000003E-2</v>
      </c>
      <c r="O29" s="68">
        <v>6.4935064935064896E-3</v>
      </c>
      <c r="P29" s="68">
        <v>2.5773195876288698E-3</v>
      </c>
      <c r="Q29" s="6">
        <v>6.7114093959731603E-3</v>
      </c>
      <c r="R29" s="6">
        <v>4.4400000000000004E-3</v>
      </c>
      <c r="S29" s="6">
        <v>4.07E-2</v>
      </c>
      <c r="T29" s="6">
        <v>1.6389999999999998E-2</v>
      </c>
      <c r="U29" s="6">
        <v>6.8500000000000002E-3</v>
      </c>
      <c r="V29" s="6">
        <v>6.3699999999999998E-3</v>
      </c>
      <c r="W29" s="6">
        <v>0.152</v>
      </c>
      <c r="X29" s="6">
        <v>0.14449999999999999</v>
      </c>
      <c r="Y29" s="6">
        <v>3.1800000000000001E-3</v>
      </c>
      <c r="Z29" s="6">
        <v>9.7999999999999997E-4</v>
      </c>
      <c r="AA29" s="6">
        <v>2.8800000000000001E-4</v>
      </c>
      <c r="AB29" s="6">
        <v>2.9399999999999999E-2</v>
      </c>
      <c r="AC29" s="6">
        <v>4.3099999999999999E-2</v>
      </c>
      <c r="AD29" s="6">
        <v>4.0299999999999997E-3</v>
      </c>
      <c r="AE29" s="6">
        <v>1.3299999999999999E-2</v>
      </c>
      <c r="AF29" s="6">
        <v>1.6899999999999998E-2</v>
      </c>
      <c r="AG29" s="141">
        <v>3.2890000000000003E-2</v>
      </c>
      <c r="AH29" s="6">
        <v>2.7199999999999998E-2</v>
      </c>
      <c r="AI29" s="6">
        <v>1.047E-4</v>
      </c>
      <c r="AJ29" s="6">
        <v>5.128E-4</v>
      </c>
      <c r="AK29" s="6">
        <v>0.1087</v>
      </c>
    </row>
    <row r="30" spans="1:37" x14ac:dyDescent="0.3">
      <c r="A30" s="198" t="s">
        <v>73</v>
      </c>
      <c r="B30" s="198"/>
      <c r="C30" s="80">
        <f>((C29)*SUM(C10:C12))/(10*SUM($B$10:$B$12))</f>
        <v>5667.9999999999991</v>
      </c>
      <c r="D30" s="80">
        <f>((D29)*SUM(D9:D11))/(10*SUM($B$9:$B$11))</f>
        <v>10623.374999999998</v>
      </c>
      <c r="E30" s="80">
        <f>((E29)*SUM(E12:E13))/(10*SUM($B$12:$B$13))</f>
        <v>11788.5</v>
      </c>
      <c r="F30" s="80">
        <f>((F29)*SUM(F10:F11))/(10*SUM($B$10:$B$11))</f>
        <v>1578.5</v>
      </c>
      <c r="G30" s="80">
        <f t="shared" ref="G30:K30" si="0">((G29)*SUM(G10:G12))/(10*SUM($B$10:$B$12))</f>
        <v>8875.7396449704138</v>
      </c>
      <c r="H30" s="80">
        <f>((H29)*SUM(H10:H12))/(10*SUM($B$10:$B$12))</f>
        <v>6745.8461538461534</v>
      </c>
      <c r="I30" s="80">
        <f>((I29)*SUM(I10:I12))/(10*SUM($B$10:$B$12))</f>
        <v>1538.4615384615383</v>
      </c>
      <c r="J30" s="80">
        <f>((J29)*SUM(J8:J9))/(10*SUM($B$8:$B$9))</f>
        <v>11847.826086956517</v>
      </c>
      <c r="K30" s="80">
        <f t="shared" si="0"/>
        <v>6979.1136016301662</v>
      </c>
      <c r="L30" s="80">
        <f>((L29)*SUM(L10:L12))/(10*SUM($B$10:$B$12))</f>
        <v>8284.0236686390399</v>
      </c>
      <c r="M30" s="6">
        <f>((M29)*SUM(M10:M12))/(10*SUM($B$10:$B$12))</f>
        <v>3609.4674556212954</v>
      </c>
      <c r="N30" s="6">
        <f t="shared" ref="N30" si="1">((N29)*SUM(N10:N12))/(10*SUM($B$10:$B$12))</f>
        <v>6514.4230769230771</v>
      </c>
      <c r="O30" s="6">
        <f>((O29)*SUM(O11:O13))/(10*SUM($B$11:$B$13))</f>
        <v>14204.545454545441</v>
      </c>
      <c r="P30" s="6">
        <f>((P29)*SUM(P11:P13))/(10*SUM($B$11:$B$13))</f>
        <v>7119.845360824751</v>
      </c>
      <c r="Q30" s="6">
        <f>((Q29)*SUM(Q11:Q13))/(10*SUM($B$11:$B$13))</f>
        <v>6921.1409395973196</v>
      </c>
      <c r="R30" s="6">
        <f t="shared" ref="R30:V30" si="2">((R29)*SUM(R11:R13))/(10*SUM($B$11:$B$13))</f>
        <v>4745.2499999999991</v>
      </c>
      <c r="S30" s="6">
        <f>((S29)*SUM(S9:S11))/(10*SUM($B$9:$B$11))</f>
        <v>8241.75</v>
      </c>
      <c r="T30" s="6">
        <f t="shared" si="2"/>
        <v>11268.124999999995</v>
      </c>
      <c r="U30" s="6">
        <f t="shared" si="2"/>
        <v>9761.2499999999982</v>
      </c>
      <c r="V30" s="6">
        <f t="shared" si="2"/>
        <v>7564.3749999999973</v>
      </c>
      <c r="W30" s="6">
        <f>((W29)*SUM(W8:W10))/(10*SUM($B$8:$B$11))</f>
        <v>4974.545454545454</v>
      </c>
      <c r="X30" s="6">
        <f>((X29)*SUM(X6:X8))/(10*SUM($B$6:$B$8))</f>
        <v>706.93846153846141</v>
      </c>
      <c r="Y30" s="6">
        <f>((Y29)*SUM(Y12:Y14))/(10*SUM($B$12:$B$14))</f>
        <v>3571.3846153846152</v>
      </c>
      <c r="Z30" s="6">
        <f>((Z29)*SUM(Z12:Z14))/(10*SUM($B$12:$B$14))</f>
        <v>8865.2307692307677</v>
      </c>
      <c r="AA30" s="6">
        <f>((AA29)*SUM(AA12))/(10*SUM($B$11:$B$13))</f>
        <v>1720.7999999999997</v>
      </c>
      <c r="AB30" s="6">
        <f>((AB29)*SUM(AB10:AB12))/(10*SUM($B$10:$B$12))</f>
        <v>6196.6153846153838</v>
      </c>
      <c r="AC30" s="6">
        <f>((AC29)*SUM(AC9:AC11))/(10*SUM($B$9:$B$11))</f>
        <v>7758</v>
      </c>
      <c r="AD30" s="6">
        <f>((AD29)*SUM(AD11:AD13))/(10*SUM($B$11:$B$13))</f>
        <v>7581.4374999999973</v>
      </c>
      <c r="AE30" s="6">
        <f>((AE29)*SUM(AE10:AE12))/(10*SUM($B$10:$B$12))</f>
        <v>7529.8461538461534</v>
      </c>
      <c r="AF30" s="6">
        <f>((AF29)*SUM(AF10:AF12))/(10*SUM($B$10:$B$12))</f>
        <v>9879.9999999999982</v>
      </c>
      <c r="AG30" s="129">
        <f>((AG29)*SUM(AG5:AG7))/(10*SUM($B$5:$B$7))</f>
        <v>74.61918750000001</v>
      </c>
      <c r="AH30" s="80">
        <f>((AH29)*SUM(AH10:AH12))/(10*SUM($B$10:$B$12))</f>
        <v>9289.8461538461524</v>
      </c>
      <c r="AI30" s="80">
        <f>((AI29)*SUM(AI15:AI16))/(10*SUM($B$15:$B$16))</f>
        <v>9143.7999999999993</v>
      </c>
      <c r="AJ30" s="80">
        <f>((AJ29)*SUM(AJ13:AJ15))/(10*SUM($B$13:$B$15))</f>
        <v>9518.85</v>
      </c>
      <c r="AK30" s="6">
        <f>((AK29)*SUM(AK8:AK10))/(10*SUM($B$8:$B$10))</f>
        <v>8144.1384615384613</v>
      </c>
    </row>
    <row r="31" spans="1:37" x14ac:dyDescent="0.3">
      <c r="A31" s="198" t="s">
        <v>72</v>
      </c>
      <c r="B31" s="198"/>
      <c r="C31" s="6">
        <f>(C22+C23+C24)/(B22+B23+B24)</f>
        <v>2830769.2307692305</v>
      </c>
      <c r="D31" s="6">
        <f>(SUM(D23:D24)/(SUM($B$23:$B$24)))</f>
        <v>13066666.666666664</v>
      </c>
      <c r="E31" s="6">
        <f>(SUM(E23:E26)/(SUM($B$23:$B$26)))</f>
        <v>9454545.4545454532</v>
      </c>
      <c r="F31" s="6">
        <f>(SUM(F22:F24)/(SUM($B$22:$B$24)))</f>
        <v>1676923.0769230768</v>
      </c>
      <c r="G31" s="80">
        <f>(SUM(G22:G25)/(SUM($B$22:$B$25)))</f>
        <v>6772727.2727272725</v>
      </c>
      <c r="H31" s="80">
        <f>(SUM(H21:H24)/(SUM($B$21:$B$24)))</f>
        <v>1503030.3030303027</v>
      </c>
      <c r="I31" s="80">
        <f>(SUM(I21:I24)/(SUM($B$21:$B$24)))</f>
        <v>563636.36363636353</v>
      </c>
      <c r="J31" s="80">
        <f>(SUM(J22:J25)/(SUM($B$22:$B$25)))</f>
        <v>3166666.6666666665</v>
      </c>
      <c r="K31" s="80">
        <f>(SUM(K22:K25)/(SUM($B$22:$B$25)))</f>
        <v>3227272.7272727271</v>
      </c>
      <c r="L31" s="80">
        <f>(SUM(L22:L25)/(SUM($B$22:$B$25)))</f>
        <v>3348484.8484848482</v>
      </c>
      <c r="M31" s="6">
        <f>(SUM(M24:M28)/(SUM($B$24:$B$28)))</f>
        <v>7368421.0526315784</v>
      </c>
      <c r="N31" s="6">
        <f>(SUM(N23:N25)/(SUM($B$23:$B$25)))</f>
        <v>16374999.999999998</v>
      </c>
      <c r="O31" s="6">
        <f>(SUM(O24:O26)/(SUM($B$24:B26)))</f>
        <v>47076923.076923072</v>
      </c>
      <c r="P31" s="6">
        <f>(SUM(P23:P26)/(SUM($B$23:$B$26)))</f>
        <v>14666666.666666666</v>
      </c>
      <c r="Q31" s="6">
        <f>(SUM(Q23:Q26)/(SUM($B$23:$B$26)))</f>
        <v>17696969.696969695</v>
      </c>
      <c r="R31" s="6">
        <f>(SUM(R22:R25)/(SUM($B$22:$B$25)))</f>
        <v>2409090.9090909087</v>
      </c>
      <c r="S31" s="6">
        <f>(SUM(S22:S25)/(SUM($B$22:$B$25)))</f>
        <v>6636363.6363636358</v>
      </c>
      <c r="T31" s="6">
        <f>(SUM(T23:T25)/(SUM($B$23:$B$25)))</f>
        <v>13812499.999999998</v>
      </c>
      <c r="U31" s="6">
        <f>(SUM(U23:U25)/(SUM($B$23:$B$25)))</f>
        <v>15937499.999999998</v>
      </c>
      <c r="V31" s="6">
        <f>(SUM(V22:V25)/(SUM($B$22:$B$25)))</f>
        <v>3924242.4242424238</v>
      </c>
      <c r="W31" s="6">
        <f>(SUM(W20,W22:W23)/(SUM($B$20,B22:$B$23)))</f>
        <v>96428.57142857142</v>
      </c>
      <c r="X31" s="6">
        <f>(SUM(X23:X25)/(SUM($B$23:$B$25)))</f>
        <v>31874999.999999996</v>
      </c>
      <c r="Y31" s="6">
        <f>(SUM(Y24:Y25)/(SUM($B$24:$B$25)))</f>
        <v>80500000</v>
      </c>
      <c r="Z31" s="6">
        <f>(SUM(Z25)/(SUM($B$25)))</f>
        <v>347000000</v>
      </c>
      <c r="AA31" s="6">
        <f>(SUM(AA22:AA25)/(SUM($B$22:$B$25)))</f>
        <v>3606060.606060606</v>
      </c>
      <c r="AB31" s="6">
        <f t="shared" ref="AB31:AE31" si="3">(SUM(AB22:AB25)/(SUM($B$22:$B$25)))</f>
        <v>2606060.606060606</v>
      </c>
      <c r="AC31" s="6">
        <f>(SUM(AC23:AC26)/(SUM($B$23:$B$26)))</f>
        <v>24545454.545454543</v>
      </c>
      <c r="AD31" s="6">
        <f>(SUM(AD22:AD25)/(SUM($B$22:$B$25)))</f>
        <v>7893939.3939393936</v>
      </c>
      <c r="AE31" s="6">
        <f t="shared" si="3"/>
        <v>5939393.9393939385</v>
      </c>
      <c r="AF31" s="6">
        <f>(SUM(AF22:AF25)/(SUM($B$22:$B$25)))</f>
        <v>4287878.7878787871</v>
      </c>
      <c r="AG31" s="129">
        <f>(SUM(AG22)/(SUM($B$22:$B$22)))</f>
        <v>3680000</v>
      </c>
      <c r="AH31" s="80">
        <f>(SUM(AH27:AH28)/(SUM($B$27:$B$28)))</f>
        <v>886666666.66666675</v>
      </c>
      <c r="AI31" s="80">
        <f>(SUM(AI25)/(SUM($B$25)))</f>
        <v>195000000</v>
      </c>
      <c r="AJ31" s="80">
        <f>(SUM(AJ22:AJ26)/(SUM($B$22:$B$26)))</f>
        <v>1052631.5789473683</v>
      </c>
      <c r="AK31" s="6">
        <f>(SUM(AK25,AK23)/(SUM($B$25,B23)))</f>
        <v>50272727.272727266</v>
      </c>
    </row>
    <row r="32" spans="1:37" ht="15" thickBot="1" x14ac:dyDescent="0.35">
      <c r="A32" s="138"/>
      <c r="B32" s="138"/>
      <c r="C32" s="150"/>
      <c r="D32" s="151"/>
      <c r="E32" s="151"/>
      <c r="F32" s="151"/>
      <c r="G32" s="151"/>
      <c r="H32" s="152"/>
      <c r="I32" s="152"/>
      <c r="J32" s="152"/>
      <c r="K32" s="152"/>
      <c r="L32" s="152"/>
      <c r="M32" s="153"/>
      <c r="N32" s="153"/>
      <c r="O32" s="153"/>
      <c r="P32" s="153"/>
      <c r="Q32" s="153"/>
      <c r="R32" s="168"/>
      <c r="S32" s="168"/>
      <c r="T32" s="168"/>
      <c r="U32" s="168"/>
      <c r="V32" s="168"/>
      <c r="W32" s="169"/>
      <c r="X32" s="169"/>
      <c r="Y32" s="169"/>
      <c r="Z32" s="169"/>
      <c r="AA32" s="169"/>
      <c r="AB32" s="170"/>
      <c r="AC32" s="170"/>
      <c r="AD32" s="170"/>
      <c r="AE32" s="170"/>
      <c r="AF32" s="170"/>
      <c r="AG32" s="167"/>
      <c r="AH32" s="167"/>
      <c r="AI32" s="167"/>
      <c r="AJ32" s="167"/>
      <c r="AK32" s="167"/>
    </row>
    <row r="33" spans="1:37" ht="15" thickTop="1" x14ac:dyDescent="0.3">
      <c r="A33" s="199" t="s">
        <v>74</v>
      </c>
      <c r="B33" s="199"/>
      <c r="C33" s="139">
        <f>(LN(C31/C30))/(0.667*LN(2))</f>
        <v>13.43948826002206</v>
      </c>
      <c r="D33" s="140">
        <f>(LN(D31/D30))/(0.667*LN(2))</f>
        <v>15.388955414366837</v>
      </c>
      <c r="E33" s="139">
        <f>(LN(E31/E30))/(0.667*LN(2))</f>
        <v>14.463994200337885</v>
      </c>
      <c r="F33" s="139">
        <f t="shared" ref="F33:L33" si="4">(LN(F31/F30))/(0.667*LN(2))</f>
        <v>15.072033786746118</v>
      </c>
      <c r="G33" s="139">
        <f t="shared" si="4"/>
        <v>14.356302604776452</v>
      </c>
      <c r="H33" s="139">
        <f t="shared" si="4"/>
        <v>11.693641625573736</v>
      </c>
      <c r="I33" s="139">
        <f t="shared" si="4"/>
        <v>12.76931410011699</v>
      </c>
      <c r="J33" s="140">
        <f t="shared" si="4"/>
        <v>12.087254623354184</v>
      </c>
      <c r="K33" s="139">
        <f t="shared" si="4"/>
        <v>13.272947481649759</v>
      </c>
      <c r="L33" s="139">
        <f t="shared" si="4"/>
        <v>12.981950598418177</v>
      </c>
      <c r="M33" s="139">
        <f>(LN(M31/M30))/(0.667*LN(2))</f>
        <v>16.484788293846186</v>
      </c>
      <c r="N33" s="139">
        <f t="shared" ref="N33:Q33" si="5">(LN(N31/N30))/(0.667*LN(2))</f>
        <v>16.934887358469858</v>
      </c>
      <c r="O33" s="139">
        <f t="shared" si="5"/>
        <v>17.532911016943771</v>
      </c>
      <c r="P33" s="139">
        <f t="shared" si="5"/>
        <v>16.504359063866861</v>
      </c>
      <c r="Q33" s="139">
        <f t="shared" si="5"/>
        <v>16.971821350262775</v>
      </c>
      <c r="R33" s="139">
        <f>(LN(R31/R30))/(1*LN(2))</f>
        <v>8.9877890240140719</v>
      </c>
      <c r="S33" s="139">
        <f t="shared" ref="S33:V33" si="6">(LN(S31/S30))/(1*LN(2))</f>
        <v>9.6532265224160234</v>
      </c>
      <c r="T33" s="139">
        <f t="shared" si="6"/>
        <v>10.259511276091489</v>
      </c>
      <c r="U33" s="139">
        <f t="shared" si="6"/>
        <v>10.673071814170402</v>
      </c>
      <c r="V33" s="139">
        <f t="shared" si="6"/>
        <v>9.0189775670650274</v>
      </c>
      <c r="W33" s="139">
        <f>(LN(W31/W30))/(0.667*LN(2))</f>
        <v>6.4120300800700356</v>
      </c>
      <c r="X33" s="139">
        <f>(LN(X31/X30))/(2.25*LN(2))</f>
        <v>6.8713249695228678</v>
      </c>
      <c r="Y33" s="139">
        <f>(LN(Y31/Y30))/(2*LN(2))</f>
        <v>7.230108825707755</v>
      </c>
      <c r="Z33" s="139">
        <f>(LN(Z31/Z30))/(1.5*LN(2))</f>
        <v>10.17094530072797</v>
      </c>
      <c r="AA33" s="139">
        <f t="shared" ref="AA33" si="7">(LN(AA31/AA30))/(1*LN(2))</f>
        <v>11.033128498737966</v>
      </c>
      <c r="AB33" s="139">
        <f>(LN(AB31/AB30))/(1*LN(2))</f>
        <v>8.7161744950120195</v>
      </c>
      <c r="AC33" s="139">
        <f>(LN(AC31/AC30))/(1.25*LN(2))</f>
        <v>9.3019867897650368</v>
      </c>
      <c r="AD33" s="139">
        <f>(LN(AD31/AD30))/(1*LN(2))</f>
        <v>10.02405830695656</v>
      </c>
      <c r="AE33" s="139">
        <f t="shared" ref="AE33:AF33" si="8">(LN(AE31/AE30))/(1*LN(2))</f>
        <v>9.6234796206638187</v>
      </c>
      <c r="AF33" s="139">
        <f t="shared" si="8"/>
        <v>8.7615373663255642</v>
      </c>
      <c r="AG33" s="147">
        <f>(LN(AG31/AG30))/(6*LN(2))</f>
        <v>2.5982999315728996</v>
      </c>
      <c r="AH33" s="139">
        <f>(LN(AH31/AH30))/(4*LN(2))</f>
        <v>4.1355944023830542</v>
      </c>
      <c r="AI33" s="139">
        <f>(LN(AI31/AI30))/(2.25*LN(2))</f>
        <v>6.3912536667617976</v>
      </c>
      <c r="AJ33" s="139">
        <f>(LN(AJ31/AJ30))/(1.5*LN(2))</f>
        <v>4.5259983854905386</v>
      </c>
      <c r="AK33" s="139">
        <f>(LN(AK31/AK30))/(2.25*LN(2))</f>
        <v>5.5963227763735048</v>
      </c>
    </row>
    <row r="34" spans="1:37" x14ac:dyDescent="0.3">
      <c r="W34" s="59"/>
      <c r="X34" s="59"/>
      <c r="Y34" s="59"/>
      <c r="Z34" s="59"/>
      <c r="AA34" s="59"/>
    </row>
  </sheetData>
  <mergeCells count="6">
    <mergeCell ref="A31:B31"/>
    <mergeCell ref="A33:B33"/>
    <mergeCell ref="A5:A16"/>
    <mergeCell ref="A17:A28"/>
    <mergeCell ref="A30:B30"/>
    <mergeCell ref="A29:B29"/>
  </mergeCells>
  <phoneticPr fontId="7" type="noConversion"/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BCDF2-3F56-4B7A-8C60-BAE6D702A0D5}">
  <dimension ref="A1:T31"/>
  <sheetViews>
    <sheetView workbookViewId="0">
      <selection activeCell="M29" sqref="M29"/>
    </sheetView>
  </sheetViews>
  <sheetFormatPr defaultRowHeight="14.4" x14ac:dyDescent="0.3"/>
  <cols>
    <col min="3" max="6" width="17.33203125" hidden="1" customWidth="1"/>
    <col min="7" max="7" width="0" hidden="1" customWidth="1"/>
  </cols>
  <sheetData>
    <row r="1" spans="1:20" x14ac:dyDescent="0.3">
      <c r="A1" s="48"/>
      <c r="B1" s="47" t="s">
        <v>17</v>
      </c>
      <c r="C1" s="46">
        <v>44342</v>
      </c>
      <c r="D1" s="52">
        <v>44344</v>
      </c>
      <c r="E1" s="52">
        <v>44349</v>
      </c>
      <c r="F1" s="52">
        <v>44351</v>
      </c>
      <c r="G1" s="52"/>
      <c r="H1" s="52"/>
      <c r="I1" s="52"/>
      <c r="J1" s="52"/>
      <c r="K1" s="52"/>
      <c r="L1" s="52"/>
      <c r="M1" s="45"/>
      <c r="N1" s="45"/>
      <c r="O1" s="45"/>
      <c r="P1" s="45"/>
      <c r="Q1" s="45"/>
      <c r="R1" s="45"/>
      <c r="S1" s="45"/>
      <c r="T1" s="45"/>
    </row>
    <row r="2" spans="1:20" x14ac:dyDescent="0.3">
      <c r="A2" s="48"/>
      <c r="B2" s="47" t="s">
        <v>1</v>
      </c>
      <c r="C2" s="1" t="s">
        <v>5</v>
      </c>
      <c r="D2" s="1" t="s">
        <v>5</v>
      </c>
      <c r="E2" s="1" t="s">
        <v>5</v>
      </c>
      <c r="F2" s="1" t="s">
        <v>5</v>
      </c>
    </row>
    <row r="3" spans="1:20" x14ac:dyDescent="0.3">
      <c r="A3" s="48"/>
      <c r="B3" s="47" t="s">
        <v>70</v>
      </c>
      <c r="C3" s="34" t="s">
        <v>4</v>
      </c>
      <c r="D3" s="34" t="s">
        <v>19</v>
      </c>
      <c r="E3" s="1" t="s">
        <v>61</v>
      </c>
      <c r="F3" s="1" t="s">
        <v>62</v>
      </c>
    </row>
    <row r="4" spans="1:20" x14ac:dyDescent="0.3">
      <c r="A4" s="43"/>
      <c r="B4" s="47" t="s">
        <v>69</v>
      </c>
      <c r="C4" s="1">
        <v>1</v>
      </c>
      <c r="D4" s="1">
        <v>2</v>
      </c>
      <c r="E4" s="1">
        <v>3</v>
      </c>
      <c r="F4" s="1">
        <v>4</v>
      </c>
    </row>
    <row r="5" spans="1:20" x14ac:dyDescent="0.3">
      <c r="A5" s="200" t="s">
        <v>34</v>
      </c>
      <c r="B5" s="6">
        <v>0.01</v>
      </c>
      <c r="C5" s="1"/>
      <c r="D5" s="1"/>
      <c r="E5" s="1"/>
      <c r="F5" s="1"/>
    </row>
    <row r="6" spans="1:20" x14ac:dyDescent="0.3">
      <c r="A6" s="201"/>
      <c r="B6" s="6">
        <v>5.0000000000000001E-3</v>
      </c>
      <c r="C6" s="1"/>
      <c r="D6" s="1"/>
      <c r="E6" s="1"/>
      <c r="F6" s="1"/>
    </row>
    <row r="7" spans="1:20" x14ac:dyDescent="0.3">
      <c r="A7" s="201"/>
      <c r="B7" s="6">
        <v>1E-3</v>
      </c>
      <c r="C7" s="1"/>
      <c r="D7" s="1"/>
      <c r="E7" s="1"/>
      <c r="F7" s="1"/>
    </row>
    <row r="8" spans="1:20" x14ac:dyDescent="0.3">
      <c r="A8" s="201"/>
      <c r="B8" s="6">
        <v>5.0000000000000001E-4</v>
      </c>
      <c r="C8" s="1"/>
      <c r="D8" s="1"/>
      <c r="E8" s="1"/>
      <c r="F8" s="1"/>
    </row>
    <row r="9" spans="1:20" x14ac:dyDescent="0.3">
      <c r="A9" s="201"/>
      <c r="B9" s="6">
        <v>1E-4</v>
      </c>
      <c r="C9" s="1"/>
      <c r="D9" s="1">
        <v>268</v>
      </c>
      <c r="E9" s="1"/>
      <c r="F9" s="1"/>
    </row>
    <row r="10" spans="1:20" x14ac:dyDescent="0.3">
      <c r="A10" s="201"/>
      <c r="B10" s="6">
        <v>5.0000000000000002E-5</v>
      </c>
      <c r="C10" s="1">
        <v>250</v>
      </c>
      <c r="D10" s="1">
        <v>186</v>
      </c>
      <c r="E10" s="1" t="s">
        <v>78</v>
      </c>
      <c r="F10" s="1" t="s">
        <v>78</v>
      </c>
    </row>
    <row r="11" spans="1:20" x14ac:dyDescent="0.3">
      <c r="A11" s="201"/>
      <c r="B11" s="6">
        <v>1.0000000000000001E-5</v>
      </c>
      <c r="C11" s="1">
        <v>60</v>
      </c>
      <c r="D11" s="1">
        <v>43</v>
      </c>
      <c r="E11" s="1" t="s">
        <v>78</v>
      </c>
      <c r="F11" s="1">
        <v>40</v>
      </c>
    </row>
    <row r="12" spans="1:20" x14ac:dyDescent="0.3">
      <c r="A12" s="201"/>
      <c r="B12" s="6">
        <v>5.0000000000000004E-6</v>
      </c>
      <c r="C12" s="1">
        <v>28</v>
      </c>
      <c r="D12" s="1"/>
      <c r="E12" s="1">
        <v>50</v>
      </c>
      <c r="F12" s="1">
        <v>19</v>
      </c>
    </row>
    <row r="13" spans="1:20" x14ac:dyDescent="0.3">
      <c r="A13" s="201"/>
      <c r="B13" s="6">
        <v>9.9999999999999995E-7</v>
      </c>
      <c r="C13" s="1"/>
      <c r="D13" s="1"/>
      <c r="E13" s="1">
        <v>21</v>
      </c>
      <c r="F13" s="1"/>
    </row>
    <row r="14" spans="1:20" x14ac:dyDescent="0.3">
      <c r="A14" s="201"/>
      <c r="B14" s="6">
        <v>4.9999999999999998E-7</v>
      </c>
      <c r="C14" s="1"/>
      <c r="D14" s="1"/>
      <c r="E14" s="1"/>
      <c r="F14" s="1"/>
    </row>
    <row r="15" spans="1:20" x14ac:dyDescent="0.3">
      <c r="A15" s="201"/>
      <c r="B15" s="6">
        <v>9.9999999999999995E-8</v>
      </c>
      <c r="C15" s="1"/>
      <c r="D15" s="1"/>
      <c r="E15" s="1"/>
      <c r="F15" s="1"/>
    </row>
    <row r="16" spans="1:20" x14ac:dyDescent="0.3">
      <c r="A16" s="202" t="s">
        <v>35</v>
      </c>
      <c r="B16" s="6">
        <v>0.01</v>
      </c>
      <c r="C16" s="1"/>
      <c r="D16" s="1"/>
      <c r="E16" s="1"/>
      <c r="F16" s="1"/>
    </row>
    <row r="17" spans="1:14" x14ac:dyDescent="0.3">
      <c r="A17" s="203"/>
      <c r="B17" s="6">
        <v>5.0000000000000001E-3</v>
      </c>
      <c r="C17" s="1"/>
      <c r="D17" s="1"/>
      <c r="E17" s="1"/>
      <c r="F17" s="1"/>
    </row>
    <row r="18" spans="1:14" x14ac:dyDescent="0.3">
      <c r="A18" s="203"/>
      <c r="B18" s="6">
        <v>1E-3</v>
      </c>
      <c r="C18" s="1"/>
      <c r="D18" s="1"/>
      <c r="E18" s="1"/>
      <c r="F18" s="1"/>
    </row>
    <row r="19" spans="1:14" x14ac:dyDescent="0.3">
      <c r="A19" s="203"/>
      <c r="B19" s="6">
        <v>5.0000000000000001E-4</v>
      </c>
      <c r="C19" s="1"/>
      <c r="D19" s="1"/>
      <c r="E19" s="1"/>
      <c r="F19" s="1"/>
    </row>
    <row r="20" spans="1:14" x14ac:dyDescent="0.3">
      <c r="A20" s="203"/>
      <c r="B20" s="6">
        <v>1E-4</v>
      </c>
      <c r="C20" s="1"/>
      <c r="D20" s="1" t="s">
        <v>78</v>
      </c>
      <c r="E20" s="1"/>
      <c r="F20" s="1"/>
    </row>
    <row r="21" spans="1:14" x14ac:dyDescent="0.3">
      <c r="A21" s="203"/>
      <c r="B21" s="6">
        <v>5.0000000000000002E-5</v>
      </c>
      <c r="C21" s="1">
        <v>146</v>
      </c>
      <c r="D21" s="1" t="s">
        <v>78</v>
      </c>
      <c r="E21" s="1"/>
      <c r="F21" s="1" t="s">
        <v>78</v>
      </c>
    </row>
    <row r="22" spans="1:14" x14ac:dyDescent="0.3">
      <c r="A22" s="203"/>
      <c r="B22" s="6">
        <v>1.0000000000000001E-5</v>
      </c>
      <c r="C22" s="1">
        <v>26</v>
      </c>
      <c r="D22" s="1">
        <v>108</v>
      </c>
      <c r="E22" s="1">
        <v>66</v>
      </c>
      <c r="F22" s="1">
        <v>48</v>
      </c>
    </row>
    <row r="23" spans="1:14" x14ac:dyDescent="0.3">
      <c r="A23" s="203"/>
      <c r="B23" s="6">
        <v>5.0000000000000004E-6</v>
      </c>
      <c r="C23" s="1">
        <v>15</v>
      </c>
      <c r="D23" s="1">
        <v>61</v>
      </c>
      <c r="E23" s="1">
        <v>55</v>
      </c>
      <c r="F23" s="1">
        <v>24</v>
      </c>
    </row>
    <row r="24" spans="1:14" x14ac:dyDescent="0.3">
      <c r="A24" s="203"/>
      <c r="B24" s="6">
        <v>9.9999999999999995E-7</v>
      </c>
      <c r="C24" s="1"/>
      <c r="D24" s="1"/>
      <c r="E24" s="1">
        <v>21</v>
      </c>
      <c r="F24" s="1">
        <v>2</v>
      </c>
    </row>
    <row r="25" spans="1:14" x14ac:dyDescent="0.3">
      <c r="A25" s="203"/>
      <c r="B25" s="6">
        <v>4.9999999999999998E-7</v>
      </c>
      <c r="C25" s="1"/>
      <c r="D25" s="1"/>
      <c r="E25" s="1">
        <v>14</v>
      </c>
      <c r="F25" s="1"/>
    </row>
    <row r="26" spans="1:14" x14ac:dyDescent="0.3">
      <c r="A26" s="200"/>
      <c r="B26" s="6">
        <v>9.9999999999999995E-8</v>
      </c>
      <c r="C26" s="1"/>
      <c r="D26" s="1"/>
      <c r="E26" s="1"/>
      <c r="F26" s="1"/>
    </row>
    <row r="27" spans="1:14" x14ac:dyDescent="0.3">
      <c r="A27" s="49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</row>
    <row r="28" spans="1:14" x14ac:dyDescent="0.3">
      <c r="A28" s="198" t="s">
        <v>73</v>
      </c>
      <c r="B28" s="198"/>
      <c r="C28" s="6">
        <f>(100000/9200000)*SUM(C10:C12)/(10*SUM(B10:B12))</f>
        <v>5652.1739130434771</v>
      </c>
      <c r="D28" s="6">
        <f>(100000/C29)*SUM(D9:D11)/(10*SUM(B9:B11))</f>
        <v>10797.125668449198</v>
      </c>
      <c r="E28" s="6">
        <f>(100000/D29)*SUM(E12:E13)/(10*SUM(B12:B13))</f>
        <v>10502.958579881659</v>
      </c>
      <c r="F28" s="6">
        <f>(100000/E29)*SUM(F11:F12)/(10*SUM(B11:B12))</f>
        <v>4160.2564102564111</v>
      </c>
      <c r="G28" s="6">
        <f t="shared" ref="G28:N28" si="0">(100000/F29)*SUM(G11:G12)/(10*SUM(C11:C12))</f>
        <v>0</v>
      </c>
      <c r="H28" s="6" t="e">
        <f t="shared" si="0"/>
        <v>#DIV/0!</v>
      </c>
      <c r="I28" s="6" t="e">
        <f t="shared" si="0"/>
        <v>#DIV/0!</v>
      </c>
      <c r="J28" s="6" t="e">
        <f t="shared" si="0"/>
        <v>#DIV/0!</v>
      </c>
      <c r="K28" s="6" t="e">
        <f t="shared" si="0"/>
        <v>#DIV/0!</v>
      </c>
      <c r="L28" s="6" t="e">
        <f t="shared" si="0"/>
        <v>#DIV/0!</v>
      </c>
      <c r="M28" s="6" t="e">
        <f t="shared" si="0"/>
        <v>#DIV/0!</v>
      </c>
      <c r="N28" s="6" t="e">
        <f t="shared" si="0"/>
        <v>#DIV/0!</v>
      </c>
    </row>
    <row r="29" spans="1:14" x14ac:dyDescent="0.3">
      <c r="A29" s="198" t="s">
        <v>72</v>
      </c>
      <c r="B29" s="198"/>
      <c r="C29" s="6">
        <f>(C21+C22+C23)/(B21+B22+B23)</f>
        <v>2876923.0769230765</v>
      </c>
      <c r="D29" s="6">
        <f>(D22+D23)/(SUM(B22:B23))</f>
        <v>11266666.666666664</v>
      </c>
      <c r="E29" s="6">
        <f>(SUM(E22:E25)/(SUM(B22:B25)))</f>
        <v>9454545.4545454532</v>
      </c>
      <c r="F29" s="6">
        <f>(SUM(F22:F24)/(SUM(B22:B24)))</f>
        <v>4624999.9999999991</v>
      </c>
      <c r="G29" s="6">
        <f t="shared" ref="G29:N29" si="1">(SUM(G22:G24)/(SUM(C22:C24)))</f>
        <v>0</v>
      </c>
      <c r="H29" s="6">
        <f t="shared" si="1"/>
        <v>0</v>
      </c>
      <c r="I29" s="6">
        <f t="shared" si="1"/>
        <v>0</v>
      </c>
      <c r="J29" s="6">
        <f t="shared" si="1"/>
        <v>0</v>
      </c>
      <c r="K29" s="6" t="e">
        <f t="shared" si="1"/>
        <v>#DIV/0!</v>
      </c>
      <c r="L29" s="6" t="e">
        <f t="shared" si="1"/>
        <v>#DIV/0!</v>
      </c>
      <c r="M29" s="6" t="e">
        <f t="shared" si="1"/>
        <v>#DIV/0!</v>
      </c>
      <c r="N29" s="6" t="e">
        <f t="shared" si="1"/>
        <v>#DIV/0!</v>
      </c>
    </row>
    <row r="30" spans="1:14" x14ac:dyDescent="0.3">
      <c r="A30" s="1"/>
      <c r="B30" s="1"/>
      <c r="C30" s="1"/>
    </row>
    <row r="31" spans="1:14" x14ac:dyDescent="0.3">
      <c r="A31" s="198" t="s">
        <v>74</v>
      </c>
      <c r="B31" s="198"/>
      <c r="C31" s="37">
        <f>(LN(C29/C28))/(0.667*LN(2))</f>
        <v>13.480517353148169</v>
      </c>
      <c r="D31" s="37">
        <f t="shared" ref="D31:E31" si="2">(LN(D29/D28))/(0.667*LN(2))</f>
        <v>15.033279955970988</v>
      </c>
      <c r="E31" s="37">
        <f t="shared" si="2"/>
        <v>14.713745893806086</v>
      </c>
      <c r="F31" s="37">
        <f>(LN(F29/F28))/(0.667*LN(2))</f>
        <v>15.170262670396021</v>
      </c>
      <c r="G31" s="37" t="e">
        <f t="shared" ref="G31:N31" si="3">(LN(G29/G28))/(0.667*LN(2))</f>
        <v>#DIV/0!</v>
      </c>
      <c r="H31" s="37" t="e">
        <f t="shared" si="3"/>
        <v>#DIV/0!</v>
      </c>
      <c r="I31" s="37" t="e">
        <f t="shared" si="3"/>
        <v>#DIV/0!</v>
      </c>
      <c r="J31" s="37" t="e">
        <f t="shared" si="3"/>
        <v>#DIV/0!</v>
      </c>
      <c r="K31" s="37" t="e">
        <f t="shared" si="3"/>
        <v>#DIV/0!</v>
      </c>
      <c r="L31" s="37" t="e">
        <f t="shared" si="3"/>
        <v>#DIV/0!</v>
      </c>
      <c r="M31" s="37" t="e">
        <f t="shared" si="3"/>
        <v>#DIV/0!</v>
      </c>
      <c r="N31" s="37" t="e">
        <f t="shared" si="3"/>
        <v>#DIV/0!</v>
      </c>
    </row>
  </sheetData>
  <mergeCells count="5">
    <mergeCell ref="A5:A15"/>
    <mergeCell ref="A16:A26"/>
    <mergeCell ref="A28:B28"/>
    <mergeCell ref="A29:B29"/>
    <mergeCell ref="A31:B31"/>
  </mergeCells>
  <phoneticPr fontId="7" type="noConversion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152CF-4ED7-41D7-8C20-A61C941DB462}">
  <dimension ref="A1:Q33"/>
  <sheetViews>
    <sheetView zoomScale="63" workbookViewId="0">
      <selection activeCell="G23" sqref="G23"/>
    </sheetView>
  </sheetViews>
  <sheetFormatPr defaultRowHeight="14.4" x14ac:dyDescent="0.3"/>
  <cols>
    <col min="3" max="7" width="14.88671875" customWidth="1"/>
    <col min="8" max="8" width="12.6640625" customWidth="1"/>
    <col min="9" max="12" width="11.109375" customWidth="1"/>
    <col min="13" max="17" width="12.33203125" bestFit="1" customWidth="1"/>
  </cols>
  <sheetData>
    <row r="1" spans="1:17" x14ac:dyDescent="0.3">
      <c r="A1" s="48"/>
      <c r="B1" s="47" t="s">
        <v>17</v>
      </c>
      <c r="C1" s="52">
        <v>44351</v>
      </c>
      <c r="D1" s="52">
        <v>44354</v>
      </c>
      <c r="E1" s="52">
        <v>44357</v>
      </c>
      <c r="F1" s="52">
        <v>44358</v>
      </c>
      <c r="G1" s="52">
        <v>44364</v>
      </c>
      <c r="H1" s="46">
        <v>44361</v>
      </c>
      <c r="I1" s="46">
        <v>44364</v>
      </c>
      <c r="J1" s="46">
        <v>44365</v>
      </c>
      <c r="K1" s="46">
        <v>44379</v>
      </c>
      <c r="L1" s="46">
        <v>44384</v>
      </c>
      <c r="M1" s="33">
        <v>44389</v>
      </c>
      <c r="N1" s="33">
        <v>44391</v>
      </c>
      <c r="O1" s="33">
        <v>44392</v>
      </c>
      <c r="P1" s="33">
        <v>44396</v>
      </c>
      <c r="Q1" s="33"/>
    </row>
    <row r="2" spans="1:17" x14ac:dyDescent="0.3">
      <c r="A2" s="48"/>
      <c r="B2" s="47" t="s">
        <v>1</v>
      </c>
      <c r="C2" s="22" t="s">
        <v>135</v>
      </c>
      <c r="D2" s="22" t="s">
        <v>135</v>
      </c>
      <c r="E2" s="22" t="s">
        <v>135</v>
      </c>
      <c r="F2" s="22" t="s">
        <v>135</v>
      </c>
      <c r="G2" s="135" t="s">
        <v>135</v>
      </c>
      <c r="H2" s="148" t="s">
        <v>11</v>
      </c>
      <c r="I2" s="148" t="s">
        <v>11</v>
      </c>
      <c r="J2" s="148" t="s">
        <v>11</v>
      </c>
      <c r="K2" s="148" t="s">
        <v>11</v>
      </c>
      <c r="L2" s="148" t="s">
        <v>11</v>
      </c>
      <c r="M2" s="144" t="s">
        <v>126</v>
      </c>
      <c r="N2" s="144" t="s">
        <v>126</v>
      </c>
      <c r="O2" s="144" t="s">
        <v>126</v>
      </c>
      <c r="P2" s="144" t="s">
        <v>126</v>
      </c>
      <c r="Q2" s="144" t="s">
        <v>126</v>
      </c>
    </row>
    <row r="3" spans="1:17" x14ac:dyDescent="0.3">
      <c r="A3" s="48"/>
      <c r="B3" s="47" t="s">
        <v>70</v>
      </c>
      <c r="C3" s="105" t="s">
        <v>6</v>
      </c>
      <c r="D3" s="105" t="s">
        <v>66</v>
      </c>
      <c r="E3" s="105" t="s">
        <v>75</v>
      </c>
      <c r="F3" s="105" t="s">
        <v>80</v>
      </c>
      <c r="G3" s="142" t="s">
        <v>81</v>
      </c>
      <c r="H3" s="5">
        <v>203</v>
      </c>
      <c r="I3" s="5">
        <v>203.1</v>
      </c>
      <c r="J3" s="5">
        <v>203.2</v>
      </c>
      <c r="K3" s="5">
        <v>203.3</v>
      </c>
      <c r="L3" s="5">
        <v>203.4</v>
      </c>
      <c r="M3" s="5">
        <v>224</v>
      </c>
      <c r="N3" s="5">
        <v>224.1</v>
      </c>
      <c r="O3" s="5">
        <v>224.2</v>
      </c>
      <c r="P3" s="5">
        <v>224.3</v>
      </c>
      <c r="Q3" s="5"/>
    </row>
    <row r="4" spans="1:17" x14ac:dyDescent="0.3">
      <c r="A4" s="43"/>
      <c r="B4" s="47" t="s">
        <v>69</v>
      </c>
      <c r="C4" s="36">
        <v>1</v>
      </c>
      <c r="D4" s="36">
        <v>2</v>
      </c>
      <c r="E4" s="36">
        <v>3</v>
      </c>
      <c r="F4" s="36">
        <v>4</v>
      </c>
      <c r="G4" s="143">
        <v>5</v>
      </c>
      <c r="H4" s="36">
        <v>1</v>
      </c>
      <c r="I4" s="36">
        <v>2</v>
      </c>
      <c r="J4" s="36">
        <v>3</v>
      </c>
      <c r="K4" s="36">
        <v>4</v>
      </c>
      <c r="L4" s="36">
        <v>5</v>
      </c>
      <c r="M4" s="36">
        <v>1</v>
      </c>
      <c r="N4" s="36">
        <v>2</v>
      </c>
      <c r="O4" s="36">
        <v>3</v>
      </c>
      <c r="P4" s="36">
        <v>4</v>
      </c>
      <c r="Q4" s="36">
        <v>5</v>
      </c>
    </row>
    <row r="5" spans="1:17" x14ac:dyDescent="0.3">
      <c r="A5" s="200" t="s">
        <v>34</v>
      </c>
      <c r="B5" s="6">
        <v>0.01</v>
      </c>
      <c r="C5" s="1"/>
      <c r="D5" s="1"/>
      <c r="E5" s="1"/>
      <c r="F5" s="1"/>
      <c r="G5" s="125"/>
      <c r="H5" s="1"/>
      <c r="I5" s="1"/>
      <c r="J5" s="1"/>
      <c r="K5" s="1"/>
      <c r="L5" s="1"/>
      <c r="M5" s="1">
        <v>0</v>
      </c>
      <c r="N5" s="1"/>
      <c r="O5" s="1"/>
      <c r="P5" s="1"/>
      <c r="Q5" s="1"/>
    </row>
    <row r="6" spans="1:17" x14ac:dyDescent="0.3">
      <c r="A6" s="201"/>
      <c r="B6" s="6">
        <v>5.0000000000000001E-3</v>
      </c>
      <c r="C6" s="1"/>
      <c r="D6" s="1"/>
      <c r="E6" s="1" t="s">
        <v>78</v>
      </c>
      <c r="F6" s="1"/>
      <c r="G6" s="125"/>
      <c r="H6" s="1"/>
      <c r="I6" s="61">
        <v>0</v>
      </c>
      <c r="J6" s="1"/>
      <c r="K6" s="1"/>
      <c r="L6" s="1"/>
      <c r="M6" s="1">
        <v>0</v>
      </c>
      <c r="N6" s="1"/>
      <c r="O6" s="1"/>
      <c r="P6" s="1"/>
      <c r="Q6" s="1"/>
    </row>
    <row r="7" spans="1:17" x14ac:dyDescent="0.3">
      <c r="A7" s="201"/>
      <c r="B7" s="6">
        <v>1E-3</v>
      </c>
      <c r="C7" s="1"/>
      <c r="D7" s="1"/>
      <c r="E7" s="1"/>
      <c r="F7" s="1"/>
      <c r="G7" s="125"/>
      <c r="H7" s="1"/>
      <c r="I7" s="61">
        <v>0</v>
      </c>
      <c r="J7" s="1"/>
      <c r="K7" s="1"/>
      <c r="L7" s="1"/>
      <c r="M7" s="1">
        <v>0</v>
      </c>
      <c r="N7" s="1"/>
      <c r="O7" s="1"/>
      <c r="P7" s="1"/>
      <c r="Q7" s="1"/>
    </row>
    <row r="8" spans="1:17" x14ac:dyDescent="0.3">
      <c r="A8" s="201"/>
      <c r="B8" s="6">
        <v>5.0000000000000001E-4</v>
      </c>
      <c r="C8" s="1"/>
      <c r="D8" s="1"/>
      <c r="E8" s="1" t="s">
        <v>78</v>
      </c>
      <c r="F8" s="1"/>
      <c r="G8" s="125"/>
      <c r="H8" s="61">
        <v>0</v>
      </c>
      <c r="I8" s="61">
        <v>0</v>
      </c>
      <c r="J8" s="1"/>
      <c r="K8" s="1"/>
      <c r="L8" s="1"/>
      <c r="M8" s="1"/>
      <c r="N8" s="1"/>
      <c r="O8" s="1"/>
      <c r="P8" s="1"/>
      <c r="Q8" s="1">
        <v>48</v>
      </c>
    </row>
    <row r="9" spans="1:17" x14ac:dyDescent="0.3">
      <c r="A9" s="201"/>
      <c r="B9" s="6">
        <v>1E-4</v>
      </c>
      <c r="C9" s="1">
        <v>0</v>
      </c>
      <c r="D9" s="1"/>
      <c r="E9" s="1">
        <v>8</v>
      </c>
      <c r="F9" s="1"/>
      <c r="G9" s="125"/>
      <c r="H9" s="61">
        <v>0</v>
      </c>
      <c r="I9" s="1"/>
      <c r="J9" s="1"/>
      <c r="K9" s="1"/>
      <c r="L9" s="1"/>
      <c r="M9" s="1"/>
      <c r="N9" s="1"/>
      <c r="O9" s="1"/>
      <c r="P9" s="1"/>
      <c r="Q9" s="1">
        <v>15</v>
      </c>
    </row>
    <row r="10" spans="1:17" x14ac:dyDescent="0.3">
      <c r="A10" s="201"/>
      <c r="B10" s="6">
        <v>5.0000000000000002E-5</v>
      </c>
      <c r="C10" s="36">
        <v>0</v>
      </c>
      <c r="D10" s="36">
        <v>2</v>
      </c>
      <c r="E10" s="1"/>
      <c r="F10" s="1">
        <v>8</v>
      </c>
      <c r="G10" s="125">
        <v>25</v>
      </c>
      <c r="H10" s="61">
        <v>0</v>
      </c>
      <c r="I10" s="1"/>
      <c r="J10" s="61">
        <v>46</v>
      </c>
      <c r="K10" s="1"/>
      <c r="L10" s="159" t="s">
        <v>137</v>
      </c>
      <c r="M10" s="1"/>
      <c r="N10" s="1">
        <v>0</v>
      </c>
      <c r="O10" s="1"/>
      <c r="P10" s="1"/>
      <c r="Q10" s="1">
        <v>7</v>
      </c>
    </row>
    <row r="11" spans="1:17" x14ac:dyDescent="0.3">
      <c r="A11" s="201"/>
      <c r="B11" s="6">
        <v>1.0000000000000001E-5</v>
      </c>
      <c r="C11" s="36">
        <v>0</v>
      </c>
      <c r="D11" s="36">
        <v>0</v>
      </c>
      <c r="E11" s="1"/>
      <c r="F11" s="1">
        <v>1</v>
      </c>
      <c r="G11" s="125">
        <v>8</v>
      </c>
      <c r="H11" s="1"/>
      <c r="I11" s="1"/>
      <c r="J11" s="1"/>
      <c r="K11" s="1"/>
      <c r="L11" s="159" t="s">
        <v>137</v>
      </c>
      <c r="M11" s="1"/>
      <c r="N11" s="1">
        <v>0</v>
      </c>
      <c r="O11" s="1"/>
      <c r="P11" s="1"/>
      <c r="Q11" s="1"/>
    </row>
    <row r="12" spans="1:17" x14ac:dyDescent="0.3">
      <c r="A12" s="201"/>
      <c r="B12" s="6">
        <v>5.0000000000000004E-6</v>
      </c>
      <c r="C12" s="1"/>
      <c r="D12" s="1">
        <v>0</v>
      </c>
      <c r="E12" s="1"/>
      <c r="F12" s="1">
        <v>0</v>
      </c>
      <c r="G12" s="125">
        <v>2</v>
      </c>
      <c r="H12" s="1"/>
      <c r="I12" s="1"/>
      <c r="J12" s="154">
        <v>5</v>
      </c>
      <c r="K12" s="159" t="s">
        <v>137</v>
      </c>
      <c r="L12" s="159" t="s">
        <v>137</v>
      </c>
      <c r="M12" s="1"/>
      <c r="N12" s="1">
        <v>0</v>
      </c>
      <c r="O12" s="1"/>
      <c r="P12" s="1"/>
      <c r="Q12" s="1"/>
    </row>
    <row r="13" spans="1:17" x14ac:dyDescent="0.3">
      <c r="A13" s="201"/>
      <c r="B13" s="6">
        <v>9.9999999999999995E-7</v>
      </c>
      <c r="C13" s="1"/>
      <c r="D13" s="1"/>
      <c r="E13" s="1"/>
      <c r="F13" s="1"/>
      <c r="G13" s="125"/>
      <c r="H13" s="1"/>
      <c r="I13" s="1"/>
      <c r="J13" s="154">
        <v>1</v>
      </c>
      <c r="K13" s="159" t="s">
        <v>137</v>
      </c>
      <c r="L13" s="1"/>
      <c r="M13" s="1"/>
      <c r="N13" s="1"/>
      <c r="O13" s="1"/>
      <c r="P13" s="1">
        <v>4</v>
      </c>
      <c r="Q13" s="1"/>
    </row>
    <row r="14" spans="1:17" x14ac:dyDescent="0.3">
      <c r="A14" s="201"/>
      <c r="B14" s="6">
        <v>4.9999999999999998E-7</v>
      </c>
      <c r="C14" s="1"/>
      <c r="D14" s="1"/>
      <c r="E14" s="1"/>
      <c r="F14" s="1"/>
      <c r="G14" s="125"/>
      <c r="H14" s="1"/>
      <c r="I14" s="1"/>
      <c r="J14" s="154">
        <v>1</v>
      </c>
      <c r="K14" s="159" t="s">
        <v>137</v>
      </c>
      <c r="L14" s="1"/>
      <c r="M14" s="1"/>
      <c r="N14" s="1"/>
      <c r="O14" s="1">
        <v>7</v>
      </c>
      <c r="P14" s="1">
        <v>2</v>
      </c>
      <c r="Q14" s="1"/>
    </row>
    <row r="15" spans="1:17" x14ac:dyDescent="0.3">
      <c r="A15" s="201"/>
      <c r="B15" s="6">
        <v>9.9999999999999995E-8</v>
      </c>
      <c r="C15" s="1"/>
      <c r="D15" s="1"/>
      <c r="E15" s="1"/>
      <c r="F15" s="1"/>
      <c r="G15" s="125"/>
      <c r="H15" s="1"/>
      <c r="I15" s="1"/>
      <c r="J15" s="1"/>
      <c r="K15" s="1"/>
      <c r="L15" s="1"/>
      <c r="M15" s="1"/>
      <c r="N15" s="1"/>
      <c r="O15" s="1">
        <v>1</v>
      </c>
      <c r="P15" s="1">
        <v>0</v>
      </c>
      <c r="Q15" s="1"/>
    </row>
    <row r="16" spans="1:17" x14ac:dyDescent="0.3">
      <c r="A16" s="201"/>
      <c r="B16" s="6">
        <v>4.9999999999999998E-8</v>
      </c>
      <c r="C16" s="1"/>
      <c r="D16" s="1"/>
      <c r="E16" s="1"/>
      <c r="F16" s="1"/>
      <c r="G16" s="125"/>
      <c r="H16" s="1"/>
      <c r="I16" s="1"/>
      <c r="J16" s="1"/>
      <c r="K16" s="1"/>
      <c r="L16" s="1"/>
      <c r="M16" s="1"/>
      <c r="N16" s="1"/>
      <c r="O16" s="1">
        <v>0</v>
      </c>
      <c r="P16" s="1"/>
      <c r="Q16" s="1"/>
    </row>
    <row r="17" spans="1:17" x14ac:dyDescent="0.3">
      <c r="A17" s="202" t="s">
        <v>35</v>
      </c>
      <c r="B17" s="6">
        <v>0.01</v>
      </c>
      <c r="C17" s="1"/>
      <c r="D17" s="1"/>
      <c r="E17" s="1"/>
      <c r="F17" s="1"/>
      <c r="G17" s="125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x14ac:dyDescent="0.3">
      <c r="A18" s="203"/>
      <c r="B18" s="6">
        <v>5.0000000000000001E-3</v>
      </c>
      <c r="C18" s="1"/>
      <c r="D18" s="1"/>
      <c r="E18" s="1"/>
      <c r="F18" s="1"/>
      <c r="G18" s="125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x14ac:dyDescent="0.3">
      <c r="A19" s="203"/>
      <c r="B19" s="6">
        <v>1E-3</v>
      </c>
      <c r="C19" s="1"/>
      <c r="D19" s="1"/>
      <c r="E19" s="1"/>
      <c r="F19" s="1"/>
      <c r="G19" s="125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x14ac:dyDescent="0.3">
      <c r="A20" s="203"/>
      <c r="B20" s="6">
        <v>5.0000000000000001E-4</v>
      </c>
      <c r="C20" s="1"/>
      <c r="D20" s="1"/>
      <c r="E20" s="1"/>
      <c r="F20" s="1"/>
      <c r="G20" s="125"/>
      <c r="H20" s="61">
        <v>0</v>
      </c>
      <c r="I20" s="1"/>
      <c r="J20" s="1"/>
      <c r="K20" s="1"/>
      <c r="L20" s="1"/>
      <c r="M20" s="1">
        <v>0</v>
      </c>
      <c r="N20" s="1"/>
      <c r="O20" s="1"/>
      <c r="P20" s="1"/>
      <c r="Q20" s="1"/>
    </row>
    <row r="21" spans="1:17" x14ac:dyDescent="0.3">
      <c r="A21" s="203"/>
      <c r="B21" s="6">
        <v>1E-4</v>
      </c>
      <c r="C21" s="1">
        <v>4</v>
      </c>
      <c r="D21" s="1">
        <v>5</v>
      </c>
      <c r="E21" s="1"/>
      <c r="F21" s="1"/>
      <c r="G21" s="125"/>
      <c r="H21" s="61">
        <v>0</v>
      </c>
      <c r="I21" s="1"/>
      <c r="J21" s="1"/>
      <c r="K21" s="1"/>
      <c r="L21" s="1"/>
      <c r="M21" s="1">
        <v>0</v>
      </c>
      <c r="N21" s="1"/>
      <c r="O21" s="1"/>
      <c r="P21" s="1"/>
      <c r="Q21" s="1"/>
    </row>
    <row r="22" spans="1:17" x14ac:dyDescent="0.3">
      <c r="A22" s="203"/>
      <c r="B22" s="6">
        <v>5.0000000000000002E-5</v>
      </c>
      <c r="C22" s="1">
        <v>3</v>
      </c>
      <c r="D22" s="1">
        <v>4</v>
      </c>
      <c r="E22" s="1">
        <v>23</v>
      </c>
      <c r="F22" s="1">
        <v>31</v>
      </c>
      <c r="G22" s="125">
        <v>67</v>
      </c>
      <c r="H22" s="61">
        <v>0</v>
      </c>
      <c r="I22" s="61">
        <v>83</v>
      </c>
      <c r="J22" s="159" t="s">
        <v>137</v>
      </c>
      <c r="K22" s="159" t="s">
        <v>137</v>
      </c>
      <c r="L22" s="159" t="s">
        <v>137</v>
      </c>
      <c r="M22" s="1">
        <v>0</v>
      </c>
      <c r="N22" s="1"/>
      <c r="O22" s="1" t="s">
        <v>78</v>
      </c>
      <c r="P22" s="1">
        <v>2</v>
      </c>
      <c r="Q22" s="1" t="s">
        <v>78</v>
      </c>
    </row>
    <row r="23" spans="1:17" x14ac:dyDescent="0.3">
      <c r="A23" s="203"/>
      <c r="B23" s="6">
        <v>1.0000000000000001E-5</v>
      </c>
      <c r="C23" s="36">
        <v>0</v>
      </c>
      <c r="D23" s="36">
        <v>0</v>
      </c>
      <c r="E23" s="36">
        <v>4</v>
      </c>
      <c r="F23" s="36">
        <v>7</v>
      </c>
      <c r="G23" s="143">
        <v>13</v>
      </c>
      <c r="H23" s="61">
        <v>0</v>
      </c>
      <c r="I23" s="61">
        <v>14</v>
      </c>
      <c r="J23" s="159" t="s">
        <v>137</v>
      </c>
      <c r="K23" s="159" t="s">
        <v>137</v>
      </c>
      <c r="L23" s="159" t="s">
        <v>137</v>
      </c>
      <c r="M23" s="1"/>
      <c r="N23" s="1"/>
      <c r="O23" s="1" t="s">
        <v>78</v>
      </c>
      <c r="P23" s="1">
        <v>1</v>
      </c>
      <c r="Q23" s="1">
        <v>241</v>
      </c>
    </row>
    <row r="24" spans="1:17" x14ac:dyDescent="0.3">
      <c r="A24" s="203"/>
      <c r="B24" s="6">
        <v>5.0000000000000004E-6</v>
      </c>
      <c r="C24" s="36">
        <v>0</v>
      </c>
      <c r="D24" s="36">
        <v>0</v>
      </c>
      <c r="E24" s="36">
        <v>2</v>
      </c>
      <c r="F24" s="36"/>
      <c r="G24" s="125">
        <v>7</v>
      </c>
      <c r="H24" s="1"/>
      <c r="I24" s="61">
        <v>13</v>
      </c>
      <c r="J24" s="159" t="s">
        <v>137</v>
      </c>
      <c r="K24" s="159" t="s">
        <v>137</v>
      </c>
      <c r="L24" s="159" t="s">
        <v>137</v>
      </c>
      <c r="M24" s="1"/>
      <c r="N24" s="1"/>
      <c r="O24" s="1" t="s">
        <v>78</v>
      </c>
      <c r="P24" s="1">
        <v>1</v>
      </c>
      <c r="Q24" s="1" t="s">
        <v>133</v>
      </c>
    </row>
    <row r="25" spans="1:17" x14ac:dyDescent="0.3">
      <c r="A25" s="203"/>
      <c r="B25" s="6">
        <v>9.9999999999999995E-7</v>
      </c>
      <c r="C25" s="1"/>
      <c r="D25" s="1"/>
      <c r="E25" s="1">
        <v>0</v>
      </c>
      <c r="F25" s="1">
        <v>2</v>
      </c>
      <c r="G25" s="125">
        <v>3</v>
      </c>
      <c r="H25" s="1"/>
      <c r="I25" s="61">
        <v>2</v>
      </c>
      <c r="J25" s="154">
        <v>57</v>
      </c>
      <c r="K25" s="159" t="s">
        <v>137</v>
      </c>
      <c r="L25" s="159" t="s">
        <v>137</v>
      </c>
      <c r="M25" s="1"/>
      <c r="N25" s="1" t="s">
        <v>78</v>
      </c>
      <c r="O25" s="1">
        <v>9</v>
      </c>
      <c r="P25" s="1">
        <v>0</v>
      </c>
      <c r="Q25" s="1">
        <v>2</v>
      </c>
    </row>
    <row r="26" spans="1:17" x14ac:dyDescent="0.3">
      <c r="A26" s="203"/>
      <c r="B26" s="6">
        <v>4.9999999999999998E-7</v>
      </c>
      <c r="C26" s="1"/>
      <c r="D26" s="1"/>
      <c r="E26" s="1"/>
      <c r="F26" s="1"/>
      <c r="G26" s="125"/>
      <c r="H26" s="1"/>
      <c r="I26" s="1"/>
      <c r="J26" s="1"/>
      <c r="K26" s="1"/>
      <c r="L26" s="1"/>
      <c r="M26" s="1"/>
      <c r="N26" s="1">
        <v>5</v>
      </c>
      <c r="O26" s="1"/>
      <c r="P26" s="1"/>
      <c r="Q26" s="1"/>
    </row>
    <row r="27" spans="1:17" x14ac:dyDescent="0.3">
      <c r="A27" s="203"/>
      <c r="B27" s="6">
        <v>9.9999999999999995E-8</v>
      </c>
      <c r="C27" s="1"/>
      <c r="D27" s="1"/>
      <c r="E27" s="1"/>
      <c r="F27" s="1"/>
      <c r="G27" s="125"/>
      <c r="H27" s="1"/>
      <c r="I27" s="1"/>
      <c r="J27" s="1"/>
      <c r="K27" s="1"/>
      <c r="L27" s="1"/>
      <c r="M27" s="1"/>
      <c r="N27" s="1">
        <v>1</v>
      </c>
      <c r="O27" s="1"/>
      <c r="P27" s="1"/>
      <c r="Q27" s="1"/>
    </row>
    <row r="28" spans="1:17" x14ac:dyDescent="0.3">
      <c r="A28" s="111"/>
      <c r="B28" s="141">
        <v>4.9999999999999998E-8</v>
      </c>
      <c r="C28" s="1"/>
      <c r="D28" s="1"/>
      <c r="E28" s="1"/>
      <c r="F28" s="1"/>
      <c r="G28" s="125"/>
      <c r="H28" s="1"/>
      <c r="I28" s="1"/>
      <c r="J28" s="1"/>
      <c r="K28" s="1"/>
      <c r="L28" s="1"/>
      <c r="M28" s="1"/>
      <c r="N28" s="1">
        <v>0</v>
      </c>
      <c r="O28" s="1"/>
      <c r="P28" s="1"/>
      <c r="Q28" s="1"/>
    </row>
    <row r="29" spans="1:17" x14ac:dyDescent="0.3">
      <c r="A29" s="204" t="s">
        <v>132</v>
      </c>
      <c r="B29" s="205"/>
      <c r="C29" s="6">
        <v>1.0800000000000001E-2</v>
      </c>
      <c r="D29" s="6">
        <v>1.388888888888889E-2</v>
      </c>
      <c r="E29" s="6">
        <v>0.217391304347826</v>
      </c>
      <c r="F29" s="6">
        <v>3.3112582781456998E-2</v>
      </c>
      <c r="G29" s="80">
        <v>2.9585798816568001E-2</v>
      </c>
      <c r="H29" s="6">
        <v>0.152</v>
      </c>
      <c r="I29" s="6">
        <v>0.14449999999999999</v>
      </c>
      <c r="J29" s="6">
        <v>3.1800000000000001E-3</v>
      </c>
      <c r="K29" s="6">
        <v>9.7999999999999997E-4</v>
      </c>
      <c r="L29" s="6">
        <v>2.8800000000000001E-4</v>
      </c>
      <c r="M29" s="6">
        <v>3.2890000000000003E-2</v>
      </c>
      <c r="N29" s="6">
        <v>2.7199999999999998E-2</v>
      </c>
      <c r="O29" s="6">
        <v>1.047E-4</v>
      </c>
      <c r="P29" s="6">
        <v>5.128E-4</v>
      </c>
      <c r="Q29" s="6">
        <v>0.1087</v>
      </c>
    </row>
    <row r="30" spans="1:17" x14ac:dyDescent="0.3">
      <c r="A30" s="198" t="s">
        <v>73</v>
      </c>
      <c r="B30" s="198"/>
      <c r="C30" s="6">
        <f>(C29*SUM(C9:C11)/(SUM($B$9:$B$11))*10)</f>
        <v>0</v>
      </c>
      <c r="D30" s="6">
        <f>(D29*SUM(D10:D12)/((SUM($B$10:$B$12))*10))</f>
        <v>42.735042735042732</v>
      </c>
      <c r="E30" s="6">
        <f>(E29*SUM(E9)/((SUM($B$9))*10))</f>
        <v>1739.1304347826078</v>
      </c>
      <c r="F30" s="6">
        <f>(F29*SUM(F10:F12)/((SUM($B$10:$B$12))*10))</f>
        <v>458.48191543555839</v>
      </c>
      <c r="G30" s="80">
        <f>(G29*SUM(G10:G12)/((SUM($B$10:$B$12))*10))</f>
        <v>1593.0814747382769</v>
      </c>
      <c r="H30" s="6">
        <f>((H29)*SUM(H8:H10))/(10*SUM($B$8:$B$11))</f>
        <v>0</v>
      </c>
      <c r="I30" s="6">
        <f>((I29)*SUM(I6:I8))/(10*SUM($B$6:$B$8))</f>
        <v>0</v>
      </c>
      <c r="J30" s="6">
        <f>((J29)*SUM(J12:J14,J10))/(10*SUM($B$12:$B$14,B10))</f>
        <v>298.30088495575217</v>
      </c>
      <c r="K30" s="6">
        <f>((K29)*SUM(K12:K14))/(10*SUM($B$12:$B$14))</f>
        <v>0</v>
      </c>
      <c r="L30" s="6">
        <f>((L29)*SUM(L12))/(10*SUM($B$11:$B$13))</f>
        <v>0</v>
      </c>
      <c r="M30" s="6">
        <f t="shared" ref="M30" si="0">((M29)*SUM(M10:M12))/(10*SUM($B$10:$B$12))</f>
        <v>0</v>
      </c>
      <c r="N30" s="6">
        <f>((N29)*SUM(N10:N12))/(10*SUM($B$10:$B$12))</f>
        <v>0</v>
      </c>
      <c r="O30" s="6">
        <f>((O29)*SUM(O14:O16))/(10*SUM($B$14:$B$16))</f>
        <v>128.86153846153849</v>
      </c>
      <c r="P30" s="6">
        <f>((P29)*SUM(P13:P15))/(10*SUM($B$13:$B$15))</f>
        <v>192.3</v>
      </c>
      <c r="Q30" s="6">
        <f>((Q29)*SUM(Q8:Q10))/(10*SUM($B$8:$B$10))</f>
        <v>1170.6153846153845</v>
      </c>
    </row>
    <row r="31" spans="1:17" x14ac:dyDescent="0.3">
      <c r="A31" s="198" t="s">
        <v>72</v>
      </c>
      <c r="B31" s="198"/>
      <c r="C31" s="6">
        <f>(SUM(C21:C24)/(SUM($B$21:B24)))</f>
        <v>42424.242424242417</v>
      </c>
      <c r="D31" s="6">
        <f>(SUM(D21:D24)/(SUM($B$21:$B$24)))</f>
        <v>54545.454545454537</v>
      </c>
      <c r="E31" s="6">
        <f>(SUM(E22:E25)/(SUM($B$22:$B$25)))</f>
        <v>439393.93939393933</v>
      </c>
      <c r="F31" s="6">
        <f>(SUM(F22:F25)/(SUM($B$22:$B$25)))</f>
        <v>606060.60606060596</v>
      </c>
      <c r="G31" s="80">
        <f>(SUM(G22:G25)/(SUM($B$22:$B$25)))</f>
        <v>1363636.3636363635</v>
      </c>
      <c r="H31" s="6">
        <f>(SUM(H20,H22:H23)/(SUM($B$20,B22:B23)))</f>
        <v>0</v>
      </c>
      <c r="I31" s="6">
        <f>(SUM(I22:I25)/(SUM($B$22:$G$25)))</f>
        <v>0.67469852692709176</v>
      </c>
      <c r="J31" s="6">
        <f>(SUM(J25)/(SUM($B$25)))</f>
        <v>57000000</v>
      </c>
      <c r="K31" s="6">
        <f>(SUM(K25)/(SUM($B$25)))</f>
        <v>0</v>
      </c>
      <c r="L31" s="6">
        <f>(SUM(L22:L25)/(SUM($B$22:$B$25)))</f>
        <v>0</v>
      </c>
      <c r="M31" s="6">
        <f t="shared" ref="M31" si="1">(SUM(M22:M25)/(SUM($B$22:$B$25)))</f>
        <v>0</v>
      </c>
      <c r="N31" s="6">
        <f>(SUM(N26:N28)/(SUM($B$26:$B$28)))</f>
        <v>9230769.2307692319</v>
      </c>
      <c r="O31" s="6">
        <f>(SUM(O25)/(SUM($B$25)))</f>
        <v>9000000</v>
      </c>
      <c r="P31" s="6">
        <f>(SUM(P22:P25)/(SUM($B$22:$B$25)))</f>
        <v>60606.060606060601</v>
      </c>
      <c r="Q31" s="6">
        <f>(SUM(Q25,Q23)/(SUM($B$25,B23)))</f>
        <v>22090909.09090909</v>
      </c>
    </row>
    <row r="32" spans="1:17" x14ac:dyDescent="0.3">
      <c r="A32" s="1"/>
      <c r="B32" s="1"/>
      <c r="C32" s="22"/>
      <c r="D32" s="22"/>
      <c r="E32" s="22"/>
      <c r="F32" s="22"/>
      <c r="G32" s="135"/>
      <c r="H32" s="148"/>
      <c r="I32" s="148"/>
      <c r="J32" s="148"/>
      <c r="K32" s="148"/>
      <c r="L32" s="148"/>
      <c r="M32" s="144"/>
      <c r="N32" s="144"/>
      <c r="O32" s="144"/>
      <c r="P32" s="144"/>
      <c r="Q32" s="144"/>
    </row>
    <row r="33" spans="1:17" x14ac:dyDescent="0.3">
      <c r="A33" s="198" t="s">
        <v>74</v>
      </c>
      <c r="B33" s="198"/>
      <c r="C33" s="60" t="e">
        <f>(LN(C31/C30))/(0.667*LN(2))</f>
        <v>#DIV/0!</v>
      </c>
      <c r="D33" s="37">
        <f t="shared" ref="D33:G33" si="2">(LN(D31/D30))/(0.667*LN(2))</f>
        <v>15.469001044309785</v>
      </c>
      <c r="E33" s="37">
        <f t="shared" si="2"/>
        <v>11.965524770016277</v>
      </c>
      <c r="F33" s="37">
        <f>(LN(F31/F30))/(0.667*LN(2))</f>
        <v>15.544799889715335</v>
      </c>
      <c r="G33" s="81">
        <f t="shared" si="2"/>
        <v>14.60483239780644</v>
      </c>
      <c r="H33" s="160" t="e">
        <f>(LN(H31/H30))/(0.667*LN(2))</f>
        <v>#DIV/0!</v>
      </c>
      <c r="I33" s="166" t="e">
        <f>(LN(I31/I30))/(2.25*LN(2))</f>
        <v>#DIV/0!</v>
      </c>
      <c r="J33" s="160">
        <f>(LN(J31/J30))/(2*LN(2))</f>
        <v>8.7719170680282748</v>
      </c>
      <c r="K33" s="160" t="e">
        <f>(LN(K31/K30))/(1.5*LN(2))</f>
        <v>#DIV/0!</v>
      </c>
      <c r="L33" s="160" t="e">
        <f t="shared" ref="L33" si="3">(LN(L31/L30))/(1*LN(2))</f>
        <v>#DIV/0!</v>
      </c>
      <c r="M33" s="37" t="e">
        <f>(LN(M31/M30))/(6*LN(2))</f>
        <v>#DIV/0!</v>
      </c>
      <c r="N33" s="37" t="e">
        <f>(LN(N31/N30))/(4*LN(2))</f>
        <v>#DIV/0!</v>
      </c>
      <c r="O33" s="37">
        <f>(LN(O31/O30))/(2.25*LN(2))</f>
        <v>7.1519180697173921</v>
      </c>
      <c r="P33" s="37">
        <f>(LN(P31/P30))/(1.5*LN(2))</f>
        <v>5.5333063316754574</v>
      </c>
      <c r="Q33" s="37">
        <f>(LN(Q31/Q30))/(2.25*LN(2))</f>
        <v>6.3128435668217051</v>
      </c>
    </row>
  </sheetData>
  <mergeCells count="6">
    <mergeCell ref="A5:A16"/>
    <mergeCell ref="A17:A27"/>
    <mergeCell ref="A30:B30"/>
    <mergeCell ref="A31:B31"/>
    <mergeCell ref="A33:B33"/>
    <mergeCell ref="A29:B29"/>
  </mergeCells>
  <phoneticPr fontId="7" type="noConversion"/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F2C4C-D888-4498-BB39-F843E89213A7}">
  <dimension ref="A1:AE12"/>
  <sheetViews>
    <sheetView topLeftCell="M1" workbookViewId="0">
      <selection activeCell="R26" sqref="R26"/>
    </sheetView>
  </sheetViews>
  <sheetFormatPr defaultRowHeight="14.4" x14ac:dyDescent="0.3"/>
  <cols>
    <col min="1" max="1" width="9.5546875" bestFit="1" customWidth="1"/>
    <col min="2" max="2" width="8.44140625" bestFit="1" customWidth="1"/>
    <col min="3" max="3" width="17.6640625" bestFit="1" customWidth="1"/>
    <col min="4" max="4" width="11.109375" bestFit="1" customWidth="1"/>
    <col min="5" max="5" width="12" bestFit="1" customWidth="1"/>
    <col min="6" max="6" width="6.6640625" bestFit="1" customWidth="1"/>
    <col min="7" max="7" width="8.33203125" bestFit="1" customWidth="1"/>
    <col min="8" max="8" width="8.5546875" bestFit="1" customWidth="1"/>
    <col min="10" max="10" width="35.44140625" customWidth="1"/>
    <col min="29" max="29" width="8.5546875" bestFit="1" customWidth="1"/>
    <col min="30" max="30" width="12.5546875" bestFit="1" customWidth="1"/>
    <col min="31" max="31" width="46.44140625" bestFit="1" customWidth="1"/>
  </cols>
  <sheetData>
    <row r="1" spans="1:31" x14ac:dyDescent="0.3">
      <c r="A1" s="206" t="s">
        <v>76</v>
      </c>
      <c r="B1" s="206"/>
      <c r="C1" s="206"/>
      <c r="D1" s="206"/>
      <c r="E1" s="206"/>
      <c r="F1" s="206"/>
      <c r="G1" s="206"/>
      <c r="H1" s="206"/>
      <c r="I1" s="206"/>
      <c r="J1" s="2"/>
    </row>
    <row r="2" spans="1:31" x14ac:dyDescent="0.3">
      <c r="A2" s="9"/>
      <c r="B2" s="9"/>
      <c r="C2" s="9"/>
      <c r="D2" s="9"/>
      <c r="E2" s="43"/>
      <c r="F2" s="198" t="s">
        <v>68</v>
      </c>
      <c r="G2" s="198"/>
      <c r="H2" s="198"/>
      <c r="I2" s="198"/>
      <c r="J2" s="42"/>
      <c r="K2" s="198" t="s">
        <v>67</v>
      </c>
      <c r="L2" s="198"/>
      <c r="M2" s="198"/>
      <c r="N2" s="198"/>
      <c r="O2" s="198"/>
      <c r="P2" s="198"/>
      <c r="Q2" s="198"/>
      <c r="R2" s="198"/>
      <c r="S2" s="198"/>
      <c r="T2" s="198"/>
      <c r="U2" s="198"/>
      <c r="V2" s="198"/>
      <c r="W2" s="198"/>
      <c r="X2" s="198"/>
      <c r="Y2" s="198"/>
      <c r="Z2" s="198"/>
      <c r="AA2" s="198"/>
      <c r="AB2" s="198"/>
      <c r="AC2" s="198"/>
      <c r="AD2" s="198"/>
      <c r="AE2" s="198"/>
    </row>
    <row r="3" spans="1:31" ht="57.6" x14ac:dyDescent="0.3">
      <c r="A3" s="38" t="s">
        <v>17</v>
      </c>
      <c r="B3" s="25" t="s">
        <v>43</v>
      </c>
      <c r="C3" s="8" t="s">
        <v>1</v>
      </c>
      <c r="D3" s="8" t="s">
        <v>44</v>
      </c>
      <c r="E3" s="8" t="s">
        <v>45</v>
      </c>
      <c r="F3" s="8" t="s">
        <v>46</v>
      </c>
      <c r="G3" s="8" t="s">
        <v>47</v>
      </c>
      <c r="H3" s="14" t="s">
        <v>48</v>
      </c>
      <c r="I3" s="14" t="s">
        <v>49</v>
      </c>
      <c r="J3" s="14" t="s">
        <v>77</v>
      </c>
      <c r="K3" s="15">
        <v>0.01</v>
      </c>
      <c r="L3" s="15">
        <v>5.0000000000000001E-3</v>
      </c>
      <c r="M3" s="15">
        <v>1E-3</v>
      </c>
      <c r="N3" s="15">
        <v>5.0000000000000001E-4</v>
      </c>
      <c r="O3" s="15">
        <v>1E-4</v>
      </c>
      <c r="P3" s="39">
        <v>5.0000000000000002E-5</v>
      </c>
      <c r="Q3" s="39">
        <v>2.0000000000000002E-5</v>
      </c>
      <c r="R3" s="39">
        <v>1.0000000000000001E-5</v>
      </c>
      <c r="S3" s="39">
        <v>7.9999999999999996E-6</v>
      </c>
      <c r="T3" s="39">
        <v>6.9999999999999999E-6</v>
      </c>
      <c r="U3" s="39">
        <v>6.0000000000000002E-6</v>
      </c>
      <c r="V3" s="39">
        <v>5.0000000000000004E-6</v>
      </c>
      <c r="W3" s="39">
        <v>1.9999999999999999E-6</v>
      </c>
      <c r="X3" s="39">
        <v>9.9999999999999995E-7</v>
      </c>
      <c r="Y3" s="40">
        <v>6.9999999999999997E-7</v>
      </c>
      <c r="Z3" s="40">
        <v>4.9999999999999998E-7</v>
      </c>
      <c r="AA3" s="40">
        <v>1.9999999999999999E-7</v>
      </c>
      <c r="AB3" s="40" t="s">
        <v>121</v>
      </c>
      <c r="AC3" s="41" t="s">
        <v>50</v>
      </c>
      <c r="AD3" s="8" t="s">
        <v>51</v>
      </c>
      <c r="AE3" s="8" t="s">
        <v>52</v>
      </c>
    </row>
    <row r="4" spans="1:31" x14ac:dyDescent="0.3">
      <c r="A4" s="65">
        <v>44351</v>
      </c>
      <c r="B4" s="66" t="s">
        <v>6</v>
      </c>
      <c r="C4" s="67" t="s">
        <v>7</v>
      </c>
      <c r="D4" s="68">
        <v>1.0800000000000001E-2</v>
      </c>
      <c r="E4" s="69">
        <v>10.8</v>
      </c>
      <c r="F4" s="67">
        <v>0</v>
      </c>
      <c r="G4" s="68">
        <v>1.0000000000000001E-5</v>
      </c>
      <c r="H4" s="68">
        <f t="shared" ref="H4:H12" si="0">(D4*F4)/G4</f>
        <v>0</v>
      </c>
      <c r="I4" s="68">
        <f t="shared" ref="I4:I12" si="1">(D4*F4)/(10*G4)</f>
        <v>0</v>
      </c>
      <c r="J4" s="67"/>
      <c r="K4" s="67"/>
      <c r="L4" s="67"/>
      <c r="M4" s="67"/>
      <c r="N4" s="67"/>
      <c r="O4" s="70"/>
      <c r="P4" s="71">
        <v>3</v>
      </c>
      <c r="Q4" s="70"/>
      <c r="R4" s="67"/>
      <c r="S4" s="67"/>
      <c r="T4" s="67"/>
      <c r="U4" s="67"/>
      <c r="V4" s="67"/>
      <c r="W4" s="67"/>
      <c r="X4" s="67"/>
      <c r="Y4" s="67"/>
      <c r="Z4" s="67"/>
      <c r="AA4" s="67"/>
      <c r="AB4" s="72">
        <v>0.66700000000000004</v>
      </c>
      <c r="AC4" s="68">
        <f>P4/P3</f>
        <v>60000</v>
      </c>
      <c r="AD4" s="94" t="e">
        <f>LN(AC4/I4)/(AB4*LN(2))</f>
        <v>#DIV/0!</v>
      </c>
      <c r="AE4" s="67"/>
    </row>
    <row r="5" spans="1:31" x14ac:dyDescent="0.3">
      <c r="A5" s="65">
        <v>44354</v>
      </c>
      <c r="B5" s="66" t="s">
        <v>66</v>
      </c>
      <c r="C5" s="67" t="s">
        <v>7</v>
      </c>
      <c r="D5" s="68">
        <v>1.388888888888889E-2</v>
      </c>
      <c r="E5" s="74">
        <v>13.9</v>
      </c>
      <c r="F5" s="70">
        <v>2</v>
      </c>
      <c r="G5" s="68">
        <v>5.0000000000000002E-5</v>
      </c>
      <c r="H5" s="68">
        <f t="shared" si="0"/>
        <v>555.55555555555554</v>
      </c>
      <c r="I5" s="68">
        <f t="shared" si="1"/>
        <v>55.555555555555557</v>
      </c>
      <c r="J5" s="67"/>
      <c r="K5" s="67"/>
      <c r="L5" s="67"/>
      <c r="M5" s="67"/>
      <c r="N5" s="70"/>
      <c r="O5" s="70"/>
      <c r="P5" s="71">
        <v>4</v>
      </c>
      <c r="Q5" s="70"/>
      <c r="R5" s="67"/>
      <c r="S5" s="67"/>
      <c r="T5" s="67"/>
      <c r="U5" s="70"/>
      <c r="V5" s="67"/>
      <c r="W5" s="67"/>
      <c r="X5" s="67"/>
      <c r="Y5" s="67"/>
      <c r="Z5" s="67"/>
      <c r="AA5" s="67"/>
      <c r="AB5" s="72">
        <v>0.66700000000000004</v>
      </c>
      <c r="AC5" s="68">
        <f>P5/P3</f>
        <v>80000</v>
      </c>
      <c r="AD5" s="94">
        <f t="shared" ref="AD5:AD7" si="2">LN(AC5/I5)/(AB5*LN(2))</f>
        <v>15.729914687150938</v>
      </c>
      <c r="AE5" s="67"/>
    </row>
    <row r="6" spans="1:31" x14ac:dyDescent="0.3">
      <c r="A6" s="83">
        <v>44357</v>
      </c>
      <c r="B6" s="84" t="s">
        <v>75</v>
      </c>
      <c r="C6" s="70" t="s">
        <v>7</v>
      </c>
      <c r="D6" s="75">
        <v>0.217391304347826</v>
      </c>
      <c r="E6" s="74">
        <v>217</v>
      </c>
      <c r="F6" s="70">
        <v>8</v>
      </c>
      <c r="G6" s="75">
        <v>1E-4</v>
      </c>
      <c r="H6" s="68">
        <f t="shared" si="0"/>
        <v>17391.304347826081</v>
      </c>
      <c r="I6" s="68">
        <f t="shared" si="1"/>
        <v>1739.1304347826078</v>
      </c>
      <c r="J6" s="70"/>
      <c r="K6" s="70"/>
      <c r="L6" s="70"/>
      <c r="M6" s="70"/>
      <c r="N6" s="70"/>
      <c r="O6" s="70"/>
      <c r="P6" s="71">
        <v>23</v>
      </c>
      <c r="Q6" s="70"/>
      <c r="R6" s="70"/>
      <c r="S6" s="70"/>
      <c r="T6" s="70"/>
      <c r="U6" s="70"/>
      <c r="V6" s="70"/>
      <c r="W6" s="70"/>
      <c r="X6" s="70"/>
      <c r="Y6" s="70"/>
      <c r="Z6" s="70"/>
      <c r="AA6" s="70"/>
      <c r="AB6" s="85">
        <v>0.66700000000000004</v>
      </c>
      <c r="AC6" s="75">
        <f>P6/P3</f>
        <v>460000</v>
      </c>
      <c r="AD6" s="94">
        <f t="shared" si="2"/>
        <v>12.06465354140034</v>
      </c>
      <c r="AE6" s="70"/>
    </row>
    <row r="7" spans="1:31" x14ac:dyDescent="0.3">
      <c r="A7" s="65">
        <v>44358</v>
      </c>
      <c r="B7" s="66" t="s">
        <v>80</v>
      </c>
      <c r="C7" s="67" t="s">
        <v>7</v>
      </c>
      <c r="D7" s="68">
        <v>3.3112582781456956E-2</v>
      </c>
      <c r="E7" s="69">
        <v>33.1</v>
      </c>
      <c r="F7" s="70">
        <v>8</v>
      </c>
      <c r="G7" s="68">
        <v>5.0000000000000002E-5</v>
      </c>
      <c r="H7" s="68">
        <f t="shared" si="0"/>
        <v>5298.013245033113</v>
      </c>
      <c r="I7" s="68">
        <f t="shared" si="1"/>
        <v>529.80132450331132</v>
      </c>
      <c r="J7" s="67"/>
      <c r="K7" s="67"/>
      <c r="L7" s="67"/>
      <c r="M7" s="67"/>
      <c r="N7" s="67"/>
      <c r="O7" s="67"/>
      <c r="P7" s="95">
        <v>31</v>
      </c>
      <c r="Q7" s="70"/>
      <c r="R7" s="67"/>
      <c r="S7" s="67"/>
      <c r="T7" s="67"/>
      <c r="U7" s="70"/>
      <c r="V7" s="67"/>
      <c r="W7" s="70"/>
      <c r="X7" s="67"/>
      <c r="Y7" s="67"/>
      <c r="Z7" s="67"/>
      <c r="AA7" s="67"/>
      <c r="AB7" s="72">
        <v>0.66700000000000004</v>
      </c>
      <c r="AC7" s="68">
        <f>P7/P3</f>
        <v>620000</v>
      </c>
      <c r="AD7" s="94">
        <f t="shared" si="2"/>
        <v>15.281260944095884</v>
      </c>
      <c r="AE7" s="67"/>
    </row>
    <row r="8" spans="1:31" x14ac:dyDescent="0.3">
      <c r="A8" s="65">
        <v>44364</v>
      </c>
      <c r="B8" s="66" t="s">
        <v>81</v>
      </c>
      <c r="C8" s="70" t="s">
        <v>7</v>
      </c>
      <c r="D8" s="68">
        <v>2.9585798816568001E-2</v>
      </c>
      <c r="E8" s="74">
        <v>29.6</v>
      </c>
      <c r="F8" s="70">
        <v>25</v>
      </c>
      <c r="G8" s="68">
        <v>5.0000000000000002E-5</v>
      </c>
      <c r="H8" s="68">
        <f t="shared" si="0"/>
        <v>14792.899408283998</v>
      </c>
      <c r="I8" s="68">
        <f t="shared" si="1"/>
        <v>1479.2899408283999</v>
      </c>
      <c r="J8" s="67"/>
      <c r="K8" s="67"/>
      <c r="L8" s="67"/>
      <c r="M8" s="67"/>
      <c r="N8" s="67"/>
      <c r="O8" s="70"/>
      <c r="P8" s="71">
        <v>67</v>
      </c>
      <c r="Q8" s="67"/>
      <c r="R8" s="67"/>
      <c r="S8" s="67"/>
      <c r="T8" s="67"/>
      <c r="U8" s="61"/>
      <c r="V8" s="67"/>
      <c r="W8" s="70"/>
      <c r="X8" s="67"/>
      <c r="Y8" s="67"/>
      <c r="Z8" s="67"/>
      <c r="AA8" s="67"/>
      <c r="AB8" s="70">
        <v>0.66700000000000004</v>
      </c>
      <c r="AC8" s="68">
        <f>P8/P3</f>
        <v>1340000</v>
      </c>
      <c r="AD8" s="94">
        <f>LN(AC8/I8)/(AB8*LN(2))</f>
        <v>14.727305002946379</v>
      </c>
      <c r="AE8" s="67"/>
    </row>
    <row r="9" spans="1:31" x14ac:dyDescent="0.3">
      <c r="A9" s="33"/>
      <c r="B9" s="34">
        <v>203.2</v>
      </c>
      <c r="C9" s="1"/>
      <c r="D9" s="6">
        <v>3.1800000000000001E-3</v>
      </c>
      <c r="E9" s="1">
        <v>3.18</v>
      </c>
      <c r="F9" s="1">
        <v>46</v>
      </c>
      <c r="G9" s="6">
        <v>5.0000000000000002E-5</v>
      </c>
      <c r="H9" s="6">
        <f t="shared" si="0"/>
        <v>2925.6</v>
      </c>
      <c r="I9" s="6">
        <f t="shared" si="1"/>
        <v>292.56</v>
      </c>
      <c r="J9" s="6"/>
      <c r="K9" s="1"/>
      <c r="L9" s="1"/>
      <c r="M9" s="1"/>
      <c r="N9" s="1"/>
      <c r="O9" s="1"/>
      <c r="P9" s="36"/>
      <c r="Q9" s="1"/>
      <c r="R9" s="36"/>
      <c r="S9" s="1"/>
      <c r="T9" s="1"/>
      <c r="U9" s="1"/>
      <c r="V9" s="1"/>
      <c r="W9" s="1"/>
      <c r="X9" s="1">
        <v>57</v>
      </c>
      <c r="Y9" s="1"/>
      <c r="Z9" s="1"/>
      <c r="AA9" s="1"/>
      <c r="AB9" s="1">
        <v>2</v>
      </c>
      <c r="AC9" s="6">
        <f>X9/X3</f>
        <v>57000000</v>
      </c>
      <c r="AD9" s="94">
        <f>LN(AC9/I9)/(AB9*LN(2))</f>
        <v>8.7859349309611368</v>
      </c>
      <c r="AE9" s="44"/>
    </row>
    <row r="10" spans="1:31" x14ac:dyDescent="0.3">
      <c r="B10">
        <v>224.2</v>
      </c>
      <c r="D10" s="29">
        <v>1.047E-4</v>
      </c>
      <c r="E10" s="171">
        <v>0.105</v>
      </c>
      <c r="F10" s="171">
        <v>7</v>
      </c>
      <c r="G10" s="29">
        <v>4.9999999999999998E-7</v>
      </c>
      <c r="H10" s="172">
        <f t="shared" si="0"/>
        <v>1465.8</v>
      </c>
      <c r="I10" s="172">
        <f t="shared" si="1"/>
        <v>146.58000000000001</v>
      </c>
      <c r="X10">
        <v>9</v>
      </c>
      <c r="AB10" s="171">
        <v>2.25</v>
      </c>
      <c r="AC10" s="29">
        <f>X10/X3</f>
        <v>9000000</v>
      </c>
      <c r="AD10" s="94">
        <f>LN(AC10/I10)/(AB10*LN(2))</f>
        <v>7.0693107162456883</v>
      </c>
    </row>
    <row r="11" spans="1:31" x14ac:dyDescent="0.3">
      <c r="B11">
        <v>224.3</v>
      </c>
      <c r="D11" s="29">
        <v>5.128E-4</v>
      </c>
      <c r="E11" s="171">
        <v>0.51300000000000001</v>
      </c>
      <c r="F11" s="171">
        <v>4</v>
      </c>
      <c r="G11" s="29">
        <v>9.9999999999999995E-7</v>
      </c>
      <c r="H11" s="172">
        <f t="shared" si="0"/>
        <v>2051.2000000000003</v>
      </c>
      <c r="I11" s="172">
        <f t="shared" si="1"/>
        <v>205.12</v>
      </c>
      <c r="P11">
        <v>2</v>
      </c>
      <c r="AB11" s="171">
        <v>1.5</v>
      </c>
      <c r="AC11" s="29">
        <f>P11/P3</f>
        <v>40000</v>
      </c>
      <c r="AD11" s="94">
        <f>LN(AC11/I11)/(AB11*LN(2))</f>
        <v>5.0715920151369565</v>
      </c>
    </row>
    <row r="12" spans="1:31" x14ac:dyDescent="0.3">
      <c r="D12" s="29">
        <v>0.1087</v>
      </c>
      <c r="E12" s="171">
        <v>108.7</v>
      </c>
      <c r="F12" s="171">
        <v>48</v>
      </c>
      <c r="G12" s="29">
        <v>5.0000000000000001E-4</v>
      </c>
      <c r="H12" s="172">
        <f t="shared" si="0"/>
        <v>10435.199999999999</v>
      </c>
      <c r="I12" s="172">
        <f t="shared" si="1"/>
        <v>1043.52</v>
      </c>
      <c r="R12">
        <v>241</v>
      </c>
      <c r="AB12" s="171">
        <v>2.25</v>
      </c>
      <c r="AC12" s="29">
        <f>R12/R3</f>
        <v>24099999.999999996</v>
      </c>
      <c r="AD12" s="94">
        <f>LN(AC12/I12)/(AB12*LN(2))</f>
        <v>6.4423498998635704</v>
      </c>
    </row>
  </sheetData>
  <mergeCells count="3">
    <mergeCell ref="K2:AE2"/>
    <mergeCell ref="F2:I2"/>
    <mergeCell ref="A1:I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Charts</vt:lpstr>
      </vt:variant>
      <vt:variant>
        <vt:i4>1</vt:i4>
      </vt:variant>
    </vt:vector>
  </HeadingPairs>
  <TitlesOfParts>
    <vt:vector size="10" baseType="lpstr">
      <vt:lpstr>Sheet1</vt:lpstr>
      <vt:lpstr>titers-fitness</vt:lpstr>
      <vt:lpstr>Passaging Prep</vt:lpstr>
      <vt:lpstr>Passaging Data</vt:lpstr>
      <vt:lpstr>Summary</vt:lpstr>
      <vt:lpstr>Total Vol. Fitness</vt:lpstr>
      <vt:lpstr>Total Small Plaque Fitness</vt:lpstr>
      <vt:lpstr>Total Large Plaque Fitness</vt:lpstr>
      <vt:lpstr>Large Plaque Fitness</vt:lpstr>
      <vt:lpstr>Passage Data Fitness Graph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Scott, Luann (lscott@uidaho.edu)</dc:creator>
  <cp:keywords/>
  <dc:description/>
  <cp:lastModifiedBy>jacob</cp:lastModifiedBy>
  <cp:revision/>
  <cp:lastPrinted>2021-07-20T18:52:06Z</cp:lastPrinted>
  <dcterms:created xsi:type="dcterms:W3CDTF">2021-05-10T20:00:26Z</dcterms:created>
  <dcterms:modified xsi:type="dcterms:W3CDTF">2021-10-13T17:47:30Z</dcterms:modified>
  <cp:category/>
  <cp:contentStatus/>
</cp:coreProperties>
</file>